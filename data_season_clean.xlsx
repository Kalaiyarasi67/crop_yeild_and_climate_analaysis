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svg" ContentType="image/svg+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persons/person.xml" ContentType="application/vnd.ms-excel.person+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929"/>
  <workbookPr hidePivotFieldList="1"/>
  <mc:AlternateContent xmlns:mc="http://schemas.openxmlformats.org/markup-compatibility/2006">
    <mc:Choice Requires="x15">
      <x15ac:absPath xmlns:x15ac="http://schemas.microsoft.com/office/spreadsheetml/2010/11/ac" url="https://d.docs.live.net/C84ACBD6576468F2/Documents/"/>
    </mc:Choice>
  </mc:AlternateContent>
  <xr:revisionPtr revIDLastSave="1242" documentId="8_{357970A4-334E-453B-B2DA-25F538A01791}" xr6:coauthVersionLast="47" xr6:coauthVersionMax="47" xr10:uidLastSave="{0A558385-291B-4ABA-9D59-5B9ED55FB640}"/>
  <bookViews>
    <workbookView xWindow="-108" yWindow="-108" windowWidth="23256" windowHeight="12456" activeTab="1" xr2:uid="{664FD993-25D8-4260-B161-EBEDC84FC575}"/>
  </bookViews>
  <sheets>
    <sheet name="data_season" sheetId="1" r:id="rId1"/>
    <sheet name="pivot_table" sheetId="4" r:id="rId2"/>
    <sheet name="Dashboard" sheetId="7" r:id="rId3"/>
  </sheets>
  <definedNames>
    <definedName name="Slicer_Location">#N/A</definedName>
    <definedName name="Slicer_Season">#N/A</definedName>
    <definedName name="Slicer_Year">#N/A</definedName>
  </definedNames>
  <calcPr calcId="191029"/>
  <pivotCaches>
    <pivotCache cacheId="0" r:id="rId4"/>
  </pivotCaches>
  <extLst>
    <ext xmlns:x14="http://schemas.microsoft.com/office/spreadsheetml/2009/9/main" uri="{BBE1A952-AA13-448e-AADC-164F8A28A991}">
      <x14:slicerCaches>
        <x14:slicerCache r:id="rId5"/>
        <x14:slicerCache r:id="rId6"/>
        <x14:slicerCache r:id="rId7"/>
      </x14:slicerCaches>
    </ext>
    <ext xmlns:x14="http://schemas.microsoft.com/office/spreadsheetml/2009/9/main" uri="{79F54976-1DA5-4618-B147-4CDE4B953A38}">
      <x14:workbookPr/>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N13" i="1" l="1"/>
  <c r="N10" i="1"/>
  <c r="N7" i="1"/>
  <c r="N4" i="1"/>
</calcChain>
</file>

<file path=xl/sharedStrings.xml><?xml version="1.0" encoding="utf-8"?>
<sst xmlns="http://schemas.openxmlformats.org/spreadsheetml/2006/main" count="15823" uniqueCount="81">
  <si>
    <t>Year</t>
  </si>
  <si>
    <t>Location</t>
  </si>
  <si>
    <t>Area</t>
  </si>
  <si>
    <t>Rainfall</t>
  </si>
  <si>
    <t>Temperature</t>
  </si>
  <si>
    <t>Soil type</t>
  </si>
  <si>
    <t>Irrigation</t>
  </si>
  <si>
    <t>yeilds</t>
  </si>
  <si>
    <t>Humidity</t>
  </si>
  <si>
    <t>Crops</t>
  </si>
  <si>
    <t>price</t>
  </si>
  <si>
    <t>Season</t>
  </si>
  <si>
    <t>Mangalore</t>
  </si>
  <si>
    <t>Alluvial</t>
  </si>
  <si>
    <t>Drip</t>
  </si>
  <si>
    <t>Coconut</t>
  </si>
  <si>
    <t>Kharif</t>
  </si>
  <si>
    <t>Kodagu</t>
  </si>
  <si>
    <t>Kasaragodu</t>
  </si>
  <si>
    <t>Red</t>
  </si>
  <si>
    <t>Raichur</t>
  </si>
  <si>
    <t>Basin</t>
  </si>
  <si>
    <t>Rabi</t>
  </si>
  <si>
    <t>Gulbarga</t>
  </si>
  <si>
    <t>Black</t>
  </si>
  <si>
    <t>Zaid</t>
  </si>
  <si>
    <t>Spray</t>
  </si>
  <si>
    <t>Loam</t>
  </si>
  <si>
    <t>Cocoa</t>
  </si>
  <si>
    <t>Coffee</t>
  </si>
  <si>
    <t>Cardamum</t>
  </si>
  <si>
    <t>Madikeri</t>
  </si>
  <si>
    <t>Pepper</t>
  </si>
  <si>
    <t>Arecanut</t>
  </si>
  <si>
    <t>Hassan</t>
  </si>
  <si>
    <t>Ginger</t>
  </si>
  <si>
    <t xml:space="preserve">Sandy loam </t>
  </si>
  <si>
    <t>Tea</t>
  </si>
  <si>
    <t>Red laterite</t>
  </si>
  <si>
    <t>Paddy</t>
  </si>
  <si>
    <t>Groundnut</t>
  </si>
  <si>
    <t>Black cotton</t>
  </si>
  <si>
    <t>Blackgram</t>
  </si>
  <si>
    <t>Cashew</t>
  </si>
  <si>
    <t>Sandy</t>
  </si>
  <si>
    <t>Laterite</t>
  </si>
  <si>
    <t>Mysuru</t>
  </si>
  <si>
    <t>Teelah</t>
  </si>
  <si>
    <t>Clay</t>
  </si>
  <si>
    <t>Cotton</t>
  </si>
  <si>
    <t>Clay loam</t>
  </si>
  <si>
    <t>Arid and Desert</t>
  </si>
  <si>
    <t>loamy sand</t>
  </si>
  <si>
    <t>Chikmangaluru</t>
  </si>
  <si>
    <t>River basins</t>
  </si>
  <si>
    <t>Light sandy</t>
  </si>
  <si>
    <t>Heavy clay</t>
  </si>
  <si>
    <t xml:space="preserve">Dry sandy </t>
  </si>
  <si>
    <t>Heavy cotton</t>
  </si>
  <si>
    <t>Sandy loam</t>
  </si>
  <si>
    <t>Sandy clay loam</t>
  </si>
  <si>
    <t>Well drained</t>
  </si>
  <si>
    <t>Drained loam</t>
  </si>
  <si>
    <t xml:space="preserve">Red </t>
  </si>
  <si>
    <t>Gravelly sand</t>
  </si>
  <si>
    <t>Medium textured clay</t>
  </si>
  <si>
    <t xml:space="preserve">Medium textured </t>
  </si>
  <si>
    <t>Bangalore</t>
  </si>
  <si>
    <t>Davangere</t>
  </si>
  <si>
    <t>Sum of yeilds</t>
  </si>
  <si>
    <t>Row Labels</t>
  </si>
  <si>
    <t>Grand Total</t>
  </si>
  <si>
    <t>Column Labels</t>
  </si>
  <si>
    <t>Sum of price</t>
  </si>
  <si>
    <t>Sum of Temperature</t>
  </si>
  <si>
    <t>Sum of Humidity</t>
  </si>
  <si>
    <t>Sum of Rainfall</t>
  </si>
  <si>
    <t>TOTAL YIELD</t>
  </si>
  <si>
    <t>AVG RAINFALL</t>
  </si>
  <si>
    <t>AVG TEMP</t>
  </si>
  <si>
    <t>TOTAL REV</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</si>
</sst>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5" formatCode="&quot;₹&quot;\ #,##0;&quot;₹&quot;\ \-#,##0"/>
  </numFmts>
  <fonts count="18" x14ac:knownFonts="1">
    <font>
      <sz val="11"/>
      <color theme="1"/>
      <name val="Aptos Narrow"/>
      <family val="2"/>
      <scheme val="minor"/>
    </font>
    <font>
      <sz val="11"/>
      <color theme="1"/>
      <name val="Aptos Narrow"/>
      <family val="2"/>
      <scheme val="minor"/>
    </font>
    <font>
      <sz val="18"/>
      <color theme="3"/>
      <name val="Aptos Display"/>
      <family val="2"/>
      <scheme val="major"/>
    </font>
    <font>
      <b/>
      <sz val="15"/>
      <color theme="3"/>
      <name val="Aptos Narrow"/>
      <family val="2"/>
      <scheme val="minor"/>
    </font>
    <font>
      <b/>
      <sz val="13"/>
      <color theme="3"/>
      <name val="Aptos Narrow"/>
      <family val="2"/>
      <scheme val="minor"/>
    </font>
    <font>
      <b/>
      <sz val="11"/>
      <color theme="3"/>
      <name val="Aptos Narrow"/>
      <family val="2"/>
      <scheme val="minor"/>
    </font>
    <font>
      <sz val="11"/>
      <color rgb="FF006100"/>
      <name val="Aptos Narrow"/>
      <family val="2"/>
      <scheme val="minor"/>
    </font>
    <font>
      <sz val="11"/>
      <color rgb="FF9C0006"/>
      <name val="Aptos Narrow"/>
      <family val="2"/>
      <scheme val="minor"/>
    </font>
    <font>
      <sz val="11"/>
      <color rgb="FF9C5700"/>
      <name val="Aptos Narrow"/>
      <family val="2"/>
      <scheme val="minor"/>
    </font>
    <font>
      <sz val="11"/>
      <color rgb="FF3F3F76"/>
      <name val="Aptos Narrow"/>
      <family val="2"/>
      <scheme val="minor"/>
    </font>
    <font>
      <b/>
      <sz val="11"/>
      <color rgb="FF3F3F3F"/>
      <name val="Aptos Narrow"/>
      <family val="2"/>
      <scheme val="minor"/>
    </font>
    <font>
      <b/>
      <sz val="11"/>
      <color rgb="FFFA7D00"/>
      <name val="Aptos Narrow"/>
      <family val="2"/>
      <scheme val="minor"/>
    </font>
    <font>
      <sz val="11"/>
      <color rgb="FFFA7D00"/>
      <name val="Aptos Narrow"/>
      <family val="2"/>
      <scheme val="minor"/>
    </font>
    <font>
      <b/>
      <sz val="11"/>
      <color theme="0"/>
      <name val="Aptos Narrow"/>
      <family val="2"/>
      <scheme val="minor"/>
    </font>
    <font>
      <sz val="11"/>
      <color rgb="FFFF0000"/>
      <name val="Aptos Narrow"/>
      <family val="2"/>
      <scheme val="minor"/>
    </font>
    <font>
      <i/>
      <sz val="11"/>
      <color rgb="FF7F7F7F"/>
      <name val="Aptos Narrow"/>
      <family val="2"/>
      <scheme val="minor"/>
    </font>
    <font>
      <b/>
      <sz val="11"/>
      <color theme="1"/>
      <name val="Aptos Narrow"/>
      <family val="2"/>
      <scheme val="minor"/>
    </font>
    <font>
      <sz val="11"/>
      <color theme="0"/>
      <name val="Aptos Narrow"/>
      <family val="2"/>
      <scheme val="minor"/>
    </font>
  </fonts>
  <fills count="34">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
      <patternFill patternType="solid">
        <fgColor rgb="FFFFFF00"/>
        <bgColor indexed="64"/>
      </patternFill>
    </fill>
  </fills>
  <borders count="10">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s>
  <cellStyleXfs count="42">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cellStyleXfs>
  <cellXfs count="6">
    <xf numFmtId="0" fontId="0" fillId="0" borderId="0" xfId="0"/>
    <xf numFmtId="0" fontId="0" fillId="0" borderId="0" xfId="0" pivotButton="1"/>
    <xf numFmtId="0" fontId="0" fillId="0" borderId="0" xfId="0" applyAlignment="1">
      <alignment horizontal="left"/>
    </xf>
    <xf numFmtId="0" fontId="0" fillId="33" borderId="0" xfId="0" applyFill="1"/>
    <xf numFmtId="2" fontId="0" fillId="0" borderId="0" xfId="0" applyNumberFormat="1"/>
    <xf numFmtId="5" fontId="0" fillId="0" borderId="0" xfId="0" applyNumberFormat="1"/>
  </cellXfs>
  <cellStyles count="42">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Title" xfId="1" builtinId="15" customBuiltin="1"/>
    <cellStyle name="Total" xfId="17" builtinId="25" customBuiltin="1"/>
    <cellStyle name="Warning Text" xfId="14" builtinId="11" customBuiltin="1"/>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theme" Target="theme/theme1.xml"/><Relationship Id="rId3" Type="http://schemas.openxmlformats.org/officeDocument/2006/relationships/worksheet" Target="worksheets/sheet3.xml"/><Relationship Id="rId7" Type="http://schemas.microsoft.com/office/2007/relationships/slicerCache" Target="slicerCaches/slicerCache3.xml"/><Relationship Id="rId12" Type="http://schemas.openxmlformats.org/officeDocument/2006/relationships/calcChain" Target="calcChain.xml"/><Relationship Id="rId2" Type="http://schemas.openxmlformats.org/officeDocument/2006/relationships/worksheet" Target="worksheets/sheet2.xml"/><Relationship Id="rId1" Type="http://schemas.openxmlformats.org/officeDocument/2006/relationships/worksheet" Target="worksheets/sheet1.xml"/><Relationship Id="rId6" Type="http://schemas.microsoft.com/office/2007/relationships/slicerCache" Target="slicerCaches/slicerCache2.xml"/><Relationship Id="rId11" Type="http://schemas.microsoft.com/office/2017/10/relationships/person" Target="persons/person.xml"/><Relationship Id="rId5" Type="http://schemas.microsoft.com/office/2007/relationships/slicerCache" Target="slicerCaches/slicerCache1.xml"/><Relationship Id="rId10" Type="http://schemas.openxmlformats.org/officeDocument/2006/relationships/sharedStrings" Target="sharedStrings.xml"/><Relationship Id="rId4" Type="http://schemas.openxmlformats.org/officeDocument/2006/relationships/pivotCacheDefinition" Target="pivotCache/pivotCacheDefinition1.xml"/><Relationship Id="rId9" Type="http://schemas.openxmlformats.org/officeDocument/2006/relationships/styles" Target="styles.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3"/>
    </mc:Choice>
    <mc:Fallback>
      <c:style val="3"/>
    </mc:Fallback>
  </mc:AlternateContent>
  <c:pivotSource>
    <c:name>[data_season_clean.xlsx]pivot_table!PivotTable1</c:name>
    <c:fmtId val="29"/>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8"/>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9"/>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7"/>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8"/>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9"/>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7"/>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8"/>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9"/>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7"/>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8"/>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9"/>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7"/>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8"/>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9"/>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2"/>
        <c:spPr>
          <a:solidFill>
            <a:schemeClr val="accent1"/>
          </a:solidFill>
          <a:ln>
            <a:noFill/>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3"/>
        <c:spPr>
          <a:solidFill>
            <a:schemeClr val="accent1"/>
          </a:solidFill>
          <a:ln>
            <a:noFill/>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4"/>
        <c:spPr>
          <a:solidFill>
            <a:schemeClr val="accent1"/>
          </a:solidFill>
          <a:ln>
            <a:noFill/>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5"/>
        <c:spPr>
          <a:solidFill>
            <a:schemeClr val="accent1"/>
          </a:solidFill>
          <a:ln>
            <a:noFill/>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6"/>
        <c:spPr>
          <a:solidFill>
            <a:schemeClr val="accent1"/>
          </a:solidFill>
          <a:ln>
            <a:noFill/>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7"/>
        <c:spPr>
          <a:solidFill>
            <a:schemeClr val="accent1"/>
          </a:solidFill>
          <a:ln>
            <a:noFill/>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8"/>
        <c:spPr>
          <a:solidFill>
            <a:schemeClr val="accent1"/>
          </a:solidFill>
          <a:ln>
            <a:noFill/>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9"/>
        <c:spPr>
          <a:solidFill>
            <a:schemeClr val="accent1"/>
          </a:solidFill>
          <a:ln>
            <a:noFill/>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0"/>
        <c:spPr>
          <a:solidFill>
            <a:schemeClr val="accent1"/>
          </a:solidFill>
          <a:ln>
            <a:noFill/>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1"/>
        <c:spPr>
          <a:solidFill>
            <a:schemeClr val="accent1"/>
          </a:solidFill>
          <a:ln>
            <a:noFill/>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2"/>
        <c:spPr>
          <a:solidFill>
            <a:schemeClr val="accent1"/>
          </a:solidFill>
          <a:ln>
            <a:noFill/>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3"/>
        <c:spPr>
          <a:solidFill>
            <a:schemeClr val="accent1"/>
          </a:solidFill>
          <a:ln>
            <a:noFill/>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4"/>
        <c:spPr>
          <a:solidFill>
            <a:schemeClr val="accent1"/>
          </a:solidFill>
          <a:ln>
            <a:noFill/>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5"/>
        <c:spPr>
          <a:solidFill>
            <a:schemeClr val="accent1"/>
          </a:solidFill>
          <a:ln>
            <a:noFill/>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6"/>
        <c:spPr>
          <a:solidFill>
            <a:schemeClr val="accent1"/>
          </a:solidFill>
          <a:ln>
            <a:noFill/>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7"/>
        <c:spPr>
          <a:solidFill>
            <a:schemeClr val="accent1"/>
          </a:solidFill>
          <a:ln>
            <a:noFill/>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8"/>
        <c:spPr>
          <a:solidFill>
            <a:schemeClr val="accent1"/>
          </a:solidFill>
          <a:ln>
            <a:noFill/>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9"/>
        <c:spPr>
          <a:solidFill>
            <a:schemeClr val="accent1"/>
          </a:solidFill>
          <a:ln>
            <a:noFill/>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0"/>
        <c:spPr>
          <a:solidFill>
            <a:schemeClr val="accent1"/>
          </a:solidFill>
          <a:ln>
            <a:noFill/>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1"/>
        <c:spPr>
          <a:solidFill>
            <a:schemeClr val="accent1"/>
          </a:solidFill>
          <a:ln>
            <a:noFill/>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2"/>
        <c:spPr>
          <a:solidFill>
            <a:schemeClr val="accent1"/>
          </a:solidFill>
          <a:ln>
            <a:noFill/>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3"/>
        <c:spPr>
          <a:solidFill>
            <a:schemeClr val="accent1"/>
          </a:solidFill>
          <a:ln>
            <a:noFill/>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4"/>
        <c:spPr>
          <a:solidFill>
            <a:schemeClr val="accent1"/>
          </a:solidFill>
          <a:ln>
            <a:noFill/>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5"/>
        <c:spPr>
          <a:solidFill>
            <a:schemeClr val="accent1"/>
          </a:solidFill>
          <a:ln>
            <a:noFill/>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6"/>
        <c:spPr>
          <a:solidFill>
            <a:schemeClr val="accent1"/>
          </a:solidFill>
          <a:ln>
            <a:noFill/>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7"/>
        <c:spPr>
          <a:solidFill>
            <a:schemeClr val="accent1"/>
          </a:solidFill>
          <a:ln>
            <a:noFill/>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8"/>
        <c:spPr>
          <a:solidFill>
            <a:schemeClr val="accent1"/>
          </a:solidFill>
          <a:ln>
            <a:noFill/>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9"/>
        <c:spPr>
          <a:solidFill>
            <a:schemeClr val="accent1"/>
          </a:solidFill>
          <a:ln>
            <a:noFill/>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80"/>
        <c:spPr>
          <a:solidFill>
            <a:schemeClr val="accent1"/>
          </a:solidFill>
          <a:ln>
            <a:noFill/>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81"/>
        <c:spPr>
          <a:solidFill>
            <a:schemeClr val="accent1"/>
          </a:solidFill>
          <a:ln>
            <a:noFill/>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82"/>
        <c:spPr>
          <a:solidFill>
            <a:schemeClr val="accent1"/>
          </a:solidFill>
          <a:ln>
            <a:noFill/>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83"/>
        <c:spPr>
          <a:solidFill>
            <a:schemeClr val="accent1"/>
          </a:solidFill>
          <a:ln>
            <a:noFill/>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84"/>
        <c:spPr>
          <a:solidFill>
            <a:schemeClr val="accent1"/>
          </a:solidFill>
          <a:ln>
            <a:noFill/>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85"/>
        <c:spPr>
          <a:solidFill>
            <a:schemeClr val="accent1"/>
          </a:solidFill>
          <a:ln>
            <a:noFill/>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86"/>
        <c:spPr>
          <a:solidFill>
            <a:schemeClr val="accent1"/>
          </a:solidFill>
          <a:ln>
            <a:noFill/>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87"/>
        <c:spPr>
          <a:solidFill>
            <a:schemeClr val="accent1"/>
          </a:solidFill>
          <a:ln>
            <a:noFill/>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88"/>
        <c:spPr>
          <a:solidFill>
            <a:schemeClr val="accent1"/>
          </a:solidFill>
          <a:ln>
            <a:noFill/>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89"/>
        <c:spPr>
          <a:solidFill>
            <a:schemeClr val="accent1"/>
          </a:solidFill>
          <a:ln>
            <a:noFill/>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90"/>
        <c:spPr>
          <a:solidFill>
            <a:schemeClr val="accent1"/>
          </a:solidFill>
          <a:ln>
            <a:noFill/>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91"/>
        <c:spPr>
          <a:ln w="28575" cap="rnd">
            <a:solidFill>
              <a:schemeClr val="accent1"/>
            </a:solidFill>
            <a:round/>
          </a:ln>
          <a:effectLst/>
        </c:spPr>
        <c:marker>
          <c:symbol val="circle"/>
          <c:size val="5"/>
          <c:spPr>
            <a:solidFill>
              <a:schemeClr val="accent1">
                <a:shade val="40000"/>
              </a:schemeClr>
            </a:solidFill>
            <a:ln w="9525">
              <a:solidFill>
                <a:schemeClr val="accent1">
                  <a:shade val="40000"/>
                </a:schemeClr>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92"/>
        <c:spPr>
          <a:ln w="28575" cap="rnd">
            <a:solidFill>
              <a:schemeClr val="accent1"/>
            </a:solidFill>
            <a:round/>
          </a:ln>
          <a:effectLst/>
        </c:spPr>
        <c:marker>
          <c:symbol val="circle"/>
          <c:size val="5"/>
          <c:spPr>
            <a:solidFill>
              <a:schemeClr val="accent1">
                <a:shade val="50000"/>
              </a:schemeClr>
            </a:solidFill>
            <a:ln w="9525">
              <a:solidFill>
                <a:schemeClr val="accent1">
                  <a:shade val="50000"/>
                </a:schemeClr>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93"/>
        <c:spPr>
          <a:ln w="28575" cap="rnd">
            <a:solidFill>
              <a:schemeClr val="accent1"/>
            </a:solidFill>
            <a:round/>
          </a:ln>
          <a:effectLst/>
        </c:spPr>
        <c:marker>
          <c:symbol val="circle"/>
          <c:size val="5"/>
          <c:spPr>
            <a:solidFill>
              <a:schemeClr val="accent1">
                <a:shade val="60000"/>
              </a:schemeClr>
            </a:solidFill>
            <a:ln w="9525">
              <a:solidFill>
                <a:schemeClr val="accent1">
                  <a:shade val="60000"/>
                </a:schemeClr>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94"/>
        <c:spPr>
          <a:ln w="28575" cap="rnd">
            <a:solidFill>
              <a:schemeClr val="accent1"/>
            </a:solidFill>
            <a:round/>
          </a:ln>
          <a:effectLst/>
        </c:spPr>
        <c:marker>
          <c:symbol val="circle"/>
          <c:size val="5"/>
          <c:spPr>
            <a:solidFill>
              <a:schemeClr val="accent1">
                <a:shade val="70000"/>
              </a:schemeClr>
            </a:solidFill>
            <a:ln w="9525">
              <a:solidFill>
                <a:schemeClr val="accent1">
                  <a:shade val="70000"/>
                </a:schemeClr>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95"/>
        <c:spPr>
          <a:ln w="28575" cap="rnd">
            <a:solidFill>
              <a:schemeClr val="accent1"/>
            </a:solidFill>
            <a:round/>
          </a:ln>
          <a:effectLst/>
        </c:spPr>
        <c:marker>
          <c:symbol val="circle"/>
          <c:size val="5"/>
          <c:spPr>
            <a:solidFill>
              <a:schemeClr val="accent1">
                <a:shade val="80000"/>
              </a:schemeClr>
            </a:solidFill>
            <a:ln w="9525">
              <a:solidFill>
                <a:schemeClr val="accent1">
                  <a:shade val="80000"/>
                </a:schemeClr>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96"/>
        <c:spPr>
          <a:ln w="28575" cap="rnd">
            <a:solidFill>
              <a:schemeClr val="accent1"/>
            </a:solidFill>
            <a:round/>
          </a:ln>
          <a:effectLst/>
        </c:spPr>
        <c:marker>
          <c:symbol val="circle"/>
          <c:size val="5"/>
          <c:spPr>
            <a:solidFill>
              <a:schemeClr val="accent1">
                <a:shade val="90000"/>
              </a:schemeClr>
            </a:solidFill>
            <a:ln w="9525">
              <a:solidFill>
                <a:schemeClr val="accent1">
                  <a:shade val="90000"/>
                </a:schemeClr>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97"/>
        <c:spPr>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98"/>
        <c:spPr>
          <a:ln w="28575" cap="rnd">
            <a:solidFill>
              <a:schemeClr val="accent1"/>
            </a:solidFill>
            <a:round/>
          </a:ln>
          <a:effectLst/>
        </c:spPr>
        <c:marker>
          <c:symbol val="circle"/>
          <c:size val="5"/>
          <c:spPr>
            <a:solidFill>
              <a:schemeClr val="accent1">
                <a:tint val="90000"/>
              </a:schemeClr>
            </a:solidFill>
            <a:ln w="9525">
              <a:solidFill>
                <a:schemeClr val="accent1">
                  <a:tint val="90000"/>
                </a:schemeClr>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99"/>
        <c:spPr>
          <a:ln w="28575" cap="rnd">
            <a:solidFill>
              <a:schemeClr val="accent1"/>
            </a:solidFill>
            <a:round/>
          </a:ln>
          <a:effectLst/>
        </c:spPr>
        <c:marker>
          <c:symbol val="circle"/>
          <c:size val="5"/>
          <c:spPr>
            <a:solidFill>
              <a:schemeClr val="accent1">
                <a:tint val="80000"/>
              </a:schemeClr>
            </a:solidFill>
            <a:ln w="9525">
              <a:solidFill>
                <a:schemeClr val="accent1">
                  <a:tint val="80000"/>
                </a:schemeClr>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00"/>
        <c:spPr>
          <a:ln w="28575" cap="rnd">
            <a:solidFill>
              <a:schemeClr val="accent1"/>
            </a:solidFill>
            <a:round/>
          </a:ln>
          <a:effectLst/>
        </c:spPr>
        <c:marker>
          <c:symbol val="circle"/>
          <c:size val="5"/>
          <c:spPr>
            <a:solidFill>
              <a:schemeClr val="accent1">
                <a:tint val="70000"/>
              </a:schemeClr>
            </a:solidFill>
            <a:ln w="9525">
              <a:solidFill>
                <a:schemeClr val="accent1">
                  <a:tint val="70000"/>
                </a:schemeClr>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01"/>
        <c:spPr>
          <a:ln w="28575" cap="rnd">
            <a:solidFill>
              <a:schemeClr val="accent1"/>
            </a:solidFill>
            <a:round/>
          </a:ln>
          <a:effectLst/>
        </c:spPr>
        <c:marker>
          <c:symbol val="circle"/>
          <c:size val="5"/>
          <c:spPr>
            <a:solidFill>
              <a:schemeClr val="accent1">
                <a:tint val="60000"/>
              </a:schemeClr>
            </a:solidFill>
            <a:ln w="9525">
              <a:solidFill>
                <a:schemeClr val="accent1">
                  <a:tint val="60000"/>
                </a:schemeClr>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02"/>
        <c:spPr>
          <a:ln w="28575" cap="rnd">
            <a:solidFill>
              <a:schemeClr val="accent1"/>
            </a:solidFill>
            <a:round/>
          </a:ln>
          <a:effectLst/>
        </c:spPr>
        <c:marker>
          <c:symbol val="circle"/>
          <c:size val="5"/>
          <c:spPr>
            <a:solidFill>
              <a:schemeClr val="accent1">
                <a:tint val="50000"/>
              </a:schemeClr>
            </a:solidFill>
            <a:ln w="9525">
              <a:solidFill>
                <a:schemeClr val="accent1">
                  <a:tint val="50000"/>
                </a:schemeClr>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03"/>
        <c:spPr>
          <a:ln w="28575" cap="rnd">
            <a:solidFill>
              <a:schemeClr val="accent1"/>
            </a:solidFill>
            <a:round/>
          </a:ln>
          <a:effectLst/>
        </c:spPr>
        <c:marker>
          <c:symbol val="circle"/>
          <c:size val="5"/>
          <c:spPr>
            <a:solidFill>
              <a:schemeClr val="accent1">
                <a:tint val="40000"/>
              </a:schemeClr>
            </a:solidFill>
            <a:ln w="9525">
              <a:solidFill>
                <a:schemeClr val="accent1">
                  <a:tint val="40000"/>
                </a:schemeClr>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1.4367514276228188E-2"/>
          <c:y val="0.18560837479856548"/>
          <c:w val="0.72927342014940444"/>
          <c:h val="0.59481544536662645"/>
        </c:manualLayout>
      </c:layout>
      <c:lineChart>
        <c:grouping val="standard"/>
        <c:varyColors val="0"/>
        <c:ser>
          <c:idx val="0"/>
          <c:order val="0"/>
          <c:tx>
            <c:strRef>
              <c:f>pivot_table!$B$3:$B$4</c:f>
              <c:strCache>
                <c:ptCount val="1"/>
                <c:pt idx="0">
                  <c:v>Arecanut</c:v>
                </c:pt>
              </c:strCache>
            </c:strRef>
          </c:tx>
          <c:spPr>
            <a:ln w="28575" cap="rnd">
              <a:solidFill>
                <a:schemeClr val="accent1">
                  <a:shade val="40000"/>
                </a:schemeClr>
              </a:solidFill>
              <a:round/>
            </a:ln>
            <a:effectLst/>
          </c:spPr>
          <c:marker>
            <c:symbol val="circle"/>
            <c:size val="5"/>
            <c:spPr>
              <a:solidFill>
                <a:schemeClr val="accent1">
                  <a:shade val="40000"/>
                </a:schemeClr>
              </a:solidFill>
              <a:ln w="9525">
                <a:solidFill>
                  <a:schemeClr val="accent1">
                    <a:shade val="40000"/>
                  </a:schemeClr>
                </a:solidFill>
              </a:ln>
              <a:effectLst/>
            </c:spPr>
          </c:marker>
          <c:cat>
            <c:strRef>
              <c:f>pivot_table!$A$5:$A$21</c:f>
              <c:strCache>
                <c:ptCount val="16"/>
                <c:pt idx="0">
                  <c:v>2004</c:v>
                </c:pt>
                <c:pt idx="1">
                  <c:v>2005</c:v>
                </c:pt>
                <c:pt idx="2">
                  <c:v>2006</c:v>
                </c:pt>
                <c:pt idx="3">
                  <c:v>2007</c:v>
                </c:pt>
                <c:pt idx="4">
                  <c:v>2008</c:v>
                </c:pt>
                <c:pt idx="5">
                  <c:v>2009</c:v>
                </c:pt>
                <c:pt idx="6">
                  <c:v>2010</c:v>
                </c:pt>
                <c:pt idx="7">
                  <c:v>2011</c:v>
                </c:pt>
                <c:pt idx="8">
                  <c:v>2012</c:v>
                </c:pt>
                <c:pt idx="9">
                  <c:v>2013</c:v>
                </c:pt>
                <c:pt idx="10">
                  <c:v>2014</c:v>
                </c:pt>
                <c:pt idx="11">
                  <c:v>2015</c:v>
                </c:pt>
                <c:pt idx="12">
                  <c:v>2016</c:v>
                </c:pt>
                <c:pt idx="13">
                  <c:v>2017</c:v>
                </c:pt>
                <c:pt idx="14">
                  <c:v>2018</c:v>
                </c:pt>
                <c:pt idx="15">
                  <c:v>2019</c:v>
                </c:pt>
              </c:strCache>
            </c:strRef>
          </c:cat>
          <c:val>
            <c:numRef>
              <c:f>pivot_table!$B$5:$B$21</c:f>
              <c:numCache>
                <c:formatCode>General</c:formatCode>
                <c:ptCount val="16"/>
                <c:pt idx="0">
                  <c:v>327769</c:v>
                </c:pt>
                <c:pt idx="1">
                  <c:v>24393</c:v>
                </c:pt>
                <c:pt idx="2">
                  <c:v>27763</c:v>
                </c:pt>
                <c:pt idx="3">
                  <c:v>25322</c:v>
                </c:pt>
                <c:pt idx="4">
                  <c:v>144708</c:v>
                </c:pt>
                <c:pt idx="5">
                  <c:v>94415</c:v>
                </c:pt>
                <c:pt idx="6">
                  <c:v>67981</c:v>
                </c:pt>
                <c:pt idx="7">
                  <c:v>135106</c:v>
                </c:pt>
                <c:pt idx="8">
                  <c:v>84353</c:v>
                </c:pt>
                <c:pt idx="9">
                  <c:v>41925</c:v>
                </c:pt>
                <c:pt idx="10">
                  <c:v>21292</c:v>
                </c:pt>
                <c:pt idx="11">
                  <c:v>17853</c:v>
                </c:pt>
                <c:pt idx="12">
                  <c:v>99974</c:v>
                </c:pt>
                <c:pt idx="13">
                  <c:v>186955</c:v>
                </c:pt>
                <c:pt idx="14">
                  <c:v>21149</c:v>
                </c:pt>
                <c:pt idx="15">
                  <c:v>5373</c:v>
                </c:pt>
              </c:numCache>
            </c:numRef>
          </c:val>
          <c:smooth val="0"/>
          <c:extLst>
            <c:ext xmlns:c16="http://schemas.microsoft.com/office/drawing/2014/chart" uri="{C3380CC4-5D6E-409C-BE32-E72D297353CC}">
              <c16:uniqueId val="{00000000-6104-426D-A780-8701CA4A7B3F}"/>
            </c:ext>
          </c:extLst>
        </c:ser>
        <c:ser>
          <c:idx val="1"/>
          <c:order val="1"/>
          <c:tx>
            <c:strRef>
              <c:f>pivot_table!$C$3:$C$4</c:f>
              <c:strCache>
                <c:ptCount val="1"/>
                <c:pt idx="0">
                  <c:v>Blackgram</c:v>
                </c:pt>
              </c:strCache>
            </c:strRef>
          </c:tx>
          <c:spPr>
            <a:ln w="28575" cap="rnd">
              <a:solidFill>
                <a:schemeClr val="accent1">
                  <a:shade val="50000"/>
                </a:schemeClr>
              </a:solidFill>
              <a:round/>
            </a:ln>
            <a:effectLst/>
          </c:spPr>
          <c:marker>
            <c:symbol val="circle"/>
            <c:size val="5"/>
            <c:spPr>
              <a:solidFill>
                <a:schemeClr val="accent1">
                  <a:shade val="50000"/>
                </a:schemeClr>
              </a:solidFill>
              <a:ln w="9525">
                <a:solidFill>
                  <a:schemeClr val="accent1">
                    <a:shade val="50000"/>
                  </a:schemeClr>
                </a:solidFill>
              </a:ln>
              <a:effectLst/>
            </c:spPr>
          </c:marker>
          <c:cat>
            <c:strRef>
              <c:f>pivot_table!$A$5:$A$21</c:f>
              <c:strCache>
                <c:ptCount val="16"/>
                <c:pt idx="0">
                  <c:v>2004</c:v>
                </c:pt>
                <c:pt idx="1">
                  <c:v>2005</c:v>
                </c:pt>
                <c:pt idx="2">
                  <c:v>2006</c:v>
                </c:pt>
                <c:pt idx="3">
                  <c:v>2007</c:v>
                </c:pt>
                <c:pt idx="4">
                  <c:v>2008</c:v>
                </c:pt>
                <c:pt idx="5">
                  <c:v>2009</c:v>
                </c:pt>
                <c:pt idx="6">
                  <c:v>2010</c:v>
                </c:pt>
                <c:pt idx="7">
                  <c:v>2011</c:v>
                </c:pt>
                <c:pt idx="8">
                  <c:v>2012</c:v>
                </c:pt>
                <c:pt idx="9">
                  <c:v>2013</c:v>
                </c:pt>
                <c:pt idx="10">
                  <c:v>2014</c:v>
                </c:pt>
                <c:pt idx="11">
                  <c:v>2015</c:v>
                </c:pt>
                <c:pt idx="12">
                  <c:v>2016</c:v>
                </c:pt>
                <c:pt idx="13">
                  <c:v>2017</c:v>
                </c:pt>
                <c:pt idx="14">
                  <c:v>2018</c:v>
                </c:pt>
                <c:pt idx="15">
                  <c:v>2019</c:v>
                </c:pt>
              </c:strCache>
            </c:strRef>
          </c:cat>
          <c:val>
            <c:numRef>
              <c:f>pivot_table!$C$5:$C$21</c:f>
              <c:numCache>
                <c:formatCode>General</c:formatCode>
                <c:ptCount val="16"/>
                <c:pt idx="0">
                  <c:v>679662</c:v>
                </c:pt>
                <c:pt idx="1">
                  <c:v>12167</c:v>
                </c:pt>
                <c:pt idx="2">
                  <c:v>326090</c:v>
                </c:pt>
                <c:pt idx="3">
                  <c:v>10266</c:v>
                </c:pt>
                <c:pt idx="4">
                  <c:v>7005</c:v>
                </c:pt>
                <c:pt idx="5">
                  <c:v>7125</c:v>
                </c:pt>
                <c:pt idx="6">
                  <c:v>5544</c:v>
                </c:pt>
                <c:pt idx="7">
                  <c:v>7077</c:v>
                </c:pt>
                <c:pt idx="8">
                  <c:v>7250</c:v>
                </c:pt>
                <c:pt idx="9">
                  <c:v>12245</c:v>
                </c:pt>
                <c:pt idx="10">
                  <c:v>323278</c:v>
                </c:pt>
                <c:pt idx="11">
                  <c:v>10869</c:v>
                </c:pt>
                <c:pt idx="12">
                  <c:v>328316</c:v>
                </c:pt>
                <c:pt idx="13">
                  <c:v>323761</c:v>
                </c:pt>
                <c:pt idx="14">
                  <c:v>321219</c:v>
                </c:pt>
                <c:pt idx="15">
                  <c:v>187</c:v>
                </c:pt>
              </c:numCache>
            </c:numRef>
          </c:val>
          <c:smooth val="0"/>
          <c:extLst>
            <c:ext xmlns:c16="http://schemas.microsoft.com/office/drawing/2014/chart" uri="{C3380CC4-5D6E-409C-BE32-E72D297353CC}">
              <c16:uniqueId val="{00000001-6104-426D-A780-8701CA4A7B3F}"/>
            </c:ext>
          </c:extLst>
        </c:ser>
        <c:ser>
          <c:idx val="2"/>
          <c:order val="2"/>
          <c:tx>
            <c:strRef>
              <c:f>pivot_table!$D$3:$D$4</c:f>
              <c:strCache>
                <c:ptCount val="1"/>
                <c:pt idx="0">
                  <c:v>Cardamum</c:v>
                </c:pt>
              </c:strCache>
            </c:strRef>
          </c:tx>
          <c:spPr>
            <a:ln w="28575" cap="rnd">
              <a:solidFill>
                <a:schemeClr val="accent1">
                  <a:shade val="60000"/>
                </a:schemeClr>
              </a:solidFill>
              <a:round/>
            </a:ln>
            <a:effectLst/>
          </c:spPr>
          <c:marker>
            <c:symbol val="circle"/>
            <c:size val="5"/>
            <c:spPr>
              <a:solidFill>
                <a:schemeClr val="accent1">
                  <a:shade val="60000"/>
                </a:schemeClr>
              </a:solidFill>
              <a:ln w="9525">
                <a:solidFill>
                  <a:schemeClr val="accent1">
                    <a:shade val="60000"/>
                  </a:schemeClr>
                </a:solidFill>
              </a:ln>
              <a:effectLst/>
            </c:spPr>
          </c:marker>
          <c:cat>
            <c:strRef>
              <c:f>pivot_table!$A$5:$A$21</c:f>
              <c:strCache>
                <c:ptCount val="16"/>
                <c:pt idx="0">
                  <c:v>2004</c:v>
                </c:pt>
                <c:pt idx="1">
                  <c:v>2005</c:v>
                </c:pt>
                <c:pt idx="2">
                  <c:v>2006</c:v>
                </c:pt>
                <c:pt idx="3">
                  <c:v>2007</c:v>
                </c:pt>
                <c:pt idx="4">
                  <c:v>2008</c:v>
                </c:pt>
                <c:pt idx="5">
                  <c:v>2009</c:v>
                </c:pt>
                <c:pt idx="6">
                  <c:v>2010</c:v>
                </c:pt>
                <c:pt idx="7">
                  <c:v>2011</c:v>
                </c:pt>
                <c:pt idx="8">
                  <c:v>2012</c:v>
                </c:pt>
                <c:pt idx="9">
                  <c:v>2013</c:v>
                </c:pt>
                <c:pt idx="10">
                  <c:v>2014</c:v>
                </c:pt>
                <c:pt idx="11">
                  <c:v>2015</c:v>
                </c:pt>
                <c:pt idx="12">
                  <c:v>2016</c:v>
                </c:pt>
                <c:pt idx="13">
                  <c:v>2017</c:v>
                </c:pt>
                <c:pt idx="14">
                  <c:v>2018</c:v>
                </c:pt>
                <c:pt idx="15">
                  <c:v>2019</c:v>
                </c:pt>
              </c:strCache>
            </c:strRef>
          </c:cat>
          <c:val>
            <c:numRef>
              <c:f>pivot_table!$D$5:$D$21</c:f>
              <c:numCache>
                <c:formatCode>General</c:formatCode>
                <c:ptCount val="16"/>
                <c:pt idx="0">
                  <c:v>119768</c:v>
                </c:pt>
                <c:pt idx="1">
                  <c:v>19666</c:v>
                </c:pt>
                <c:pt idx="2">
                  <c:v>149758</c:v>
                </c:pt>
                <c:pt idx="3">
                  <c:v>95814</c:v>
                </c:pt>
                <c:pt idx="4">
                  <c:v>48055</c:v>
                </c:pt>
                <c:pt idx="5">
                  <c:v>140741</c:v>
                </c:pt>
                <c:pt idx="6">
                  <c:v>87079</c:v>
                </c:pt>
                <c:pt idx="7">
                  <c:v>162896</c:v>
                </c:pt>
                <c:pt idx="8">
                  <c:v>83764</c:v>
                </c:pt>
                <c:pt idx="9">
                  <c:v>49478</c:v>
                </c:pt>
                <c:pt idx="10">
                  <c:v>17435</c:v>
                </c:pt>
                <c:pt idx="11">
                  <c:v>20840</c:v>
                </c:pt>
                <c:pt idx="12">
                  <c:v>28039</c:v>
                </c:pt>
                <c:pt idx="13">
                  <c:v>33539</c:v>
                </c:pt>
                <c:pt idx="14">
                  <c:v>38224</c:v>
                </c:pt>
                <c:pt idx="15">
                  <c:v>2810</c:v>
                </c:pt>
              </c:numCache>
            </c:numRef>
          </c:val>
          <c:smooth val="0"/>
          <c:extLst>
            <c:ext xmlns:c16="http://schemas.microsoft.com/office/drawing/2014/chart" uri="{C3380CC4-5D6E-409C-BE32-E72D297353CC}">
              <c16:uniqueId val="{00000002-6104-426D-A780-8701CA4A7B3F}"/>
            </c:ext>
          </c:extLst>
        </c:ser>
        <c:ser>
          <c:idx val="3"/>
          <c:order val="3"/>
          <c:tx>
            <c:strRef>
              <c:f>pivot_table!$E$3:$E$4</c:f>
              <c:strCache>
                <c:ptCount val="1"/>
                <c:pt idx="0">
                  <c:v>Cashew</c:v>
                </c:pt>
              </c:strCache>
            </c:strRef>
          </c:tx>
          <c:spPr>
            <a:ln w="28575" cap="rnd">
              <a:solidFill>
                <a:schemeClr val="accent1">
                  <a:shade val="70000"/>
                </a:schemeClr>
              </a:solidFill>
              <a:round/>
            </a:ln>
            <a:effectLst/>
          </c:spPr>
          <c:marker>
            <c:symbol val="circle"/>
            <c:size val="5"/>
            <c:spPr>
              <a:solidFill>
                <a:schemeClr val="accent1">
                  <a:shade val="70000"/>
                </a:schemeClr>
              </a:solidFill>
              <a:ln w="9525">
                <a:solidFill>
                  <a:schemeClr val="accent1">
                    <a:shade val="70000"/>
                  </a:schemeClr>
                </a:solidFill>
              </a:ln>
              <a:effectLst/>
            </c:spPr>
          </c:marker>
          <c:cat>
            <c:strRef>
              <c:f>pivot_table!$A$5:$A$21</c:f>
              <c:strCache>
                <c:ptCount val="16"/>
                <c:pt idx="0">
                  <c:v>2004</c:v>
                </c:pt>
                <c:pt idx="1">
                  <c:v>2005</c:v>
                </c:pt>
                <c:pt idx="2">
                  <c:v>2006</c:v>
                </c:pt>
                <c:pt idx="3">
                  <c:v>2007</c:v>
                </c:pt>
                <c:pt idx="4">
                  <c:v>2008</c:v>
                </c:pt>
                <c:pt idx="5">
                  <c:v>2009</c:v>
                </c:pt>
                <c:pt idx="6">
                  <c:v>2010</c:v>
                </c:pt>
                <c:pt idx="7">
                  <c:v>2011</c:v>
                </c:pt>
                <c:pt idx="8">
                  <c:v>2012</c:v>
                </c:pt>
                <c:pt idx="9">
                  <c:v>2013</c:v>
                </c:pt>
                <c:pt idx="10">
                  <c:v>2014</c:v>
                </c:pt>
                <c:pt idx="11">
                  <c:v>2015</c:v>
                </c:pt>
                <c:pt idx="12">
                  <c:v>2016</c:v>
                </c:pt>
                <c:pt idx="13">
                  <c:v>2017</c:v>
                </c:pt>
                <c:pt idx="14">
                  <c:v>2018</c:v>
                </c:pt>
                <c:pt idx="15">
                  <c:v>2019</c:v>
                </c:pt>
              </c:strCache>
            </c:strRef>
          </c:cat>
          <c:val>
            <c:numRef>
              <c:f>pivot_table!$E$5:$E$21</c:f>
              <c:numCache>
                <c:formatCode>General</c:formatCode>
                <c:ptCount val="16"/>
                <c:pt idx="0">
                  <c:v>91767</c:v>
                </c:pt>
                <c:pt idx="1">
                  <c:v>12356</c:v>
                </c:pt>
                <c:pt idx="2">
                  <c:v>11558</c:v>
                </c:pt>
                <c:pt idx="3">
                  <c:v>11766</c:v>
                </c:pt>
                <c:pt idx="4">
                  <c:v>18200</c:v>
                </c:pt>
                <c:pt idx="5">
                  <c:v>16002</c:v>
                </c:pt>
                <c:pt idx="6">
                  <c:v>16930</c:v>
                </c:pt>
                <c:pt idx="7">
                  <c:v>16911</c:v>
                </c:pt>
                <c:pt idx="8">
                  <c:v>18113</c:v>
                </c:pt>
                <c:pt idx="9">
                  <c:v>20403</c:v>
                </c:pt>
                <c:pt idx="10">
                  <c:v>23586</c:v>
                </c:pt>
                <c:pt idx="11">
                  <c:v>29676</c:v>
                </c:pt>
                <c:pt idx="12">
                  <c:v>28355</c:v>
                </c:pt>
                <c:pt idx="13">
                  <c:v>38280</c:v>
                </c:pt>
                <c:pt idx="14">
                  <c:v>25356</c:v>
                </c:pt>
                <c:pt idx="15">
                  <c:v>121</c:v>
                </c:pt>
              </c:numCache>
            </c:numRef>
          </c:val>
          <c:smooth val="0"/>
          <c:extLst>
            <c:ext xmlns:c16="http://schemas.microsoft.com/office/drawing/2014/chart" uri="{C3380CC4-5D6E-409C-BE32-E72D297353CC}">
              <c16:uniqueId val="{00000002-7E91-40AF-8F68-0AC355E87BAD}"/>
            </c:ext>
          </c:extLst>
        </c:ser>
        <c:ser>
          <c:idx val="4"/>
          <c:order val="4"/>
          <c:tx>
            <c:strRef>
              <c:f>pivot_table!$F$3:$F$4</c:f>
              <c:strCache>
                <c:ptCount val="1"/>
                <c:pt idx="0">
                  <c:v>Cocoa</c:v>
                </c:pt>
              </c:strCache>
            </c:strRef>
          </c:tx>
          <c:spPr>
            <a:ln w="28575" cap="rnd">
              <a:solidFill>
                <a:schemeClr val="accent1">
                  <a:shade val="80000"/>
                </a:schemeClr>
              </a:solidFill>
              <a:round/>
            </a:ln>
            <a:effectLst/>
          </c:spPr>
          <c:marker>
            <c:symbol val="circle"/>
            <c:size val="5"/>
            <c:spPr>
              <a:solidFill>
                <a:schemeClr val="accent1">
                  <a:shade val="80000"/>
                </a:schemeClr>
              </a:solidFill>
              <a:ln w="9525">
                <a:solidFill>
                  <a:schemeClr val="accent1">
                    <a:shade val="80000"/>
                  </a:schemeClr>
                </a:solidFill>
              </a:ln>
              <a:effectLst/>
            </c:spPr>
          </c:marker>
          <c:cat>
            <c:strRef>
              <c:f>pivot_table!$A$5:$A$21</c:f>
              <c:strCache>
                <c:ptCount val="16"/>
                <c:pt idx="0">
                  <c:v>2004</c:v>
                </c:pt>
                <c:pt idx="1">
                  <c:v>2005</c:v>
                </c:pt>
                <c:pt idx="2">
                  <c:v>2006</c:v>
                </c:pt>
                <c:pt idx="3">
                  <c:v>2007</c:v>
                </c:pt>
                <c:pt idx="4">
                  <c:v>2008</c:v>
                </c:pt>
                <c:pt idx="5">
                  <c:v>2009</c:v>
                </c:pt>
                <c:pt idx="6">
                  <c:v>2010</c:v>
                </c:pt>
                <c:pt idx="7">
                  <c:v>2011</c:v>
                </c:pt>
                <c:pt idx="8">
                  <c:v>2012</c:v>
                </c:pt>
                <c:pt idx="9">
                  <c:v>2013</c:v>
                </c:pt>
                <c:pt idx="10">
                  <c:v>2014</c:v>
                </c:pt>
                <c:pt idx="11">
                  <c:v>2015</c:v>
                </c:pt>
                <c:pt idx="12">
                  <c:v>2016</c:v>
                </c:pt>
                <c:pt idx="13">
                  <c:v>2017</c:v>
                </c:pt>
                <c:pt idx="14">
                  <c:v>2018</c:v>
                </c:pt>
                <c:pt idx="15">
                  <c:v>2019</c:v>
                </c:pt>
              </c:strCache>
            </c:strRef>
          </c:cat>
          <c:val>
            <c:numRef>
              <c:f>pivot_table!$F$5:$F$21</c:f>
              <c:numCache>
                <c:formatCode>General</c:formatCode>
                <c:ptCount val="16"/>
                <c:pt idx="0">
                  <c:v>29705</c:v>
                </c:pt>
                <c:pt idx="1">
                  <c:v>6848</c:v>
                </c:pt>
                <c:pt idx="2">
                  <c:v>13</c:v>
                </c:pt>
                <c:pt idx="3">
                  <c:v>21</c:v>
                </c:pt>
                <c:pt idx="4">
                  <c:v>2101</c:v>
                </c:pt>
                <c:pt idx="5">
                  <c:v>2810</c:v>
                </c:pt>
                <c:pt idx="6">
                  <c:v>2930</c:v>
                </c:pt>
                <c:pt idx="7">
                  <c:v>6427</c:v>
                </c:pt>
                <c:pt idx="8">
                  <c:v>3531</c:v>
                </c:pt>
                <c:pt idx="9">
                  <c:v>5588</c:v>
                </c:pt>
                <c:pt idx="10">
                  <c:v>2064</c:v>
                </c:pt>
                <c:pt idx="11">
                  <c:v>4375</c:v>
                </c:pt>
                <c:pt idx="12">
                  <c:v>6944</c:v>
                </c:pt>
                <c:pt idx="13">
                  <c:v>3805</c:v>
                </c:pt>
                <c:pt idx="14">
                  <c:v>8613</c:v>
                </c:pt>
              </c:numCache>
            </c:numRef>
          </c:val>
          <c:smooth val="0"/>
          <c:extLst>
            <c:ext xmlns:c16="http://schemas.microsoft.com/office/drawing/2014/chart" uri="{C3380CC4-5D6E-409C-BE32-E72D297353CC}">
              <c16:uniqueId val="{00000003-7E91-40AF-8F68-0AC355E87BAD}"/>
            </c:ext>
          </c:extLst>
        </c:ser>
        <c:ser>
          <c:idx val="5"/>
          <c:order val="5"/>
          <c:tx>
            <c:strRef>
              <c:f>pivot_table!$G$3:$G$4</c:f>
              <c:strCache>
                <c:ptCount val="1"/>
                <c:pt idx="0">
                  <c:v>Coconut</c:v>
                </c:pt>
              </c:strCache>
            </c:strRef>
          </c:tx>
          <c:spPr>
            <a:ln w="28575" cap="rnd">
              <a:solidFill>
                <a:schemeClr val="accent1">
                  <a:shade val="90000"/>
                </a:schemeClr>
              </a:solidFill>
              <a:round/>
            </a:ln>
            <a:effectLst/>
          </c:spPr>
          <c:marker>
            <c:symbol val="circle"/>
            <c:size val="5"/>
            <c:spPr>
              <a:solidFill>
                <a:schemeClr val="accent1">
                  <a:shade val="90000"/>
                </a:schemeClr>
              </a:solidFill>
              <a:ln w="9525">
                <a:solidFill>
                  <a:schemeClr val="accent1">
                    <a:shade val="90000"/>
                  </a:schemeClr>
                </a:solidFill>
              </a:ln>
              <a:effectLst/>
            </c:spPr>
          </c:marker>
          <c:cat>
            <c:strRef>
              <c:f>pivot_table!$A$5:$A$21</c:f>
              <c:strCache>
                <c:ptCount val="16"/>
                <c:pt idx="0">
                  <c:v>2004</c:v>
                </c:pt>
                <c:pt idx="1">
                  <c:v>2005</c:v>
                </c:pt>
                <c:pt idx="2">
                  <c:v>2006</c:v>
                </c:pt>
                <c:pt idx="3">
                  <c:v>2007</c:v>
                </c:pt>
                <c:pt idx="4">
                  <c:v>2008</c:v>
                </c:pt>
                <c:pt idx="5">
                  <c:v>2009</c:v>
                </c:pt>
                <c:pt idx="6">
                  <c:v>2010</c:v>
                </c:pt>
                <c:pt idx="7">
                  <c:v>2011</c:v>
                </c:pt>
                <c:pt idx="8">
                  <c:v>2012</c:v>
                </c:pt>
                <c:pt idx="9">
                  <c:v>2013</c:v>
                </c:pt>
                <c:pt idx="10">
                  <c:v>2014</c:v>
                </c:pt>
                <c:pt idx="11">
                  <c:v>2015</c:v>
                </c:pt>
                <c:pt idx="12">
                  <c:v>2016</c:v>
                </c:pt>
                <c:pt idx="13">
                  <c:v>2017</c:v>
                </c:pt>
                <c:pt idx="14">
                  <c:v>2018</c:v>
                </c:pt>
                <c:pt idx="15">
                  <c:v>2019</c:v>
                </c:pt>
              </c:strCache>
            </c:strRef>
          </c:cat>
          <c:val>
            <c:numRef>
              <c:f>pivot_table!$G$5:$G$21</c:f>
              <c:numCache>
                <c:formatCode>General</c:formatCode>
                <c:ptCount val="16"/>
                <c:pt idx="0">
                  <c:v>14218694.890000001</c:v>
                </c:pt>
                <c:pt idx="1">
                  <c:v>2084148</c:v>
                </c:pt>
                <c:pt idx="2">
                  <c:v>1894914</c:v>
                </c:pt>
                <c:pt idx="3">
                  <c:v>2340762</c:v>
                </c:pt>
                <c:pt idx="4">
                  <c:v>2127743</c:v>
                </c:pt>
                <c:pt idx="5">
                  <c:v>1851507.8399999999</c:v>
                </c:pt>
                <c:pt idx="6">
                  <c:v>1912557</c:v>
                </c:pt>
                <c:pt idx="7">
                  <c:v>1942980.68</c:v>
                </c:pt>
                <c:pt idx="8">
                  <c:v>1206246.07</c:v>
                </c:pt>
                <c:pt idx="9">
                  <c:v>3244323.6799999997</c:v>
                </c:pt>
                <c:pt idx="10">
                  <c:v>3483488.98</c:v>
                </c:pt>
                <c:pt idx="11">
                  <c:v>3193419.84</c:v>
                </c:pt>
                <c:pt idx="12">
                  <c:v>3716787.98</c:v>
                </c:pt>
                <c:pt idx="13">
                  <c:v>3105607.0700000003</c:v>
                </c:pt>
                <c:pt idx="14">
                  <c:v>3318503.07</c:v>
                </c:pt>
                <c:pt idx="15">
                  <c:v>238054</c:v>
                </c:pt>
              </c:numCache>
            </c:numRef>
          </c:val>
          <c:smooth val="0"/>
          <c:extLst>
            <c:ext xmlns:c16="http://schemas.microsoft.com/office/drawing/2014/chart" uri="{C3380CC4-5D6E-409C-BE32-E72D297353CC}">
              <c16:uniqueId val="{00000004-7E91-40AF-8F68-0AC355E87BAD}"/>
            </c:ext>
          </c:extLst>
        </c:ser>
        <c:ser>
          <c:idx val="6"/>
          <c:order val="6"/>
          <c:tx>
            <c:strRef>
              <c:f>pivot_table!$H$3:$H$4</c:f>
              <c:strCache>
                <c:ptCount val="1"/>
                <c:pt idx="0">
                  <c:v>Coffee</c:v>
                </c:pt>
              </c:strCache>
            </c:strRef>
          </c:tx>
          <c:spPr>
            <a:ln w="28575" cap="rnd">
              <a:solidFill>
                <a:schemeClr val="accent1"/>
              </a:solidFill>
              <a:round/>
            </a:ln>
            <a:effectLst/>
          </c:spPr>
          <c:marker>
            <c:symbol val="circle"/>
            <c:size val="5"/>
            <c:spPr>
              <a:solidFill>
                <a:schemeClr val="accent1"/>
              </a:solidFill>
              <a:ln w="9525">
                <a:solidFill>
                  <a:schemeClr val="accent1"/>
                </a:solidFill>
              </a:ln>
              <a:effectLst/>
            </c:spPr>
          </c:marker>
          <c:cat>
            <c:strRef>
              <c:f>pivot_table!$A$5:$A$21</c:f>
              <c:strCache>
                <c:ptCount val="16"/>
                <c:pt idx="0">
                  <c:v>2004</c:v>
                </c:pt>
                <c:pt idx="1">
                  <c:v>2005</c:v>
                </c:pt>
                <c:pt idx="2">
                  <c:v>2006</c:v>
                </c:pt>
                <c:pt idx="3">
                  <c:v>2007</c:v>
                </c:pt>
                <c:pt idx="4">
                  <c:v>2008</c:v>
                </c:pt>
                <c:pt idx="5">
                  <c:v>2009</c:v>
                </c:pt>
                <c:pt idx="6">
                  <c:v>2010</c:v>
                </c:pt>
                <c:pt idx="7">
                  <c:v>2011</c:v>
                </c:pt>
                <c:pt idx="8">
                  <c:v>2012</c:v>
                </c:pt>
                <c:pt idx="9">
                  <c:v>2013</c:v>
                </c:pt>
                <c:pt idx="10">
                  <c:v>2014</c:v>
                </c:pt>
                <c:pt idx="11">
                  <c:v>2015</c:v>
                </c:pt>
                <c:pt idx="12">
                  <c:v>2016</c:v>
                </c:pt>
                <c:pt idx="13">
                  <c:v>2017</c:v>
                </c:pt>
                <c:pt idx="14">
                  <c:v>2018</c:v>
                </c:pt>
                <c:pt idx="15">
                  <c:v>2019</c:v>
                </c:pt>
              </c:strCache>
            </c:strRef>
          </c:cat>
          <c:val>
            <c:numRef>
              <c:f>pivot_table!$H$5:$H$21</c:f>
              <c:numCache>
                <c:formatCode>General</c:formatCode>
                <c:ptCount val="16"/>
                <c:pt idx="0">
                  <c:v>515764</c:v>
                </c:pt>
                <c:pt idx="1">
                  <c:v>16559</c:v>
                </c:pt>
                <c:pt idx="2">
                  <c:v>14511</c:v>
                </c:pt>
                <c:pt idx="3">
                  <c:v>14799</c:v>
                </c:pt>
                <c:pt idx="4">
                  <c:v>11410</c:v>
                </c:pt>
                <c:pt idx="5">
                  <c:v>17379</c:v>
                </c:pt>
                <c:pt idx="6">
                  <c:v>141234</c:v>
                </c:pt>
                <c:pt idx="7">
                  <c:v>214446</c:v>
                </c:pt>
                <c:pt idx="8">
                  <c:v>121097</c:v>
                </c:pt>
                <c:pt idx="9">
                  <c:v>172492</c:v>
                </c:pt>
                <c:pt idx="10">
                  <c:v>223356</c:v>
                </c:pt>
                <c:pt idx="11">
                  <c:v>116739</c:v>
                </c:pt>
                <c:pt idx="12">
                  <c:v>175950</c:v>
                </c:pt>
                <c:pt idx="13">
                  <c:v>95334</c:v>
                </c:pt>
                <c:pt idx="14">
                  <c:v>44411</c:v>
                </c:pt>
              </c:numCache>
            </c:numRef>
          </c:val>
          <c:smooth val="0"/>
          <c:extLst>
            <c:ext xmlns:c16="http://schemas.microsoft.com/office/drawing/2014/chart" uri="{C3380CC4-5D6E-409C-BE32-E72D297353CC}">
              <c16:uniqueId val="{00000005-7E91-40AF-8F68-0AC355E87BAD}"/>
            </c:ext>
          </c:extLst>
        </c:ser>
        <c:ser>
          <c:idx val="7"/>
          <c:order val="7"/>
          <c:tx>
            <c:strRef>
              <c:f>pivot_table!$I$3:$I$4</c:f>
              <c:strCache>
                <c:ptCount val="1"/>
                <c:pt idx="0">
                  <c:v>Cotton</c:v>
                </c:pt>
              </c:strCache>
            </c:strRef>
          </c:tx>
          <c:spPr>
            <a:ln w="28575" cap="rnd">
              <a:solidFill>
                <a:schemeClr val="accent1">
                  <a:tint val="90000"/>
                </a:schemeClr>
              </a:solidFill>
              <a:round/>
            </a:ln>
            <a:effectLst/>
          </c:spPr>
          <c:marker>
            <c:symbol val="circle"/>
            <c:size val="5"/>
            <c:spPr>
              <a:solidFill>
                <a:schemeClr val="accent1">
                  <a:tint val="90000"/>
                </a:schemeClr>
              </a:solidFill>
              <a:ln w="9525">
                <a:solidFill>
                  <a:schemeClr val="accent1">
                    <a:tint val="90000"/>
                  </a:schemeClr>
                </a:solidFill>
              </a:ln>
              <a:effectLst/>
            </c:spPr>
          </c:marker>
          <c:cat>
            <c:strRef>
              <c:f>pivot_table!$A$5:$A$21</c:f>
              <c:strCache>
                <c:ptCount val="16"/>
                <c:pt idx="0">
                  <c:v>2004</c:v>
                </c:pt>
                <c:pt idx="1">
                  <c:v>2005</c:v>
                </c:pt>
                <c:pt idx="2">
                  <c:v>2006</c:v>
                </c:pt>
                <c:pt idx="3">
                  <c:v>2007</c:v>
                </c:pt>
                <c:pt idx="4">
                  <c:v>2008</c:v>
                </c:pt>
                <c:pt idx="5">
                  <c:v>2009</c:v>
                </c:pt>
                <c:pt idx="6">
                  <c:v>2010</c:v>
                </c:pt>
                <c:pt idx="7">
                  <c:v>2011</c:v>
                </c:pt>
                <c:pt idx="8">
                  <c:v>2012</c:v>
                </c:pt>
                <c:pt idx="9">
                  <c:v>2013</c:v>
                </c:pt>
                <c:pt idx="10">
                  <c:v>2014</c:v>
                </c:pt>
                <c:pt idx="11">
                  <c:v>2015</c:v>
                </c:pt>
                <c:pt idx="12">
                  <c:v>2016</c:v>
                </c:pt>
                <c:pt idx="13">
                  <c:v>2017</c:v>
                </c:pt>
                <c:pt idx="14">
                  <c:v>2018</c:v>
                </c:pt>
                <c:pt idx="15">
                  <c:v>2019</c:v>
                </c:pt>
              </c:strCache>
            </c:strRef>
          </c:cat>
          <c:val>
            <c:numRef>
              <c:f>pivot_table!$I$5:$I$21</c:f>
              <c:numCache>
                <c:formatCode>General</c:formatCode>
                <c:ptCount val="16"/>
                <c:pt idx="0">
                  <c:v>186351</c:v>
                </c:pt>
                <c:pt idx="4">
                  <c:v>61126</c:v>
                </c:pt>
                <c:pt idx="5">
                  <c:v>623687</c:v>
                </c:pt>
                <c:pt idx="6">
                  <c:v>63504</c:v>
                </c:pt>
                <c:pt idx="7">
                  <c:v>63931</c:v>
                </c:pt>
                <c:pt idx="8">
                  <c:v>73730</c:v>
                </c:pt>
                <c:pt idx="10">
                  <c:v>3830</c:v>
                </c:pt>
                <c:pt idx="11">
                  <c:v>4</c:v>
                </c:pt>
                <c:pt idx="12">
                  <c:v>9</c:v>
                </c:pt>
                <c:pt idx="13">
                  <c:v>12</c:v>
                </c:pt>
              </c:numCache>
            </c:numRef>
          </c:val>
          <c:smooth val="0"/>
          <c:extLst>
            <c:ext xmlns:c16="http://schemas.microsoft.com/office/drawing/2014/chart" uri="{C3380CC4-5D6E-409C-BE32-E72D297353CC}">
              <c16:uniqueId val="{00000006-7E91-40AF-8F68-0AC355E87BAD}"/>
            </c:ext>
          </c:extLst>
        </c:ser>
        <c:ser>
          <c:idx val="8"/>
          <c:order val="8"/>
          <c:tx>
            <c:strRef>
              <c:f>pivot_table!$J$3:$J$4</c:f>
              <c:strCache>
                <c:ptCount val="1"/>
                <c:pt idx="0">
                  <c:v>Ginger</c:v>
                </c:pt>
              </c:strCache>
            </c:strRef>
          </c:tx>
          <c:spPr>
            <a:ln w="28575" cap="rnd">
              <a:solidFill>
                <a:schemeClr val="accent1">
                  <a:tint val="80000"/>
                </a:schemeClr>
              </a:solidFill>
              <a:round/>
            </a:ln>
            <a:effectLst/>
          </c:spPr>
          <c:marker>
            <c:symbol val="circle"/>
            <c:size val="5"/>
            <c:spPr>
              <a:solidFill>
                <a:schemeClr val="accent1">
                  <a:tint val="80000"/>
                </a:schemeClr>
              </a:solidFill>
              <a:ln w="9525">
                <a:solidFill>
                  <a:schemeClr val="accent1">
                    <a:tint val="80000"/>
                  </a:schemeClr>
                </a:solidFill>
              </a:ln>
              <a:effectLst/>
            </c:spPr>
          </c:marker>
          <c:cat>
            <c:strRef>
              <c:f>pivot_table!$A$5:$A$21</c:f>
              <c:strCache>
                <c:ptCount val="16"/>
                <c:pt idx="0">
                  <c:v>2004</c:v>
                </c:pt>
                <c:pt idx="1">
                  <c:v>2005</c:v>
                </c:pt>
                <c:pt idx="2">
                  <c:v>2006</c:v>
                </c:pt>
                <c:pt idx="3">
                  <c:v>2007</c:v>
                </c:pt>
                <c:pt idx="4">
                  <c:v>2008</c:v>
                </c:pt>
                <c:pt idx="5">
                  <c:v>2009</c:v>
                </c:pt>
                <c:pt idx="6">
                  <c:v>2010</c:v>
                </c:pt>
                <c:pt idx="7">
                  <c:v>2011</c:v>
                </c:pt>
                <c:pt idx="8">
                  <c:v>2012</c:v>
                </c:pt>
                <c:pt idx="9">
                  <c:v>2013</c:v>
                </c:pt>
                <c:pt idx="10">
                  <c:v>2014</c:v>
                </c:pt>
                <c:pt idx="11">
                  <c:v>2015</c:v>
                </c:pt>
                <c:pt idx="12">
                  <c:v>2016</c:v>
                </c:pt>
                <c:pt idx="13">
                  <c:v>2017</c:v>
                </c:pt>
                <c:pt idx="14">
                  <c:v>2018</c:v>
                </c:pt>
                <c:pt idx="15">
                  <c:v>2019</c:v>
                </c:pt>
              </c:strCache>
            </c:strRef>
          </c:cat>
          <c:val>
            <c:numRef>
              <c:f>pivot_table!$J$5:$J$21</c:f>
              <c:numCache>
                <c:formatCode>General</c:formatCode>
                <c:ptCount val="16"/>
                <c:pt idx="0">
                  <c:v>2289996</c:v>
                </c:pt>
                <c:pt idx="1">
                  <c:v>325504</c:v>
                </c:pt>
                <c:pt idx="2">
                  <c:v>305322</c:v>
                </c:pt>
                <c:pt idx="3">
                  <c:v>299872</c:v>
                </c:pt>
                <c:pt idx="4">
                  <c:v>382836</c:v>
                </c:pt>
                <c:pt idx="5">
                  <c:v>37878</c:v>
                </c:pt>
                <c:pt idx="6">
                  <c:v>205694</c:v>
                </c:pt>
                <c:pt idx="7">
                  <c:v>248396</c:v>
                </c:pt>
                <c:pt idx="8">
                  <c:v>207004</c:v>
                </c:pt>
                <c:pt idx="9">
                  <c:v>392138</c:v>
                </c:pt>
                <c:pt idx="10">
                  <c:v>572848</c:v>
                </c:pt>
                <c:pt idx="11">
                  <c:v>390014</c:v>
                </c:pt>
                <c:pt idx="12">
                  <c:v>407414</c:v>
                </c:pt>
                <c:pt idx="13">
                  <c:v>725925</c:v>
                </c:pt>
                <c:pt idx="14">
                  <c:v>502109</c:v>
                </c:pt>
                <c:pt idx="15">
                  <c:v>109748</c:v>
                </c:pt>
              </c:numCache>
            </c:numRef>
          </c:val>
          <c:smooth val="0"/>
          <c:extLst>
            <c:ext xmlns:c16="http://schemas.microsoft.com/office/drawing/2014/chart" uri="{C3380CC4-5D6E-409C-BE32-E72D297353CC}">
              <c16:uniqueId val="{00000007-7E91-40AF-8F68-0AC355E87BAD}"/>
            </c:ext>
          </c:extLst>
        </c:ser>
        <c:ser>
          <c:idx val="9"/>
          <c:order val="9"/>
          <c:tx>
            <c:strRef>
              <c:f>pivot_table!$K$3:$K$4</c:f>
              <c:strCache>
                <c:ptCount val="1"/>
                <c:pt idx="0">
                  <c:v>Groundnut</c:v>
                </c:pt>
              </c:strCache>
            </c:strRef>
          </c:tx>
          <c:spPr>
            <a:ln w="28575" cap="rnd">
              <a:solidFill>
                <a:schemeClr val="accent1">
                  <a:tint val="70000"/>
                </a:schemeClr>
              </a:solidFill>
              <a:round/>
            </a:ln>
            <a:effectLst/>
          </c:spPr>
          <c:marker>
            <c:symbol val="circle"/>
            <c:size val="5"/>
            <c:spPr>
              <a:solidFill>
                <a:schemeClr val="accent1">
                  <a:tint val="70000"/>
                </a:schemeClr>
              </a:solidFill>
              <a:ln w="9525">
                <a:solidFill>
                  <a:schemeClr val="accent1">
                    <a:tint val="70000"/>
                  </a:schemeClr>
                </a:solidFill>
              </a:ln>
              <a:effectLst/>
            </c:spPr>
          </c:marker>
          <c:cat>
            <c:strRef>
              <c:f>pivot_table!$A$5:$A$21</c:f>
              <c:strCache>
                <c:ptCount val="16"/>
                <c:pt idx="0">
                  <c:v>2004</c:v>
                </c:pt>
                <c:pt idx="1">
                  <c:v>2005</c:v>
                </c:pt>
                <c:pt idx="2">
                  <c:v>2006</c:v>
                </c:pt>
                <c:pt idx="3">
                  <c:v>2007</c:v>
                </c:pt>
                <c:pt idx="4">
                  <c:v>2008</c:v>
                </c:pt>
                <c:pt idx="5">
                  <c:v>2009</c:v>
                </c:pt>
                <c:pt idx="6">
                  <c:v>2010</c:v>
                </c:pt>
                <c:pt idx="7">
                  <c:v>2011</c:v>
                </c:pt>
                <c:pt idx="8">
                  <c:v>2012</c:v>
                </c:pt>
                <c:pt idx="9">
                  <c:v>2013</c:v>
                </c:pt>
                <c:pt idx="10">
                  <c:v>2014</c:v>
                </c:pt>
                <c:pt idx="11">
                  <c:v>2015</c:v>
                </c:pt>
                <c:pt idx="12">
                  <c:v>2016</c:v>
                </c:pt>
                <c:pt idx="13">
                  <c:v>2017</c:v>
                </c:pt>
                <c:pt idx="14">
                  <c:v>2018</c:v>
                </c:pt>
                <c:pt idx="15">
                  <c:v>2019</c:v>
                </c:pt>
              </c:strCache>
            </c:strRef>
          </c:cat>
          <c:val>
            <c:numRef>
              <c:f>pivot_table!$K$5:$K$21</c:f>
              <c:numCache>
                <c:formatCode>General</c:formatCode>
                <c:ptCount val="16"/>
                <c:pt idx="0">
                  <c:v>408284</c:v>
                </c:pt>
                <c:pt idx="1">
                  <c:v>23612</c:v>
                </c:pt>
                <c:pt idx="2">
                  <c:v>14136</c:v>
                </c:pt>
                <c:pt idx="3">
                  <c:v>14668</c:v>
                </c:pt>
                <c:pt idx="4">
                  <c:v>330395</c:v>
                </c:pt>
                <c:pt idx="5">
                  <c:v>20206</c:v>
                </c:pt>
                <c:pt idx="6">
                  <c:v>19935</c:v>
                </c:pt>
                <c:pt idx="7">
                  <c:v>19735</c:v>
                </c:pt>
                <c:pt idx="8">
                  <c:v>26671</c:v>
                </c:pt>
                <c:pt idx="9">
                  <c:v>31290</c:v>
                </c:pt>
                <c:pt idx="10">
                  <c:v>28456</c:v>
                </c:pt>
                <c:pt idx="11">
                  <c:v>24191</c:v>
                </c:pt>
                <c:pt idx="12">
                  <c:v>26202</c:v>
                </c:pt>
                <c:pt idx="13">
                  <c:v>26513</c:v>
                </c:pt>
                <c:pt idx="14">
                  <c:v>336304</c:v>
                </c:pt>
              </c:numCache>
            </c:numRef>
          </c:val>
          <c:smooth val="0"/>
          <c:extLst>
            <c:ext xmlns:c16="http://schemas.microsoft.com/office/drawing/2014/chart" uri="{C3380CC4-5D6E-409C-BE32-E72D297353CC}">
              <c16:uniqueId val="{00000008-7E91-40AF-8F68-0AC355E87BAD}"/>
            </c:ext>
          </c:extLst>
        </c:ser>
        <c:ser>
          <c:idx val="10"/>
          <c:order val="10"/>
          <c:tx>
            <c:strRef>
              <c:f>pivot_table!$L$3:$L$4</c:f>
              <c:strCache>
                <c:ptCount val="1"/>
                <c:pt idx="0">
                  <c:v>Paddy</c:v>
                </c:pt>
              </c:strCache>
            </c:strRef>
          </c:tx>
          <c:spPr>
            <a:ln w="28575" cap="rnd">
              <a:solidFill>
                <a:schemeClr val="accent1">
                  <a:tint val="60000"/>
                </a:schemeClr>
              </a:solidFill>
              <a:round/>
            </a:ln>
            <a:effectLst/>
          </c:spPr>
          <c:marker>
            <c:symbol val="circle"/>
            <c:size val="5"/>
            <c:spPr>
              <a:solidFill>
                <a:schemeClr val="accent1">
                  <a:tint val="60000"/>
                </a:schemeClr>
              </a:solidFill>
              <a:ln w="9525">
                <a:solidFill>
                  <a:schemeClr val="accent1">
                    <a:tint val="60000"/>
                  </a:schemeClr>
                </a:solidFill>
              </a:ln>
              <a:effectLst/>
            </c:spPr>
          </c:marker>
          <c:cat>
            <c:strRef>
              <c:f>pivot_table!$A$5:$A$21</c:f>
              <c:strCache>
                <c:ptCount val="16"/>
                <c:pt idx="0">
                  <c:v>2004</c:v>
                </c:pt>
                <c:pt idx="1">
                  <c:v>2005</c:v>
                </c:pt>
                <c:pt idx="2">
                  <c:v>2006</c:v>
                </c:pt>
                <c:pt idx="3">
                  <c:v>2007</c:v>
                </c:pt>
                <c:pt idx="4">
                  <c:v>2008</c:v>
                </c:pt>
                <c:pt idx="5">
                  <c:v>2009</c:v>
                </c:pt>
                <c:pt idx="6">
                  <c:v>2010</c:v>
                </c:pt>
                <c:pt idx="7">
                  <c:v>2011</c:v>
                </c:pt>
                <c:pt idx="8">
                  <c:v>2012</c:v>
                </c:pt>
                <c:pt idx="9">
                  <c:v>2013</c:v>
                </c:pt>
                <c:pt idx="10">
                  <c:v>2014</c:v>
                </c:pt>
                <c:pt idx="11">
                  <c:v>2015</c:v>
                </c:pt>
                <c:pt idx="12">
                  <c:v>2016</c:v>
                </c:pt>
                <c:pt idx="13">
                  <c:v>2017</c:v>
                </c:pt>
                <c:pt idx="14">
                  <c:v>2018</c:v>
                </c:pt>
                <c:pt idx="15">
                  <c:v>2019</c:v>
                </c:pt>
              </c:strCache>
            </c:strRef>
          </c:cat>
          <c:val>
            <c:numRef>
              <c:f>pivot_table!$L$5:$L$21</c:f>
              <c:numCache>
                <c:formatCode>General</c:formatCode>
                <c:ptCount val="16"/>
                <c:pt idx="0">
                  <c:v>703583</c:v>
                </c:pt>
                <c:pt idx="1">
                  <c:v>15257</c:v>
                </c:pt>
                <c:pt idx="2">
                  <c:v>15278</c:v>
                </c:pt>
                <c:pt idx="3">
                  <c:v>14174</c:v>
                </c:pt>
                <c:pt idx="4">
                  <c:v>9268</c:v>
                </c:pt>
                <c:pt idx="5">
                  <c:v>321301</c:v>
                </c:pt>
                <c:pt idx="6">
                  <c:v>9211</c:v>
                </c:pt>
                <c:pt idx="7">
                  <c:v>10541</c:v>
                </c:pt>
                <c:pt idx="8">
                  <c:v>8929</c:v>
                </c:pt>
                <c:pt idx="9">
                  <c:v>9850</c:v>
                </c:pt>
                <c:pt idx="10">
                  <c:v>11915</c:v>
                </c:pt>
                <c:pt idx="11">
                  <c:v>20499</c:v>
                </c:pt>
                <c:pt idx="12">
                  <c:v>17939</c:v>
                </c:pt>
                <c:pt idx="13">
                  <c:v>14234</c:v>
                </c:pt>
                <c:pt idx="14">
                  <c:v>327220</c:v>
                </c:pt>
              </c:numCache>
            </c:numRef>
          </c:val>
          <c:smooth val="0"/>
          <c:extLst>
            <c:ext xmlns:c16="http://schemas.microsoft.com/office/drawing/2014/chart" uri="{C3380CC4-5D6E-409C-BE32-E72D297353CC}">
              <c16:uniqueId val="{00000009-7E91-40AF-8F68-0AC355E87BAD}"/>
            </c:ext>
          </c:extLst>
        </c:ser>
        <c:ser>
          <c:idx val="11"/>
          <c:order val="11"/>
          <c:tx>
            <c:strRef>
              <c:f>pivot_table!$M$3:$M$4</c:f>
              <c:strCache>
                <c:ptCount val="1"/>
                <c:pt idx="0">
                  <c:v>Pepper</c:v>
                </c:pt>
              </c:strCache>
            </c:strRef>
          </c:tx>
          <c:spPr>
            <a:ln w="28575" cap="rnd">
              <a:solidFill>
                <a:schemeClr val="accent1">
                  <a:tint val="50000"/>
                </a:schemeClr>
              </a:solidFill>
              <a:round/>
            </a:ln>
            <a:effectLst/>
          </c:spPr>
          <c:marker>
            <c:symbol val="circle"/>
            <c:size val="5"/>
            <c:spPr>
              <a:solidFill>
                <a:schemeClr val="accent1">
                  <a:tint val="50000"/>
                </a:schemeClr>
              </a:solidFill>
              <a:ln w="9525">
                <a:solidFill>
                  <a:schemeClr val="accent1">
                    <a:tint val="50000"/>
                  </a:schemeClr>
                </a:solidFill>
              </a:ln>
              <a:effectLst/>
            </c:spPr>
          </c:marker>
          <c:cat>
            <c:strRef>
              <c:f>pivot_table!$A$5:$A$21</c:f>
              <c:strCache>
                <c:ptCount val="16"/>
                <c:pt idx="0">
                  <c:v>2004</c:v>
                </c:pt>
                <c:pt idx="1">
                  <c:v>2005</c:v>
                </c:pt>
                <c:pt idx="2">
                  <c:v>2006</c:v>
                </c:pt>
                <c:pt idx="3">
                  <c:v>2007</c:v>
                </c:pt>
                <c:pt idx="4">
                  <c:v>2008</c:v>
                </c:pt>
                <c:pt idx="5">
                  <c:v>2009</c:v>
                </c:pt>
                <c:pt idx="6">
                  <c:v>2010</c:v>
                </c:pt>
                <c:pt idx="7">
                  <c:v>2011</c:v>
                </c:pt>
                <c:pt idx="8">
                  <c:v>2012</c:v>
                </c:pt>
                <c:pt idx="9">
                  <c:v>2013</c:v>
                </c:pt>
                <c:pt idx="10">
                  <c:v>2014</c:v>
                </c:pt>
                <c:pt idx="11">
                  <c:v>2015</c:v>
                </c:pt>
                <c:pt idx="12">
                  <c:v>2016</c:v>
                </c:pt>
                <c:pt idx="13">
                  <c:v>2017</c:v>
                </c:pt>
                <c:pt idx="14">
                  <c:v>2018</c:v>
                </c:pt>
                <c:pt idx="15">
                  <c:v>2019</c:v>
                </c:pt>
              </c:strCache>
            </c:strRef>
          </c:cat>
          <c:val>
            <c:numRef>
              <c:f>pivot_table!$M$5:$M$21</c:f>
              <c:numCache>
                <c:formatCode>General</c:formatCode>
                <c:ptCount val="16"/>
                <c:pt idx="0">
                  <c:v>309810</c:v>
                </c:pt>
                <c:pt idx="1">
                  <c:v>7920</c:v>
                </c:pt>
                <c:pt idx="2">
                  <c:v>12654</c:v>
                </c:pt>
                <c:pt idx="3">
                  <c:v>10975</c:v>
                </c:pt>
                <c:pt idx="4">
                  <c:v>141902</c:v>
                </c:pt>
                <c:pt idx="5">
                  <c:v>88265</c:v>
                </c:pt>
                <c:pt idx="6">
                  <c:v>134986</c:v>
                </c:pt>
                <c:pt idx="7">
                  <c:v>91194</c:v>
                </c:pt>
                <c:pt idx="8">
                  <c:v>166611</c:v>
                </c:pt>
                <c:pt idx="9">
                  <c:v>253389</c:v>
                </c:pt>
                <c:pt idx="10">
                  <c:v>125713</c:v>
                </c:pt>
                <c:pt idx="11">
                  <c:v>45440</c:v>
                </c:pt>
                <c:pt idx="12">
                  <c:v>16950</c:v>
                </c:pt>
                <c:pt idx="13">
                  <c:v>145266</c:v>
                </c:pt>
                <c:pt idx="14">
                  <c:v>94768</c:v>
                </c:pt>
                <c:pt idx="15">
                  <c:v>4142</c:v>
                </c:pt>
              </c:numCache>
            </c:numRef>
          </c:val>
          <c:smooth val="0"/>
          <c:extLst>
            <c:ext xmlns:c16="http://schemas.microsoft.com/office/drawing/2014/chart" uri="{C3380CC4-5D6E-409C-BE32-E72D297353CC}">
              <c16:uniqueId val="{0000000A-7E91-40AF-8F68-0AC355E87BAD}"/>
            </c:ext>
          </c:extLst>
        </c:ser>
        <c:ser>
          <c:idx val="12"/>
          <c:order val="12"/>
          <c:tx>
            <c:strRef>
              <c:f>pivot_table!$N$3:$N$4</c:f>
              <c:strCache>
                <c:ptCount val="1"/>
                <c:pt idx="0">
                  <c:v>Tea</c:v>
                </c:pt>
              </c:strCache>
            </c:strRef>
          </c:tx>
          <c:spPr>
            <a:ln w="28575" cap="rnd">
              <a:solidFill>
                <a:schemeClr val="accent1">
                  <a:tint val="40000"/>
                </a:schemeClr>
              </a:solidFill>
              <a:round/>
            </a:ln>
            <a:effectLst/>
          </c:spPr>
          <c:marker>
            <c:symbol val="circle"/>
            <c:size val="5"/>
            <c:spPr>
              <a:solidFill>
                <a:schemeClr val="accent1">
                  <a:tint val="40000"/>
                </a:schemeClr>
              </a:solidFill>
              <a:ln w="9525">
                <a:solidFill>
                  <a:schemeClr val="accent1">
                    <a:tint val="40000"/>
                  </a:schemeClr>
                </a:solidFill>
              </a:ln>
              <a:effectLst/>
            </c:spPr>
          </c:marker>
          <c:cat>
            <c:strRef>
              <c:f>pivot_table!$A$5:$A$21</c:f>
              <c:strCache>
                <c:ptCount val="16"/>
                <c:pt idx="0">
                  <c:v>2004</c:v>
                </c:pt>
                <c:pt idx="1">
                  <c:v>2005</c:v>
                </c:pt>
                <c:pt idx="2">
                  <c:v>2006</c:v>
                </c:pt>
                <c:pt idx="3">
                  <c:v>2007</c:v>
                </c:pt>
                <c:pt idx="4">
                  <c:v>2008</c:v>
                </c:pt>
                <c:pt idx="5">
                  <c:v>2009</c:v>
                </c:pt>
                <c:pt idx="6">
                  <c:v>2010</c:v>
                </c:pt>
                <c:pt idx="7">
                  <c:v>2011</c:v>
                </c:pt>
                <c:pt idx="8">
                  <c:v>2012</c:v>
                </c:pt>
                <c:pt idx="9">
                  <c:v>2013</c:v>
                </c:pt>
                <c:pt idx="10">
                  <c:v>2014</c:v>
                </c:pt>
                <c:pt idx="11">
                  <c:v>2015</c:v>
                </c:pt>
                <c:pt idx="12">
                  <c:v>2016</c:v>
                </c:pt>
                <c:pt idx="13">
                  <c:v>2017</c:v>
                </c:pt>
                <c:pt idx="14">
                  <c:v>2018</c:v>
                </c:pt>
                <c:pt idx="15">
                  <c:v>2019</c:v>
                </c:pt>
              </c:strCache>
            </c:strRef>
          </c:cat>
          <c:val>
            <c:numRef>
              <c:f>pivot_table!$N$5:$N$21</c:f>
              <c:numCache>
                <c:formatCode>General</c:formatCode>
                <c:ptCount val="16"/>
                <c:pt idx="0">
                  <c:v>1043448</c:v>
                </c:pt>
                <c:pt idx="1">
                  <c:v>84374</c:v>
                </c:pt>
                <c:pt idx="2">
                  <c:v>43487</c:v>
                </c:pt>
                <c:pt idx="3">
                  <c:v>19441</c:v>
                </c:pt>
                <c:pt idx="4">
                  <c:v>327891</c:v>
                </c:pt>
                <c:pt idx="5">
                  <c:v>11679</c:v>
                </c:pt>
                <c:pt idx="6">
                  <c:v>447576</c:v>
                </c:pt>
                <c:pt idx="7">
                  <c:v>87729</c:v>
                </c:pt>
                <c:pt idx="8">
                  <c:v>354045</c:v>
                </c:pt>
                <c:pt idx="9">
                  <c:v>332133</c:v>
                </c:pt>
                <c:pt idx="10">
                  <c:v>331164</c:v>
                </c:pt>
                <c:pt idx="11">
                  <c:v>141939</c:v>
                </c:pt>
                <c:pt idx="12">
                  <c:v>117925</c:v>
                </c:pt>
                <c:pt idx="13">
                  <c:v>47990</c:v>
                </c:pt>
                <c:pt idx="14">
                  <c:v>23824</c:v>
                </c:pt>
                <c:pt idx="15">
                  <c:v>1868</c:v>
                </c:pt>
              </c:numCache>
            </c:numRef>
          </c:val>
          <c:smooth val="0"/>
          <c:extLst>
            <c:ext xmlns:c16="http://schemas.microsoft.com/office/drawing/2014/chart" uri="{C3380CC4-5D6E-409C-BE32-E72D297353CC}">
              <c16:uniqueId val="{0000000B-7E91-40AF-8F68-0AC355E87BAD}"/>
            </c:ext>
          </c:extLst>
        </c:ser>
        <c:dLbls>
          <c:showLegendKey val="0"/>
          <c:showVal val="0"/>
          <c:showCatName val="0"/>
          <c:showSerName val="0"/>
          <c:showPercent val="0"/>
          <c:showBubbleSize val="0"/>
        </c:dLbls>
        <c:marker val="1"/>
        <c:smooth val="0"/>
        <c:axId val="1322063967"/>
        <c:axId val="1322062527"/>
      </c:lineChart>
      <c:catAx>
        <c:axId val="1322063967"/>
        <c:scaling>
          <c:orientation val="minMax"/>
        </c:scaling>
        <c:delete val="0"/>
        <c:axPos val="b"/>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322062527"/>
        <c:crosses val="autoZero"/>
        <c:auto val="1"/>
        <c:lblAlgn val="ctr"/>
        <c:lblOffset val="100"/>
        <c:noMultiLvlLbl val="0"/>
      </c:catAx>
      <c:valAx>
        <c:axId val="1322062527"/>
        <c:scaling>
          <c:orientation val="minMax"/>
        </c:scaling>
        <c:delete val="1"/>
        <c:axPos val="l"/>
        <c:numFmt formatCode="General" sourceLinked="1"/>
        <c:majorTickMark val="out"/>
        <c:minorTickMark val="none"/>
        <c:tickLblPos val="nextTo"/>
        <c:crossAx val="1322063967"/>
        <c:crosses val="autoZero"/>
        <c:crossBetween val="between"/>
      </c:valAx>
      <c:spPr>
        <a:noFill/>
        <a:ln>
          <a:noFill/>
        </a:ln>
        <a:effectLst/>
      </c:spPr>
    </c:plotArea>
    <c:legend>
      <c:legendPos val="r"/>
      <c:layout>
        <c:manualLayout>
          <c:xMode val="edge"/>
          <c:yMode val="edge"/>
          <c:x val="0.76286129378119671"/>
          <c:y val="9.1193442926693707E-2"/>
          <c:w val="0.21005999250093735"/>
          <c:h val="0.87662951222006347"/>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sVisible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3"/>
    </mc:Choice>
    <mc:Fallback>
      <c:style val="3"/>
    </mc:Fallback>
  </mc:AlternateContent>
  <c:pivotSource>
    <c:name>[data_season_clean.xlsx]pivot_table!PivotTable4</c:name>
    <c:fmtId val="7"/>
  </c:pivotSource>
  <c:chart>
    <c:autoTitleDeleted val="1"/>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solidFill>
          <a:ln w="19050">
            <a:solidFill>
              <a:schemeClr val="lt1"/>
            </a:solidFill>
          </a:ln>
          <a:effectLst/>
        </c:spPr>
      </c:pivotFmt>
      <c:pivotFmt>
        <c:idx val="3"/>
        <c:spPr>
          <a:solidFill>
            <a:schemeClr val="accent1"/>
          </a:solidFill>
          <a:ln w="19050">
            <a:solidFill>
              <a:schemeClr val="lt1"/>
            </a:solidFill>
          </a:ln>
          <a:effectLst/>
        </c:spPr>
      </c:pivotFmt>
      <c:pivotFmt>
        <c:idx val="4"/>
        <c:spPr>
          <a:solidFill>
            <a:schemeClr val="accent1"/>
          </a:solidFill>
          <a:ln w="19050">
            <a:solidFill>
              <a:schemeClr val="lt1"/>
            </a:solidFill>
          </a:ln>
          <a:effectLst/>
        </c:spPr>
      </c:pivotFmt>
      <c:pivotFmt>
        <c:idx val="5"/>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6"/>
        <c:spPr>
          <a:solidFill>
            <a:schemeClr val="accent1">
              <a:shade val="65000"/>
            </a:schemeClr>
          </a:solidFill>
          <a:ln w="19050">
            <a:solidFill>
              <a:schemeClr val="lt1"/>
            </a:solidFill>
          </a:ln>
          <a:effectLst/>
        </c:spPr>
      </c:pivotFmt>
      <c:pivotFmt>
        <c:idx val="7"/>
        <c:spPr>
          <a:solidFill>
            <a:schemeClr val="accent1"/>
          </a:solidFill>
          <a:ln w="19050">
            <a:solidFill>
              <a:schemeClr val="lt1"/>
            </a:solidFill>
          </a:ln>
          <a:effectLst/>
        </c:spPr>
      </c:pivotFmt>
      <c:pivotFmt>
        <c:idx val="8"/>
        <c:spPr>
          <a:solidFill>
            <a:schemeClr val="accent1">
              <a:tint val="65000"/>
            </a:schemeClr>
          </a:solidFill>
          <a:ln w="19050">
            <a:solidFill>
              <a:schemeClr val="lt1"/>
            </a:solidFill>
          </a:ln>
          <a:effectLst/>
        </c:spPr>
      </c:pivotFmt>
    </c:pivotFmts>
    <c:plotArea>
      <c:layout/>
      <c:pieChart>
        <c:varyColors val="1"/>
        <c:ser>
          <c:idx val="0"/>
          <c:order val="0"/>
          <c:tx>
            <c:strRef>
              <c:f>pivot_table!$C$41</c:f>
              <c:strCache>
                <c:ptCount val="1"/>
                <c:pt idx="0">
                  <c:v>Total</c:v>
                </c:pt>
              </c:strCache>
            </c:strRef>
          </c:tx>
          <c:dPt>
            <c:idx val="0"/>
            <c:bubble3D val="0"/>
            <c:spPr>
              <a:solidFill>
                <a:schemeClr val="accent1">
                  <a:shade val="65000"/>
                </a:schemeClr>
              </a:solidFill>
              <a:ln w="19050">
                <a:solidFill>
                  <a:schemeClr val="lt1"/>
                </a:solidFill>
              </a:ln>
              <a:effectLst/>
            </c:spPr>
            <c:extLst>
              <c:ext xmlns:c16="http://schemas.microsoft.com/office/drawing/2014/chart" uri="{C3380CC4-5D6E-409C-BE32-E72D297353CC}">
                <c16:uniqueId val="{00000001-3614-410F-B13B-F9F3C4F9ECF4}"/>
              </c:ext>
            </c:extLst>
          </c:dPt>
          <c:dPt>
            <c:idx val="1"/>
            <c:bubble3D val="0"/>
            <c:spPr>
              <a:solidFill>
                <a:schemeClr val="accent1"/>
              </a:solidFill>
              <a:ln w="19050">
                <a:solidFill>
                  <a:schemeClr val="lt1"/>
                </a:solidFill>
              </a:ln>
              <a:effectLst/>
            </c:spPr>
            <c:extLst>
              <c:ext xmlns:c16="http://schemas.microsoft.com/office/drawing/2014/chart" uri="{C3380CC4-5D6E-409C-BE32-E72D297353CC}">
                <c16:uniqueId val="{00000003-3614-410F-B13B-F9F3C4F9ECF4}"/>
              </c:ext>
            </c:extLst>
          </c:dPt>
          <c:dPt>
            <c:idx val="2"/>
            <c:bubble3D val="0"/>
            <c:spPr>
              <a:solidFill>
                <a:schemeClr val="accent1">
                  <a:tint val="65000"/>
                </a:schemeClr>
              </a:solidFill>
              <a:ln w="19050">
                <a:solidFill>
                  <a:schemeClr val="lt1"/>
                </a:solidFill>
              </a:ln>
              <a:effectLst/>
            </c:spPr>
            <c:extLst>
              <c:ext xmlns:c16="http://schemas.microsoft.com/office/drawing/2014/chart" uri="{C3380CC4-5D6E-409C-BE32-E72D297353CC}">
                <c16:uniqueId val="{00000005-3614-410F-B13B-F9F3C4F9ECF4}"/>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pivot_table!$B$42:$B$45</c:f>
              <c:strCache>
                <c:ptCount val="3"/>
                <c:pt idx="0">
                  <c:v>Kharif</c:v>
                </c:pt>
                <c:pt idx="1">
                  <c:v>Rabi</c:v>
                </c:pt>
                <c:pt idx="2">
                  <c:v>Zaid</c:v>
                </c:pt>
              </c:strCache>
            </c:strRef>
          </c:cat>
          <c:val>
            <c:numRef>
              <c:f>pivot_table!$C$42:$C$45</c:f>
              <c:numCache>
                <c:formatCode>General</c:formatCode>
                <c:ptCount val="3"/>
                <c:pt idx="0">
                  <c:v>12252109.82</c:v>
                </c:pt>
                <c:pt idx="1">
                  <c:v>43405356.460000001</c:v>
                </c:pt>
                <c:pt idx="2">
                  <c:v>17794382.82</c:v>
                </c:pt>
              </c:numCache>
            </c:numRef>
          </c:val>
          <c:extLst>
            <c:ext xmlns:c16="http://schemas.microsoft.com/office/drawing/2014/chart" uri="{C3380CC4-5D6E-409C-BE32-E72D297353CC}">
              <c16:uniqueId val="{00000006-3614-410F-B13B-F9F3C4F9ECF4}"/>
            </c:ext>
          </c:extLst>
        </c:ser>
        <c:dLbls>
          <c:dLblPos val="outEnd"/>
          <c:showLegendKey val="0"/>
          <c:showVal val="1"/>
          <c:showCatName val="0"/>
          <c:showSerName val="0"/>
          <c:showPercent val="0"/>
          <c:showBubbleSize val="0"/>
          <c:showLeaderLines val="1"/>
        </c:dLbls>
        <c:firstSliceAng val="0"/>
      </c:pie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Data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3"/>
    </mc:Choice>
    <mc:Fallback>
      <c:style val="3"/>
    </mc:Fallback>
  </mc:AlternateContent>
  <c:pivotSource>
    <c:name>[data_season_clean.xlsx]pivot_table!PivotTable3</c:name>
    <c:fmtId val="9"/>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8"/>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9"/>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7"/>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8"/>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9"/>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7"/>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8"/>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9"/>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2"/>
        <c:spPr>
          <a:solidFill>
            <a:schemeClr val="accent1"/>
          </a:solidFill>
          <a:ln w="25400">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3"/>
        <c:spPr>
          <a:solidFill>
            <a:schemeClr val="accent1"/>
          </a:solidFill>
          <a:ln w="25400">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4"/>
        <c:spPr>
          <a:solidFill>
            <a:schemeClr val="accent1"/>
          </a:solidFill>
          <a:ln w="25400">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5"/>
        <c:spPr>
          <a:solidFill>
            <a:schemeClr val="accent1"/>
          </a:solidFill>
          <a:ln w="25400">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6"/>
        <c:spPr>
          <a:solidFill>
            <a:schemeClr val="accent1"/>
          </a:solidFill>
          <a:ln w="25400">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7"/>
        <c:spPr>
          <a:solidFill>
            <a:schemeClr val="accent1"/>
          </a:solidFill>
          <a:ln w="25400">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8"/>
        <c:spPr>
          <a:solidFill>
            <a:schemeClr val="accent1"/>
          </a:solidFill>
          <a:ln w="25400">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11995350892988688"/>
          <c:y val="0.26537678207739313"/>
          <c:w val="0.59163951959227545"/>
          <c:h val="0.34964692549887477"/>
        </c:manualLayout>
      </c:layout>
      <c:areaChart>
        <c:grouping val="standard"/>
        <c:varyColors val="0"/>
        <c:ser>
          <c:idx val="0"/>
          <c:order val="0"/>
          <c:tx>
            <c:strRef>
              <c:f>pivot_table!$C$24:$C$25</c:f>
              <c:strCache>
                <c:ptCount val="1"/>
                <c:pt idx="0">
                  <c:v>Arecanut</c:v>
                </c:pt>
              </c:strCache>
            </c:strRef>
          </c:tx>
          <c:spPr>
            <a:solidFill>
              <a:schemeClr val="accent1">
                <a:shade val="40000"/>
              </a:schemeClr>
            </a:solidFill>
            <a:ln>
              <a:noFill/>
            </a:ln>
            <a:effectLst/>
          </c:spPr>
          <c:cat>
            <c:strRef>
              <c:f>pivot_table!$B$26:$B$37</c:f>
              <c:strCache>
                <c:ptCount val="11"/>
                <c:pt idx="0">
                  <c:v>Bangalore</c:v>
                </c:pt>
                <c:pt idx="1">
                  <c:v>Chikmangaluru</c:v>
                </c:pt>
                <c:pt idx="2">
                  <c:v>Davangere</c:v>
                </c:pt>
                <c:pt idx="3">
                  <c:v>Gulbarga</c:v>
                </c:pt>
                <c:pt idx="4">
                  <c:v>Hassan</c:v>
                </c:pt>
                <c:pt idx="5">
                  <c:v>Kasaragodu</c:v>
                </c:pt>
                <c:pt idx="6">
                  <c:v>Kodagu</c:v>
                </c:pt>
                <c:pt idx="7">
                  <c:v>Madikeri</c:v>
                </c:pt>
                <c:pt idx="8">
                  <c:v>Mangalore</c:v>
                </c:pt>
                <c:pt idx="9">
                  <c:v>Mysuru</c:v>
                </c:pt>
                <c:pt idx="10">
                  <c:v>Raichur</c:v>
                </c:pt>
              </c:strCache>
            </c:strRef>
          </c:cat>
          <c:val>
            <c:numRef>
              <c:f>pivot_table!$C$26:$C$37</c:f>
              <c:numCache>
                <c:formatCode>General</c:formatCode>
                <c:ptCount val="11"/>
                <c:pt idx="1">
                  <c:v>1727452</c:v>
                </c:pt>
                <c:pt idx="3">
                  <c:v>1367996</c:v>
                </c:pt>
                <c:pt idx="4">
                  <c:v>2801894</c:v>
                </c:pt>
                <c:pt idx="5">
                  <c:v>1367996</c:v>
                </c:pt>
                <c:pt idx="6">
                  <c:v>2092808</c:v>
                </c:pt>
                <c:pt idx="7">
                  <c:v>2310634</c:v>
                </c:pt>
                <c:pt idx="9">
                  <c:v>643184</c:v>
                </c:pt>
                <c:pt idx="10">
                  <c:v>1367996</c:v>
                </c:pt>
              </c:numCache>
            </c:numRef>
          </c:val>
          <c:extLst>
            <c:ext xmlns:c16="http://schemas.microsoft.com/office/drawing/2014/chart" uri="{C3380CC4-5D6E-409C-BE32-E72D297353CC}">
              <c16:uniqueId val="{00000000-B337-41F1-A216-984DC94327C2}"/>
            </c:ext>
          </c:extLst>
        </c:ser>
        <c:ser>
          <c:idx val="1"/>
          <c:order val="1"/>
          <c:tx>
            <c:strRef>
              <c:f>pivot_table!$D$24:$D$25</c:f>
              <c:strCache>
                <c:ptCount val="1"/>
                <c:pt idx="0">
                  <c:v>Blackgram</c:v>
                </c:pt>
              </c:strCache>
            </c:strRef>
          </c:tx>
          <c:spPr>
            <a:solidFill>
              <a:schemeClr val="accent1">
                <a:shade val="50000"/>
              </a:schemeClr>
            </a:solidFill>
            <a:ln>
              <a:noFill/>
            </a:ln>
            <a:effectLst/>
          </c:spPr>
          <c:cat>
            <c:strRef>
              <c:f>pivot_table!$B$26:$B$37</c:f>
              <c:strCache>
                <c:ptCount val="11"/>
                <c:pt idx="0">
                  <c:v>Bangalore</c:v>
                </c:pt>
                <c:pt idx="1">
                  <c:v>Chikmangaluru</c:v>
                </c:pt>
                <c:pt idx="2">
                  <c:v>Davangere</c:v>
                </c:pt>
                <c:pt idx="3">
                  <c:v>Gulbarga</c:v>
                </c:pt>
                <c:pt idx="4">
                  <c:v>Hassan</c:v>
                </c:pt>
                <c:pt idx="5">
                  <c:v>Kasaragodu</c:v>
                </c:pt>
                <c:pt idx="6">
                  <c:v>Kodagu</c:v>
                </c:pt>
                <c:pt idx="7">
                  <c:v>Madikeri</c:v>
                </c:pt>
                <c:pt idx="8">
                  <c:v>Mangalore</c:v>
                </c:pt>
                <c:pt idx="9">
                  <c:v>Mysuru</c:v>
                </c:pt>
                <c:pt idx="10">
                  <c:v>Raichur</c:v>
                </c:pt>
              </c:strCache>
            </c:strRef>
          </c:cat>
          <c:val>
            <c:numRef>
              <c:f>pivot_table!$D$26:$D$37</c:f>
              <c:numCache>
                <c:formatCode>General</c:formatCode>
                <c:ptCount val="11"/>
                <c:pt idx="1">
                  <c:v>1985712</c:v>
                </c:pt>
                <c:pt idx="2">
                  <c:v>1116632</c:v>
                </c:pt>
                <c:pt idx="3">
                  <c:v>1116632</c:v>
                </c:pt>
                <c:pt idx="4">
                  <c:v>3597448</c:v>
                </c:pt>
                <c:pt idx="5">
                  <c:v>1116632</c:v>
                </c:pt>
                <c:pt idx="8">
                  <c:v>1116632</c:v>
                </c:pt>
                <c:pt idx="10">
                  <c:v>1116632</c:v>
                </c:pt>
              </c:numCache>
            </c:numRef>
          </c:val>
          <c:extLst>
            <c:ext xmlns:c16="http://schemas.microsoft.com/office/drawing/2014/chart" uri="{C3380CC4-5D6E-409C-BE32-E72D297353CC}">
              <c16:uniqueId val="{00000001-B337-41F1-A216-984DC94327C2}"/>
            </c:ext>
          </c:extLst>
        </c:ser>
        <c:ser>
          <c:idx val="2"/>
          <c:order val="2"/>
          <c:tx>
            <c:strRef>
              <c:f>pivot_table!$E$24:$E$25</c:f>
              <c:strCache>
                <c:ptCount val="1"/>
                <c:pt idx="0">
                  <c:v>Cardamum</c:v>
                </c:pt>
              </c:strCache>
            </c:strRef>
          </c:tx>
          <c:spPr>
            <a:solidFill>
              <a:schemeClr val="accent1">
                <a:shade val="60000"/>
              </a:schemeClr>
            </a:solidFill>
            <a:ln>
              <a:noFill/>
            </a:ln>
            <a:effectLst/>
          </c:spPr>
          <c:cat>
            <c:strRef>
              <c:f>pivot_table!$B$26:$B$37</c:f>
              <c:strCache>
                <c:ptCount val="11"/>
                <c:pt idx="0">
                  <c:v>Bangalore</c:v>
                </c:pt>
                <c:pt idx="1">
                  <c:v>Chikmangaluru</c:v>
                </c:pt>
                <c:pt idx="2">
                  <c:v>Davangere</c:v>
                </c:pt>
                <c:pt idx="3">
                  <c:v>Gulbarga</c:v>
                </c:pt>
                <c:pt idx="4">
                  <c:v>Hassan</c:v>
                </c:pt>
                <c:pt idx="5">
                  <c:v>Kasaragodu</c:v>
                </c:pt>
                <c:pt idx="6">
                  <c:v>Kodagu</c:v>
                </c:pt>
                <c:pt idx="7">
                  <c:v>Madikeri</c:v>
                </c:pt>
                <c:pt idx="8">
                  <c:v>Mangalore</c:v>
                </c:pt>
                <c:pt idx="9">
                  <c:v>Mysuru</c:v>
                </c:pt>
                <c:pt idx="10">
                  <c:v>Raichur</c:v>
                </c:pt>
              </c:strCache>
            </c:strRef>
          </c:cat>
          <c:val>
            <c:numRef>
              <c:f>pivot_table!$E$26:$E$37</c:f>
              <c:numCache>
                <c:formatCode>General</c:formatCode>
                <c:ptCount val="11"/>
                <c:pt idx="3">
                  <c:v>2105275</c:v>
                </c:pt>
                <c:pt idx="4">
                  <c:v>2380575</c:v>
                </c:pt>
                <c:pt idx="5">
                  <c:v>25609</c:v>
                </c:pt>
                <c:pt idx="6">
                  <c:v>2633980</c:v>
                </c:pt>
                <c:pt idx="7">
                  <c:v>1576175</c:v>
                </c:pt>
                <c:pt idx="8">
                  <c:v>1804594</c:v>
                </c:pt>
                <c:pt idx="9">
                  <c:v>385437</c:v>
                </c:pt>
                <c:pt idx="10">
                  <c:v>1212405</c:v>
                </c:pt>
              </c:numCache>
            </c:numRef>
          </c:val>
          <c:extLst>
            <c:ext xmlns:c16="http://schemas.microsoft.com/office/drawing/2014/chart" uri="{C3380CC4-5D6E-409C-BE32-E72D297353CC}">
              <c16:uniqueId val="{00000002-B337-41F1-A216-984DC94327C2}"/>
            </c:ext>
          </c:extLst>
        </c:ser>
        <c:ser>
          <c:idx val="3"/>
          <c:order val="3"/>
          <c:tx>
            <c:strRef>
              <c:f>pivot_table!$F$24:$F$25</c:f>
              <c:strCache>
                <c:ptCount val="1"/>
                <c:pt idx="0">
                  <c:v>Cashew</c:v>
                </c:pt>
              </c:strCache>
            </c:strRef>
          </c:tx>
          <c:spPr>
            <a:solidFill>
              <a:schemeClr val="accent1">
                <a:shade val="70000"/>
              </a:schemeClr>
            </a:solidFill>
            <a:ln>
              <a:noFill/>
            </a:ln>
            <a:effectLst/>
          </c:spPr>
          <c:cat>
            <c:strRef>
              <c:f>pivot_table!$B$26:$B$37</c:f>
              <c:strCache>
                <c:ptCount val="11"/>
                <c:pt idx="0">
                  <c:v>Bangalore</c:v>
                </c:pt>
                <c:pt idx="1">
                  <c:v>Chikmangaluru</c:v>
                </c:pt>
                <c:pt idx="2">
                  <c:v>Davangere</c:v>
                </c:pt>
                <c:pt idx="3">
                  <c:v>Gulbarga</c:v>
                </c:pt>
                <c:pt idx="4">
                  <c:v>Hassan</c:v>
                </c:pt>
                <c:pt idx="5">
                  <c:v>Kasaragodu</c:v>
                </c:pt>
                <c:pt idx="6">
                  <c:v>Kodagu</c:v>
                </c:pt>
                <c:pt idx="7">
                  <c:v>Madikeri</c:v>
                </c:pt>
                <c:pt idx="8">
                  <c:v>Mangalore</c:v>
                </c:pt>
                <c:pt idx="9">
                  <c:v>Mysuru</c:v>
                </c:pt>
                <c:pt idx="10">
                  <c:v>Raichur</c:v>
                </c:pt>
              </c:strCache>
            </c:strRef>
          </c:cat>
          <c:val>
            <c:numRef>
              <c:f>pivot_table!$F$26:$F$37</c:f>
              <c:numCache>
                <c:formatCode>General</c:formatCode>
                <c:ptCount val="11"/>
                <c:pt idx="1">
                  <c:v>886707</c:v>
                </c:pt>
                <c:pt idx="2">
                  <c:v>1245042</c:v>
                </c:pt>
                <c:pt idx="3">
                  <c:v>1844766</c:v>
                </c:pt>
                <c:pt idx="4">
                  <c:v>3422780</c:v>
                </c:pt>
                <c:pt idx="5">
                  <c:v>285862</c:v>
                </c:pt>
                <c:pt idx="8">
                  <c:v>2802430</c:v>
                </c:pt>
                <c:pt idx="10">
                  <c:v>1604498</c:v>
                </c:pt>
              </c:numCache>
            </c:numRef>
          </c:val>
          <c:extLst>
            <c:ext xmlns:c16="http://schemas.microsoft.com/office/drawing/2014/chart" uri="{C3380CC4-5D6E-409C-BE32-E72D297353CC}">
              <c16:uniqueId val="{00000002-44A0-4ABA-A1FF-9088A0405A40}"/>
            </c:ext>
          </c:extLst>
        </c:ser>
        <c:ser>
          <c:idx val="4"/>
          <c:order val="4"/>
          <c:tx>
            <c:strRef>
              <c:f>pivot_table!$G$24:$G$25</c:f>
              <c:strCache>
                <c:ptCount val="1"/>
                <c:pt idx="0">
                  <c:v>Cocoa</c:v>
                </c:pt>
              </c:strCache>
            </c:strRef>
          </c:tx>
          <c:spPr>
            <a:solidFill>
              <a:schemeClr val="accent1">
                <a:shade val="80000"/>
              </a:schemeClr>
            </a:solidFill>
            <a:ln>
              <a:noFill/>
            </a:ln>
            <a:effectLst/>
          </c:spPr>
          <c:cat>
            <c:strRef>
              <c:f>pivot_table!$B$26:$B$37</c:f>
              <c:strCache>
                <c:ptCount val="11"/>
                <c:pt idx="0">
                  <c:v>Bangalore</c:v>
                </c:pt>
                <c:pt idx="1">
                  <c:v>Chikmangaluru</c:v>
                </c:pt>
                <c:pt idx="2">
                  <c:v>Davangere</c:v>
                </c:pt>
                <c:pt idx="3">
                  <c:v>Gulbarga</c:v>
                </c:pt>
                <c:pt idx="4">
                  <c:v>Hassan</c:v>
                </c:pt>
                <c:pt idx="5">
                  <c:v>Kasaragodu</c:v>
                </c:pt>
                <c:pt idx="6">
                  <c:v>Kodagu</c:v>
                </c:pt>
                <c:pt idx="7">
                  <c:v>Madikeri</c:v>
                </c:pt>
                <c:pt idx="8">
                  <c:v>Mangalore</c:v>
                </c:pt>
                <c:pt idx="9">
                  <c:v>Mysuru</c:v>
                </c:pt>
                <c:pt idx="10">
                  <c:v>Raichur</c:v>
                </c:pt>
              </c:strCache>
            </c:strRef>
          </c:cat>
          <c:val>
            <c:numRef>
              <c:f>pivot_table!$G$26:$G$37</c:f>
              <c:numCache>
                <c:formatCode>General</c:formatCode>
                <c:ptCount val="11"/>
                <c:pt idx="1">
                  <c:v>45186</c:v>
                </c:pt>
                <c:pt idx="3">
                  <c:v>1736325</c:v>
                </c:pt>
                <c:pt idx="4">
                  <c:v>1691139</c:v>
                </c:pt>
                <c:pt idx="5">
                  <c:v>578775</c:v>
                </c:pt>
                <c:pt idx="7">
                  <c:v>578775</c:v>
                </c:pt>
                <c:pt idx="8">
                  <c:v>1157550</c:v>
                </c:pt>
              </c:numCache>
            </c:numRef>
          </c:val>
          <c:extLst>
            <c:ext xmlns:c16="http://schemas.microsoft.com/office/drawing/2014/chart" uri="{C3380CC4-5D6E-409C-BE32-E72D297353CC}">
              <c16:uniqueId val="{00000003-44A0-4ABA-A1FF-9088A0405A40}"/>
            </c:ext>
          </c:extLst>
        </c:ser>
        <c:ser>
          <c:idx val="5"/>
          <c:order val="5"/>
          <c:tx>
            <c:strRef>
              <c:f>pivot_table!$H$24:$H$25</c:f>
              <c:strCache>
                <c:ptCount val="1"/>
                <c:pt idx="0">
                  <c:v>Coconut</c:v>
                </c:pt>
              </c:strCache>
            </c:strRef>
          </c:tx>
          <c:spPr>
            <a:solidFill>
              <a:schemeClr val="accent1">
                <a:shade val="90000"/>
              </a:schemeClr>
            </a:solidFill>
            <a:ln>
              <a:noFill/>
            </a:ln>
            <a:effectLst/>
          </c:spPr>
          <c:cat>
            <c:strRef>
              <c:f>pivot_table!$B$26:$B$37</c:f>
              <c:strCache>
                <c:ptCount val="11"/>
                <c:pt idx="0">
                  <c:v>Bangalore</c:v>
                </c:pt>
                <c:pt idx="1">
                  <c:v>Chikmangaluru</c:v>
                </c:pt>
                <c:pt idx="2">
                  <c:v>Davangere</c:v>
                </c:pt>
                <c:pt idx="3">
                  <c:v>Gulbarga</c:v>
                </c:pt>
                <c:pt idx="4">
                  <c:v>Hassan</c:v>
                </c:pt>
                <c:pt idx="5">
                  <c:v>Kasaragodu</c:v>
                </c:pt>
                <c:pt idx="6">
                  <c:v>Kodagu</c:v>
                </c:pt>
                <c:pt idx="7">
                  <c:v>Madikeri</c:v>
                </c:pt>
                <c:pt idx="8">
                  <c:v>Mangalore</c:v>
                </c:pt>
                <c:pt idx="9">
                  <c:v>Mysuru</c:v>
                </c:pt>
                <c:pt idx="10">
                  <c:v>Raichur</c:v>
                </c:pt>
              </c:strCache>
            </c:strRef>
          </c:cat>
          <c:val>
            <c:numRef>
              <c:f>pivot_table!$H$26:$H$37</c:f>
              <c:numCache>
                <c:formatCode>General</c:formatCode>
                <c:ptCount val="11"/>
                <c:pt idx="1">
                  <c:v>12757415</c:v>
                </c:pt>
                <c:pt idx="2">
                  <c:v>766886</c:v>
                </c:pt>
                <c:pt idx="3">
                  <c:v>23298243</c:v>
                </c:pt>
                <c:pt idx="4">
                  <c:v>30373766</c:v>
                </c:pt>
                <c:pt idx="5">
                  <c:v>8781757</c:v>
                </c:pt>
                <c:pt idx="6">
                  <c:v>8106511</c:v>
                </c:pt>
                <c:pt idx="7">
                  <c:v>7239718</c:v>
                </c:pt>
                <c:pt idx="8">
                  <c:v>14436109</c:v>
                </c:pt>
                <c:pt idx="9">
                  <c:v>11033855</c:v>
                </c:pt>
                <c:pt idx="10">
                  <c:v>9464872</c:v>
                </c:pt>
              </c:numCache>
            </c:numRef>
          </c:val>
          <c:extLst>
            <c:ext xmlns:c16="http://schemas.microsoft.com/office/drawing/2014/chart" uri="{C3380CC4-5D6E-409C-BE32-E72D297353CC}">
              <c16:uniqueId val="{00000004-44A0-4ABA-A1FF-9088A0405A40}"/>
            </c:ext>
          </c:extLst>
        </c:ser>
        <c:ser>
          <c:idx val="6"/>
          <c:order val="6"/>
          <c:tx>
            <c:strRef>
              <c:f>pivot_table!$I$24:$I$25</c:f>
              <c:strCache>
                <c:ptCount val="1"/>
                <c:pt idx="0">
                  <c:v>Coffee</c:v>
                </c:pt>
              </c:strCache>
            </c:strRef>
          </c:tx>
          <c:spPr>
            <a:solidFill>
              <a:schemeClr val="accent1"/>
            </a:solidFill>
            <a:ln w="25400">
              <a:noFill/>
            </a:ln>
            <a:effectLst/>
          </c:spPr>
          <c:cat>
            <c:strRef>
              <c:f>pivot_table!$B$26:$B$37</c:f>
              <c:strCache>
                <c:ptCount val="11"/>
                <c:pt idx="0">
                  <c:v>Bangalore</c:v>
                </c:pt>
                <c:pt idx="1">
                  <c:v>Chikmangaluru</c:v>
                </c:pt>
                <c:pt idx="2">
                  <c:v>Davangere</c:v>
                </c:pt>
                <c:pt idx="3">
                  <c:v>Gulbarga</c:v>
                </c:pt>
                <c:pt idx="4">
                  <c:v>Hassan</c:v>
                </c:pt>
                <c:pt idx="5">
                  <c:v>Kasaragodu</c:v>
                </c:pt>
                <c:pt idx="6">
                  <c:v>Kodagu</c:v>
                </c:pt>
                <c:pt idx="7">
                  <c:v>Madikeri</c:v>
                </c:pt>
                <c:pt idx="8">
                  <c:v>Mangalore</c:v>
                </c:pt>
                <c:pt idx="9">
                  <c:v>Mysuru</c:v>
                </c:pt>
                <c:pt idx="10">
                  <c:v>Raichur</c:v>
                </c:pt>
              </c:strCache>
            </c:strRef>
          </c:cat>
          <c:val>
            <c:numRef>
              <c:f>pivot_table!$I$26:$I$37</c:f>
              <c:numCache>
                <c:formatCode>General</c:formatCode>
                <c:ptCount val="11"/>
                <c:pt idx="3">
                  <c:v>2681321</c:v>
                </c:pt>
                <c:pt idx="4">
                  <c:v>1631059</c:v>
                </c:pt>
                <c:pt idx="6">
                  <c:v>868443</c:v>
                </c:pt>
                <c:pt idx="7">
                  <c:v>2052547</c:v>
                </c:pt>
                <c:pt idx="8">
                  <c:v>3417833</c:v>
                </c:pt>
                <c:pt idx="10">
                  <c:v>1183467</c:v>
                </c:pt>
              </c:numCache>
            </c:numRef>
          </c:val>
          <c:extLst>
            <c:ext xmlns:c16="http://schemas.microsoft.com/office/drawing/2014/chart" uri="{C3380CC4-5D6E-409C-BE32-E72D297353CC}">
              <c16:uniqueId val="{00000005-44A0-4ABA-A1FF-9088A0405A40}"/>
            </c:ext>
          </c:extLst>
        </c:ser>
        <c:ser>
          <c:idx val="7"/>
          <c:order val="7"/>
          <c:tx>
            <c:strRef>
              <c:f>pivot_table!$J$24:$J$25</c:f>
              <c:strCache>
                <c:ptCount val="1"/>
                <c:pt idx="0">
                  <c:v>Cotton</c:v>
                </c:pt>
              </c:strCache>
            </c:strRef>
          </c:tx>
          <c:spPr>
            <a:solidFill>
              <a:schemeClr val="accent1">
                <a:tint val="90000"/>
              </a:schemeClr>
            </a:solidFill>
            <a:ln w="25400">
              <a:noFill/>
            </a:ln>
            <a:effectLst/>
          </c:spPr>
          <c:cat>
            <c:strRef>
              <c:f>pivot_table!$B$26:$B$37</c:f>
              <c:strCache>
                <c:ptCount val="11"/>
                <c:pt idx="0">
                  <c:v>Bangalore</c:v>
                </c:pt>
                <c:pt idx="1">
                  <c:v>Chikmangaluru</c:v>
                </c:pt>
                <c:pt idx="2">
                  <c:v>Davangere</c:v>
                </c:pt>
                <c:pt idx="3">
                  <c:v>Gulbarga</c:v>
                </c:pt>
                <c:pt idx="4">
                  <c:v>Hassan</c:v>
                </c:pt>
                <c:pt idx="5">
                  <c:v>Kasaragodu</c:v>
                </c:pt>
                <c:pt idx="6">
                  <c:v>Kodagu</c:v>
                </c:pt>
                <c:pt idx="7">
                  <c:v>Madikeri</c:v>
                </c:pt>
                <c:pt idx="8">
                  <c:v>Mangalore</c:v>
                </c:pt>
                <c:pt idx="9">
                  <c:v>Mysuru</c:v>
                </c:pt>
                <c:pt idx="10">
                  <c:v>Raichur</c:v>
                </c:pt>
              </c:strCache>
            </c:strRef>
          </c:cat>
          <c:val>
            <c:numRef>
              <c:f>pivot_table!$J$26:$J$37</c:f>
              <c:numCache>
                <c:formatCode>General</c:formatCode>
                <c:ptCount val="11"/>
                <c:pt idx="1">
                  <c:v>907982</c:v>
                </c:pt>
                <c:pt idx="3">
                  <c:v>324397</c:v>
                </c:pt>
                <c:pt idx="4">
                  <c:v>234779</c:v>
                </c:pt>
                <c:pt idx="9">
                  <c:v>306444</c:v>
                </c:pt>
              </c:numCache>
            </c:numRef>
          </c:val>
          <c:extLst>
            <c:ext xmlns:c16="http://schemas.microsoft.com/office/drawing/2014/chart" uri="{C3380CC4-5D6E-409C-BE32-E72D297353CC}">
              <c16:uniqueId val="{00000006-44A0-4ABA-A1FF-9088A0405A40}"/>
            </c:ext>
          </c:extLst>
        </c:ser>
        <c:ser>
          <c:idx val="8"/>
          <c:order val="8"/>
          <c:tx>
            <c:strRef>
              <c:f>pivot_table!$K$24:$K$25</c:f>
              <c:strCache>
                <c:ptCount val="1"/>
                <c:pt idx="0">
                  <c:v>Ginger</c:v>
                </c:pt>
              </c:strCache>
            </c:strRef>
          </c:tx>
          <c:spPr>
            <a:solidFill>
              <a:schemeClr val="accent1">
                <a:tint val="80000"/>
              </a:schemeClr>
            </a:solidFill>
            <a:ln w="25400">
              <a:noFill/>
            </a:ln>
            <a:effectLst/>
          </c:spPr>
          <c:cat>
            <c:strRef>
              <c:f>pivot_table!$B$26:$B$37</c:f>
              <c:strCache>
                <c:ptCount val="11"/>
                <c:pt idx="0">
                  <c:v>Bangalore</c:v>
                </c:pt>
                <c:pt idx="1">
                  <c:v>Chikmangaluru</c:v>
                </c:pt>
                <c:pt idx="2">
                  <c:v>Davangere</c:v>
                </c:pt>
                <c:pt idx="3">
                  <c:v>Gulbarga</c:v>
                </c:pt>
                <c:pt idx="4">
                  <c:v>Hassan</c:v>
                </c:pt>
                <c:pt idx="5">
                  <c:v>Kasaragodu</c:v>
                </c:pt>
                <c:pt idx="6">
                  <c:v>Kodagu</c:v>
                </c:pt>
                <c:pt idx="7">
                  <c:v>Madikeri</c:v>
                </c:pt>
                <c:pt idx="8">
                  <c:v>Mangalore</c:v>
                </c:pt>
                <c:pt idx="9">
                  <c:v>Mysuru</c:v>
                </c:pt>
                <c:pt idx="10">
                  <c:v>Raichur</c:v>
                </c:pt>
              </c:strCache>
            </c:strRef>
          </c:cat>
          <c:val>
            <c:numRef>
              <c:f>pivot_table!$K$26:$K$37</c:f>
              <c:numCache>
                <c:formatCode>General</c:formatCode>
                <c:ptCount val="11"/>
                <c:pt idx="1">
                  <c:v>2840498</c:v>
                </c:pt>
                <c:pt idx="3">
                  <c:v>4280763</c:v>
                </c:pt>
                <c:pt idx="4">
                  <c:v>6661379</c:v>
                </c:pt>
                <c:pt idx="5">
                  <c:v>2524894</c:v>
                </c:pt>
                <c:pt idx="6">
                  <c:v>1725371</c:v>
                </c:pt>
                <c:pt idx="7">
                  <c:v>1750365</c:v>
                </c:pt>
                <c:pt idx="8">
                  <c:v>1405836</c:v>
                </c:pt>
                <c:pt idx="9">
                  <c:v>2007051</c:v>
                </c:pt>
                <c:pt idx="10">
                  <c:v>557201</c:v>
                </c:pt>
              </c:numCache>
            </c:numRef>
          </c:val>
          <c:extLst>
            <c:ext xmlns:c16="http://schemas.microsoft.com/office/drawing/2014/chart" uri="{C3380CC4-5D6E-409C-BE32-E72D297353CC}">
              <c16:uniqueId val="{00000007-44A0-4ABA-A1FF-9088A0405A40}"/>
            </c:ext>
          </c:extLst>
        </c:ser>
        <c:ser>
          <c:idx val="9"/>
          <c:order val="9"/>
          <c:tx>
            <c:strRef>
              <c:f>pivot_table!$L$24:$L$25</c:f>
              <c:strCache>
                <c:ptCount val="1"/>
                <c:pt idx="0">
                  <c:v>Groundnut</c:v>
                </c:pt>
              </c:strCache>
            </c:strRef>
          </c:tx>
          <c:spPr>
            <a:solidFill>
              <a:schemeClr val="accent1">
                <a:tint val="70000"/>
              </a:schemeClr>
            </a:solidFill>
            <a:ln w="25400">
              <a:noFill/>
            </a:ln>
            <a:effectLst/>
          </c:spPr>
          <c:cat>
            <c:strRef>
              <c:f>pivot_table!$B$26:$B$37</c:f>
              <c:strCache>
                <c:ptCount val="11"/>
                <c:pt idx="0">
                  <c:v>Bangalore</c:v>
                </c:pt>
                <c:pt idx="1">
                  <c:v>Chikmangaluru</c:v>
                </c:pt>
                <c:pt idx="2">
                  <c:v>Davangere</c:v>
                </c:pt>
                <c:pt idx="3">
                  <c:v>Gulbarga</c:v>
                </c:pt>
                <c:pt idx="4">
                  <c:v>Hassan</c:v>
                </c:pt>
                <c:pt idx="5">
                  <c:v>Kasaragodu</c:v>
                </c:pt>
                <c:pt idx="6">
                  <c:v>Kodagu</c:v>
                </c:pt>
                <c:pt idx="7">
                  <c:v>Madikeri</c:v>
                </c:pt>
                <c:pt idx="8">
                  <c:v>Mangalore</c:v>
                </c:pt>
                <c:pt idx="9">
                  <c:v>Mysuru</c:v>
                </c:pt>
                <c:pt idx="10">
                  <c:v>Raichur</c:v>
                </c:pt>
              </c:strCache>
            </c:strRef>
          </c:cat>
          <c:val>
            <c:numRef>
              <c:f>pivot_table!$L$26:$L$37</c:f>
              <c:numCache>
                <c:formatCode>General</c:formatCode>
                <c:ptCount val="11"/>
                <c:pt idx="0">
                  <c:v>1102094</c:v>
                </c:pt>
                <c:pt idx="1">
                  <c:v>2583618</c:v>
                </c:pt>
                <c:pt idx="2">
                  <c:v>315880</c:v>
                </c:pt>
                <c:pt idx="3">
                  <c:v>1417974</c:v>
                </c:pt>
                <c:pt idx="4">
                  <c:v>4253922</c:v>
                </c:pt>
                <c:pt idx="5">
                  <c:v>2012807</c:v>
                </c:pt>
                <c:pt idx="8">
                  <c:v>1417974</c:v>
                </c:pt>
                <c:pt idx="9">
                  <c:v>272482</c:v>
                </c:pt>
                <c:pt idx="10">
                  <c:v>550659</c:v>
                </c:pt>
              </c:numCache>
            </c:numRef>
          </c:val>
          <c:extLst>
            <c:ext xmlns:c16="http://schemas.microsoft.com/office/drawing/2014/chart" uri="{C3380CC4-5D6E-409C-BE32-E72D297353CC}">
              <c16:uniqueId val="{00000008-44A0-4ABA-A1FF-9088A0405A40}"/>
            </c:ext>
          </c:extLst>
        </c:ser>
        <c:ser>
          <c:idx val="10"/>
          <c:order val="10"/>
          <c:tx>
            <c:strRef>
              <c:f>pivot_table!$M$24:$M$25</c:f>
              <c:strCache>
                <c:ptCount val="1"/>
                <c:pt idx="0">
                  <c:v>Paddy</c:v>
                </c:pt>
              </c:strCache>
            </c:strRef>
          </c:tx>
          <c:spPr>
            <a:solidFill>
              <a:schemeClr val="accent1">
                <a:tint val="60000"/>
              </a:schemeClr>
            </a:solidFill>
            <a:ln w="25400">
              <a:noFill/>
            </a:ln>
            <a:effectLst/>
          </c:spPr>
          <c:cat>
            <c:strRef>
              <c:f>pivot_table!$B$26:$B$37</c:f>
              <c:strCache>
                <c:ptCount val="11"/>
                <c:pt idx="0">
                  <c:v>Bangalore</c:v>
                </c:pt>
                <c:pt idx="1">
                  <c:v>Chikmangaluru</c:v>
                </c:pt>
                <c:pt idx="2">
                  <c:v>Davangere</c:v>
                </c:pt>
                <c:pt idx="3">
                  <c:v>Gulbarga</c:v>
                </c:pt>
                <c:pt idx="4">
                  <c:v>Hassan</c:v>
                </c:pt>
                <c:pt idx="5">
                  <c:v>Kasaragodu</c:v>
                </c:pt>
                <c:pt idx="6">
                  <c:v>Kodagu</c:v>
                </c:pt>
                <c:pt idx="7">
                  <c:v>Madikeri</c:v>
                </c:pt>
                <c:pt idx="8">
                  <c:v>Mangalore</c:v>
                </c:pt>
                <c:pt idx="9">
                  <c:v>Mysuru</c:v>
                </c:pt>
                <c:pt idx="10">
                  <c:v>Raichur</c:v>
                </c:pt>
              </c:strCache>
            </c:strRef>
          </c:cat>
          <c:val>
            <c:numRef>
              <c:f>pivot_table!$M$26:$M$37</c:f>
              <c:numCache>
                <c:formatCode>General</c:formatCode>
                <c:ptCount val="11"/>
                <c:pt idx="0">
                  <c:v>485244</c:v>
                </c:pt>
                <c:pt idx="1">
                  <c:v>2226419</c:v>
                </c:pt>
                <c:pt idx="3">
                  <c:v>1488845</c:v>
                </c:pt>
                <c:pt idx="4">
                  <c:v>5468002</c:v>
                </c:pt>
                <c:pt idx="5">
                  <c:v>1488845</c:v>
                </c:pt>
                <c:pt idx="7">
                  <c:v>751271</c:v>
                </c:pt>
                <c:pt idx="8">
                  <c:v>487378</c:v>
                </c:pt>
                <c:pt idx="9">
                  <c:v>1488845</c:v>
                </c:pt>
                <c:pt idx="10">
                  <c:v>1003601</c:v>
                </c:pt>
              </c:numCache>
            </c:numRef>
          </c:val>
          <c:extLst>
            <c:ext xmlns:c16="http://schemas.microsoft.com/office/drawing/2014/chart" uri="{C3380CC4-5D6E-409C-BE32-E72D297353CC}">
              <c16:uniqueId val="{00000009-44A0-4ABA-A1FF-9088A0405A40}"/>
            </c:ext>
          </c:extLst>
        </c:ser>
        <c:ser>
          <c:idx val="11"/>
          <c:order val="11"/>
          <c:tx>
            <c:strRef>
              <c:f>pivot_table!$N$24:$N$25</c:f>
              <c:strCache>
                <c:ptCount val="1"/>
                <c:pt idx="0">
                  <c:v>Pepper</c:v>
                </c:pt>
              </c:strCache>
            </c:strRef>
          </c:tx>
          <c:spPr>
            <a:solidFill>
              <a:schemeClr val="accent1">
                <a:tint val="50000"/>
              </a:schemeClr>
            </a:solidFill>
            <a:ln w="25400">
              <a:noFill/>
            </a:ln>
            <a:effectLst/>
          </c:spPr>
          <c:cat>
            <c:strRef>
              <c:f>pivot_table!$B$26:$B$37</c:f>
              <c:strCache>
                <c:ptCount val="11"/>
                <c:pt idx="0">
                  <c:v>Bangalore</c:v>
                </c:pt>
                <c:pt idx="1">
                  <c:v>Chikmangaluru</c:v>
                </c:pt>
                <c:pt idx="2">
                  <c:v>Davangere</c:v>
                </c:pt>
                <c:pt idx="3">
                  <c:v>Gulbarga</c:v>
                </c:pt>
                <c:pt idx="4">
                  <c:v>Hassan</c:v>
                </c:pt>
                <c:pt idx="5">
                  <c:v>Kasaragodu</c:v>
                </c:pt>
                <c:pt idx="6">
                  <c:v>Kodagu</c:v>
                </c:pt>
                <c:pt idx="7">
                  <c:v>Madikeri</c:v>
                </c:pt>
                <c:pt idx="8">
                  <c:v>Mangalore</c:v>
                </c:pt>
                <c:pt idx="9">
                  <c:v>Mysuru</c:v>
                </c:pt>
                <c:pt idx="10">
                  <c:v>Raichur</c:v>
                </c:pt>
              </c:strCache>
            </c:strRef>
          </c:cat>
          <c:val>
            <c:numRef>
              <c:f>pivot_table!$N$26:$N$37</c:f>
              <c:numCache>
                <c:formatCode>General</c:formatCode>
                <c:ptCount val="11"/>
                <c:pt idx="1">
                  <c:v>810056</c:v>
                </c:pt>
                <c:pt idx="3">
                  <c:v>1010056</c:v>
                </c:pt>
                <c:pt idx="4">
                  <c:v>2668906</c:v>
                </c:pt>
                <c:pt idx="5">
                  <c:v>1379639</c:v>
                </c:pt>
                <c:pt idx="6">
                  <c:v>1334453</c:v>
                </c:pt>
                <c:pt idx="7">
                  <c:v>3193303</c:v>
                </c:pt>
                <c:pt idx="8">
                  <c:v>1334453</c:v>
                </c:pt>
                <c:pt idx="9">
                  <c:v>1049209</c:v>
                </c:pt>
                <c:pt idx="10">
                  <c:v>240058</c:v>
                </c:pt>
              </c:numCache>
            </c:numRef>
          </c:val>
          <c:extLst>
            <c:ext xmlns:c16="http://schemas.microsoft.com/office/drawing/2014/chart" uri="{C3380CC4-5D6E-409C-BE32-E72D297353CC}">
              <c16:uniqueId val="{0000000A-44A0-4ABA-A1FF-9088A0405A40}"/>
            </c:ext>
          </c:extLst>
        </c:ser>
        <c:ser>
          <c:idx val="12"/>
          <c:order val="12"/>
          <c:tx>
            <c:strRef>
              <c:f>pivot_table!$O$24:$O$25</c:f>
              <c:strCache>
                <c:ptCount val="1"/>
                <c:pt idx="0">
                  <c:v>Tea</c:v>
                </c:pt>
              </c:strCache>
            </c:strRef>
          </c:tx>
          <c:spPr>
            <a:solidFill>
              <a:schemeClr val="accent1">
                <a:tint val="40000"/>
              </a:schemeClr>
            </a:solidFill>
            <a:ln w="25400">
              <a:noFill/>
            </a:ln>
            <a:effectLst/>
          </c:spPr>
          <c:cat>
            <c:strRef>
              <c:f>pivot_table!$B$26:$B$37</c:f>
              <c:strCache>
                <c:ptCount val="11"/>
                <c:pt idx="0">
                  <c:v>Bangalore</c:v>
                </c:pt>
                <c:pt idx="1">
                  <c:v>Chikmangaluru</c:v>
                </c:pt>
                <c:pt idx="2">
                  <c:v>Davangere</c:v>
                </c:pt>
                <c:pt idx="3">
                  <c:v>Gulbarga</c:v>
                </c:pt>
                <c:pt idx="4">
                  <c:v>Hassan</c:v>
                </c:pt>
                <c:pt idx="5">
                  <c:v>Kasaragodu</c:v>
                </c:pt>
                <c:pt idx="6">
                  <c:v>Kodagu</c:v>
                </c:pt>
                <c:pt idx="7">
                  <c:v>Madikeri</c:v>
                </c:pt>
                <c:pt idx="8">
                  <c:v>Mangalore</c:v>
                </c:pt>
                <c:pt idx="9">
                  <c:v>Mysuru</c:v>
                </c:pt>
                <c:pt idx="10">
                  <c:v>Raichur</c:v>
                </c:pt>
              </c:strCache>
            </c:strRef>
          </c:cat>
          <c:val>
            <c:numRef>
              <c:f>pivot_table!$O$26:$O$37</c:f>
              <c:numCache>
                <c:formatCode>General</c:formatCode>
                <c:ptCount val="11"/>
                <c:pt idx="1">
                  <c:v>2381187</c:v>
                </c:pt>
                <c:pt idx="3">
                  <c:v>1213778</c:v>
                </c:pt>
                <c:pt idx="4">
                  <c:v>3687703</c:v>
                </c:pt>
                <c:pt idx="5">
                  <c:v>365143</c:v>
                </c:pt>
                <c:pt idx="7">
                  <c:v>1213778</c:v>
                </c:pt>
                <c:pt idx="9">
                  <c:v>2062413</c:v>
                </c:pt>
                <c:pt idx="10">
                  <c:v>1213778</c:v>
                </c:pt>
              </c:numCache>
            </c:numRef>
          </c:val>
          <c:extLst>
            <c:ext xmlns:c16="http://schemas.microsoft.com/office/drawing/2014/chart" uri="{C3380CC4-5D6E-409C-BE32-E72D297353CC}">
              <c16:uniqueId val="{0000000B-44A0-4ABA-A1FF-9088A0405A40}"/>
            </c:ext>
          </c:extLst>
        </c:ser>
        <c:dLbls>
          <c:showLegendKey val="0"/>
          <c:showVal val="0"/>
          <c:showCatName val="0"/>
          <c:showSerName val="0"/>
          <c:showPercent val="0"/>
          <c:showBubbleSize val="0"/>
        </c:dLbls>
        <c:axId val="1322068767"/>
        <c:axId val="1322066847"/>
      </c:areaChart>
      <c:catAx>
        <c:axId val="1322068767"/>
        <c:scaling>
          <c:orientation val="minMax"/>
        </c:scaling>
        <c:delete val="0"/>
        <c:axPos val="b"/>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322066847"/>
        <c:crosses val="autoZero"/>
        <c:auto val="1"/>
        <c:lblAlgn val="ctr"/>
        <c:lblOffset val="100"/>
        <c:noMultiLvlLbl val="0"/>
      </c:catAx>
      <c:valAx>
        <c:axId val="1322066847"/>
        <c:scaling>
          <c:orientation val="minMax"/>
        </c:scaling>
        <c:delete val="1"/>
        <c:axPos val="l"/>
        <c:numFmt formatCode="General" sourceLinked="1"/>
        <c:majorTickMark val="out"/>
        <c:minorTickMark val="none"/>
        <c:tickLblPos val="nextTo"/>
        <c:crossAx val="1322068767"/>
        <c:crosses val="autoZero"/>
        <c:crossBetween val="midCat"/>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zero"/>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sVisible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3"/>
    </mc:Choice>
    <mc:Fallback>
      <c:style val="3"/>
    </mc:Fallback>
  </mc:AlternateContent>
  <c:pivotSource>
    <c:name>[data_season_clean.xlsx]pivot_table!PivotTable8</c:name>
    <c:fmtId val="9"/>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18427905580581558"/>
          <c:y val="0.13816807472371484"/>
          <c:w val="0.77242908974613467"/>
          <c:h val="0.64478898102338977"/>
        </c:manualLayout>
      </c:layout>
      <c:barChart>
        <c:barDir val="bar"/>
        <c:grouping val="clustered"/>
        <c:varyColors val="0"/>
        <c:ser>
          <c:idx val="0"/>
          <c:order val="0"/>
          <c:tx>
            <c:strRef>
              <c:f>pivot_table!$C$51</c:f>
              <c:strCache>
                <c:ptCount val="1"/>
                <c:pt idx="0">
                  <c:v>Total</c:v>
                </c:pt>
              </c:strCache>
            </c:strRef>
          </c:tx>
          <c:spPr>
            <a:solidFill>
              <a:schemeClr val="accent1"/>
            </a:solidFill>
            <a:ln>
              <a:noFill/>
            </a:ln>
            <a:effectLst/>
          </c:spPr>
          <c:invertIfNegative val="0"/>
          <c:cat>
            <c:strRef>
              <c:f>pivot_table!$B$52:$B$55</c:f>
              <c:strCache>
                <c:ptCount val="3"/>
                <c:pt idx="0">
                  <c:v>Kharif</c:v>
                </c:pt>
                <c:pt idx="1">
                  <c:v>Rabi</c:v>
                </c:pt>
                <c:pt idx="2">
                  <c:v>Zaid</c:v>
                </c:pt>
              </c:strCache>
            </c:strRef>
          </c:cat>
          <c:val>
            <c:numRef>
              <c:f>pivot_table!$C$52:$C$55</c:f>
              <c:numCache>
                <c:formatCode>General</c:formatCode>
                <c:ptCount val="3"/>
                <c:pt idx="0">
                  <c:v>12252109.82</c:v>
                </c:pt>
                <c:pt idx="1">
                  <c:v>43405356.460000001</c:v>
                </c:pt>
                <c:pt idx="2">
                  <c:v>17794382.82</c:v>
                </c:pt>
              </c:numCache>
            </c:numRef>
          </c:val>
          <c:extLst>
            <c:ext xmlns:c16="http://schemas.microsoft.com/office/drawing/2014/chart" uri="{C3380CC4-5D6E-409C-BE32-E72D297353CC}">
              <c16:uniqueId val="{00000000-A91F-4EF0-960D-AC5E8CCCA444}"/>
            </c:ext>
          </c:extLst>
        </c:ser>
        <c:dLbls>
          <c:showLegendKey val="0"/>
          <c:showVal val="0"/>
          <c:showCatName val="0"/>
          <c:showSerName val="0"/>
          <c:showPercent val="0"/>
          <c:showBubbleSize val="0"/>
        </c:dLbls>
        <c:gapWidth val="182"/>
        <c:axId val="1295786511"/>
        <c:axId val="1295783631"/>
      </c:barChart>
      <c:catAx>
        <c:axId val="1295786511"/>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295783631"/>
        <c:crosses val="autoZero"/>
        <c:auto val="1"/>
        <c:lblAlgn val="ctr"/>
        <c:lblOffset val="100"/>
        <c:noMultiLvlLbl val="0"/>
      </c:catAx>
      <c:valAx>
        <c:axId val="1295783631"/>
        <c:scaling>
          <c:orientation val="minMax"/>
        </c:scaling>
        <c:delete val="0"/>
        <c:axPos val="b"/>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295786511"/>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3"/>
    </mc:Choice>
    <mc:Fallback>
      <c:style val="3"/>
    </mc:Fallback>
  </mc:AlternateContent>
  <c:pivotSource>
    <c:name>[data_season_clean.xlsx]pivot_table!PivotTable7</c:name>
    <c:fmtId val="6"/>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8"/>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14242979841164552"/>
          <c:y val="0.29049985901765962"/>
          <c:w val="0.74832389573789115"/>
          <c:h val="0.31743399881084461"/>
        </c:manualLayout>
      </c:layout>
      <c:barChart>
        <c:barDir val="col"/>
        <c:grouping val="clustered"/>
        <c:varyColors val="0"/>
        <c:ser>
          <c:idx val="0"/>
          <c:order val="0"/>
          <c:tx>
            <c:strRef>
              <c:f>pivot_table!$F$41</c:f>
              <c:strCache>
                <c:ptCount val="1"/>
                <c:pt idx="0">
                  <c:v>Sum of Rainfall</c:v>
                </c:pt>
              </c:strCache>
            </c:strRef>
          </c:tx>
          <c:spPr>
            <a:solidFill>
              <a:schemeClr val="accent1">
                <a:shade val="65000"/>
              </a:schemeClr>
            </a:solidFill>
            <a:ln>
              <a:noFill/>
            </a:ln>
            <a:effectLst/>
          </c:spPr>
          <c:invertIfNegative val="0"/>
          <c:cat>
            <c:strRef>
              <c:f>pivot_table!$E$42:$E$53</c:f>
              <c:strCache>
                <c:ptCount val="11"/>
                <c:pt idx="0">
                  <c:v>Bangalore</c:v>
                </c:pt>
                <c:pt idx="1">
                  <c:v>Chikmangaluru</c:v>
                </c:pt>
                <c:pt idx="2">
                  <c:v>Davangere</c:v>
                </c:pt>
                <c:pt idx="3">
                  <c:v>Gulbarga</c:v>
                </c:pt>
                <c:pt idx="4">
                  <c:v>Hassan</c:v>
                </c:pt>
                <c:pt idx="5">
                  <c:v>Kasaragodu</c:v>
                </c:pt>
                <c:pt idx="6">
                  <c:v>Kodagu</c:v>
                </c:pt>
                <c:pt idx="7">
                  <c:v>Madikeri</c:v>
                </c:pt>
                <c:pt idx="8">
                  <c:v>Mangalore</c:v>
                </c:pt>
                <c:pt idx="9">
                  <c:v>Mysuru</c:v>
                </c:pt>
                <c:pt idx="10">
                  <c:v>Raichur</c:v>
                </c:pt>
              </c:strCache>
            </c:strRef>
          </c:cat>
          <c:val>
            <c:numRef>
              <c:f>pivot_table!$F$42:$F$53</c:f>
              <c:numCache>
                <c:formatCode>General</c:formatCode>
                <c:ptCount val="11"/>
                <c:pt idx="0">
                  <c:v>55919.400000000009</c:v>
                </c:pt>
                <c:pt idx="1">
                  <c:v>966477.20000000042</c:v>
                </c:pt>
                <c:pt idx="2">
                  <c:v>114508.89999999997</c:v>
                </c:pt>
                <c:pt idx="3">
                  <c:v>1412150.8000000021</c:v>
                </c:pt>
                <c:pt idx="4">
                  <c:v>2240612.6000000034</c:v>
                </c:pt>
                <c:pt idx="5">
                  <c:v>671310</c:v>
                </c:pt>
                <c:pt idx="6">
                  <c:v>527878.70000000007</c:v>
                </c:pt>
                <c:pt idx="7">
                  <c:v>649990.49999999965</c:v>
                </c:pt>
                <c:pt idx="8">
                  <c:v>985910.40000000014</c:v>
                </c:pt>
                <c:pt idx="9">
                  <c:v>581250.49999999907</c:v>
                </c:pt>
                <c:pt idx="10">
                  <c:v>677844.99999999965</c:v>
                </c:pt>
              </c:numCache>
            </c:numRef>
          </c:val>
          <c:extLst>
            <c:ext xmlns:c16="http://schemas.microsoft.com/office/drawing/2014/chart" uri="{C3380CC4-5D6E-409C-BE32-E72D297353CC}">
              <c16:uniqueId val="{00000000-A3A9-4C32-BB8B-734B28819490}"/>
            </c:ext>
          </c:extLst>
        </c:ser>
        <c:dLbls>
          <c:showLegendKey val="0"/>
          <c:showVal val="0"/>
          <c:showCatName val="0"/>
          <c:showSerName val="0"/>
          <c:showPercent val="0"/>
          <c:showBubbleSize val="0"/>
        </c:dLbls>
        <c:gapWidth val="219"/>
        <c:overlap val="-27"/>
        <c:axId val="1151705455"/>
        <c:axId val="1151705935"/>
      </c:barChart>
      <c:barChart>
        <c:barDir val="col"/>
        <c:grouping val="clustered"/>
        <c:varyColors val="0"/>
        <c:ser>
          <c:idx val="1"/>
          <c:order val="1"/>
          <c:tx>
            <c:strRef>
              <c:f>pivot_table!$G$41</c:f>
              <c:strCache>
                <c:ptCount val="1"/>
                <c:pt idx="0">
                  <c:v>Sum of Temperature</c:v>
                </c:pt>
              </c:strCache>
            </c:strRef>
          </c:tx>
          <c:spPr>
            <a:solidFill>
              <a:schemeClr val="accent1"/>
            </a:solidFill>
            <a:ln>
              <a:noFill/>
            </a:ln>
            <a:effectLst/>
          </c:spPr>
          <c:invertIfNegative val="0"/>
          <c:cat>
            <c:strRef>
              <c:f>pivot_table!$E$42:$E$53</c:f>
              <c:strCache>
                <c:ptCount val="11"/>
                <c:pt idx="0">
                  <c:v>Bangalore</c:v>
                </c:pt>
                <c:pt idx="1">
                  <c:v>Chikmangaluru</c:v>
                </c:pt>
                <c:pt idx="2">
                  <c:v>Davangere</c:v>
                </c:pt>
                <c:pt idx="3">
                  <c:v>Gulbarga</c:v>
                </c:pt>
                <c:pt idx="4">
                  <c:v>Hassan</c:v>
                </c:pt>
                <c:pt idx="5">
                  <c:v>Kasaragodu</c:v>
                </c:pt>
                <c:pt idx="6">
                  <c:v>Kodagu</c:v>
                </c:pt>
                <c:pt idx="7">
                  <c:v>Madikeri</c:v>
                </c:pt>
                <c:pt idx="8">
                  <c:v>Mangalore</c:v>
                </c:pt>
                <c:pt idx="9">
                  <c:v>Mysuru</c:v>
                </c:pt>
                <c:pt idx="10">
                  <c:v>Raichur</c:v>
                </c:pt>
              </c:strCache>
            </c:strRef>
          </c:cat>
          <c:val>
            <c:numRef>
              <c:f>pivot_table!$G$42:$G$53</c:f>
              <c:numCache>
                <c:formatCode>General</c:formatCode>
                <c:ptCount val="11"/>
                <c:pt idx="0">
                  <c:v>2968</c:v>
                </c:pt>
                <c:pt idx="1">
                  <c:v>11348.000000000004</c:v>
                </c:pt>
                <c:pt idx="2">
                  <c:v>6383.5999999999995</c:v>
                </c:pt>
                <c:pt idx="3">
                  <c:v>52902.799999999974</c:v>
                </c:pt>
                <c:pt idx="4">
                  <c:v>34768.599999999977</c:v>
                </c:pt>
                <c:pt idx="5">
                  <c:v>16578.8</c:v>
                </c:pt>
                <c:pt idx="6">
                  <c:v>9951.2000000000044</c:v>
                </c:pt>
                <c:pt idx="7">
                  <c:v>24925.900000000005</c:v>
                </c:pt>
                <c:pt idx="8">
                  <c:v>12930.600000000008</c:v>
                </c:pt>
                <c:pt idx="9">
                  <c:v>9570.1000000000058</c:v>
                </c:pt>
                <c:pt idx="10">
                  <c:v>25764.699999999997</c:v>
                </c:pt>
              </c:numCache>
            </c:numRef>
          </c:val>
          <c:extLst>
            <c:ext xmlns:c16="http://schemas.microsoft.com/office/drawing/2014/chart" uri="{C3380CC4-5D6E-409C-BE32-E72D297353CC}">
              <c16:uniqueId val="{00000001-A3A9-4C32-BB8B-734B28819490}"/>
            </c:ext>
          </c:extLst>
        </c:ser>
        <c:dLbls>
          <c:showLegendKey val="0"/>
          <c:showVal val="0"/>
          <c:showCatName val="0"/>
          <c:showSerName val="0"/>
          <c:showPercent val="0"/>
          <c:showBubbleSize val="0"/>
        </c:dLbls>
        <c:gapWidth val="219"/>
        <c:overlap val="-27"/>
        <c:axId val="1141526047"/>
        <c:axId val="1141525567"/>
      </c:barChart>
      <c:lineChart>
        <c:grouping val="standard"/>
        <c:varyColors val="0"/>
        <c:ser>
          <c:idx val="2"/>
          <c:order val="2"/>
          <c:tx>
            <c:strRef>
              <c:f>pivot_table!$H$41</c:f>
              <c:strCache>
                <c:ptCount val="1"/>
                <c:pt idx="0">
                  <c:v>Sum of Humidity</c:v>
                </c:pt>
              </c:strCache>
            </c:strRef>
          </c:tx>
          <c:spPr>
            <a:ln w="28575" cap="rnd">
              <a:solidFill>
                <a:schemeClr val="accent1">
                  <a:tint val="65000"/>
                </a:schemeClr>
              </a:solidFill>
              <a:round/>
            </a:ln>
            <a:effectLst/>
          </c:spPr>
          <c:marker>
            <c:symbol val="none"/>
          </c:marker>
          <c:cat>
            <c:strRef>
              <c:f>pivot_table!$E$42:$E$53</c:f>
              <c:strCache>
                <c:ptCount val="11"/>
                <c:pt idx="0">
                  <c:v>Bangalore</c:v>
                </c:pt>
                <c:pt idx="1">
                  <c:v>Chikmangaluru</c:v>
                </c:pt>
                <c:pt idx="2">
                  <c:v>Davangere</c:v>
                </c:pt>
                <c:pt idx="3">
                  <c:v>Gulbarga</c:v>
                </c:pt>
                <c:pt idx="4">
                  <c:v>Hassan</c:v>
                </c:pt>
                <c:pt idx="5">
                  <c:v>Kasaragodu</c:v>
                </c:pt>
                <c:pt idx="6">
                  <c:v>Kodagu</c:v>
                </c:pt>
                <c:pt idx="7">
                  <c:v>Madikeri</c:v>
                </c:pt>
                <c:pt idx="8">
                  <c:v>Mangalore</c:v>
                </c:pt>
                <c:pt idx="9">
                  <c:v>Mysuru</c:v>
                </c:pt>
                <c:pt idx="10">
                  <c:v>Raichur</c:v>
                </c:pt>
              </c:strCache>
            </c:strRef>
          </c:cat>
          <c:val>
            <c:numRef>
              <c:f>pivot_table!$H$42:$H$53</c:f>
              <c:numCache>
                <c:formatCode>General</c:formatCode>
                <c:ptCount val="11"/>
                <c:pt idx="0">
                  <c:v>880</c:v>
                </c:pt>
                <c:pt idx="1">
                  <c:v>18880.900000000001</c:v>
                </c:pt>
                <c:pt idx="2">
                  <c:v>2338.6</c:v>
                </c:pt>
                <c:pt idx="3">
                  <c:v>28012.499999999993</c:v>
                </c:pt>
                <c:pt idx="4">
                  <c:v>44389.89999999998</c:v>
                </c:pt>
                <c:pt idx="5">
                  <c:v>12815.7</c:v>
                </c:pt>
                <c:pt idx="6">
                  <c:v>10678.7</c:v>
                </c:pt>
                <c:pt idx="7">
                  <c:v>13330.800000000003</c:v>
                </c:pt>
                <c:pt idx="8">
                  <c:v>18999.7</c:v>
                </c:pt>
                <c:pt idx="9">
                  <c:v>12340.100000000002</c:v>
                </c:pt>
                <c:pt idx="10">
                  <c:v>12862.1</c:v>
                </c:pt>
              </c:numCache>
            </c:numRef>
          </c:val>
          <c:smooth val="0"/>
          <c:extLst>
            <c:ext xmlns:c16="http://schemas.microsoft.com/office/drawing/2014/chart" uri="{C3380CC4-5D6E-409C-BE32-E72D297353CC}">
              <c16:uniqueId val="{00000002-A3A9-4C32-BB8B-734B28819490}"/>
            </c:ext>
          </c:extLst>
        </c:ser>
        <c:dLbls>
          <c:showLegendKey val="0"/>
          <c:showVal val="0"/>
          <c:showCatName val="0"/>
          <c:showSerName val="0"/>
          <c:showPercent val="0"/>
          <c:showBubbleSize val="0"/>
        </c:dLbls>
        <c:marker val="1"/>
        <c:smooth val="0"/>
        <c:axId val="1141526047"/>
        <c:axId val="1141525567"/>
      </c:lineChart>
      <c:catAx>
        <c:axId val="1151705455"/>
        <c:scaling>
          <c:orientation val="minMax"/>
        </c:scaling>
        <c:delete val="0"/>
        <c:axPos val="b"/>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151705935"/>
        <c:crosses val="autoZero"/>
        <c:auto val="1"/>
        <c:lblAlgn val="ctr"/>
        <c:lblOffset val="100"/>
        <c:noMultiLvlLbl val="0"/>
      </c:catAx>
      <c:valAx>
        <c:axId val="1151705935"/>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151705455"/>
        <c:crosses val="autoZero"/>
        <c:crossBetween val="between"/>
      </c:valAx>
      <c:valAx>
        <c:axId val="1141525567"/>
        <c:scaling>
          <c:orientation val="minMax"/>
        </c:scaling>
        <c:delete val="0"/>
        <c:axPos val="r"/>
        <c:numFmt formatCode="General"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141526047"/>
        <c:crosses val="max"/>
        <c:crossBetween val="between"/>
      </c:valAx>
      <c:catAx>
        <c:axId val="1141526047"/>
        <c:scaling>
          <c:orientation val="minMax"/>
        </c:scaling>
        <c:delete val="0"/>
        <c:axPos val="t"/>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141525567"/>
        <c:crosses val="max"/>
        <c:auto val="1"/>
        <c:lblAlgn val="ctr"/>
        <c:lblOffset val="100"/>
        <c:noMultiLvlLbl val="0"/>
      </c:cat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sVisible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withinLinear" id="14">
  <a:schemeClr val="accent1"/>
</cs:colorStyle>
</file>

<file path=xl/charts/colors2.xml><?xml version="1.0" encoding="utf-8"?>
<cs:colorStyle xmlns:cs="http://schemas.microsoft.com/office/drawing/2012/chartStyle" xmlns:a="http://schemas.openxmlformats.org/drawingml/2006/main" meth="withinLinear" id="14">
  <a:schemeClr val="accent1"/>
</cs:colorStyle>
</file>

<file path=xl/charts/colors3.xml><?xml version="1.0" encoding="utf-8"?>
<cs:colorStyle xmlns:cs="http://schemas.microsoft.com/office/drawing/2012/chartStyle" xmlns:a="http://schemas.openxmlformats.org/drawingml/2006/main" meth="withinLinear" id="14">
  <a:schemeClr val="accent1"/>
</cs:colorStyle>
</file>

<file path=xl/charts/colors4.xml><?xml version="1.0" encoding="utf-8"?>
<cs:colorStyle xmlns:cs="http://schemas.microsoft.com/office/drawing/2012/chartStyle" xmlns:a="http://schemas.openxmlformats.org/drawingml/2006/main" meth="withinLinear" id="14">
  <a:schemeClr val="accent1"/>
</cs:colorStyle>
</file>

<file path=xl/charts/colors5.xml><?xml version="1.0" encoding="utf-8"?>
<cs:colorStyle xmlns:cs="http://schemas.microsoft.com/office/drawing/2012/chartStyle" xmlns:a="http://schemas.openxmlformats.org/drawingml/2006/main" meth="withinLinear" id="14">
  <a:schemeClr val="accent1"/>
</cs:colorStyle>
</file>

<file path=xl/charts/style1.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7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ln w="9525" cap="flat" cmpd="sng" algn="ctr">
        <a:solidFill>
          <a:schemeClr val="tx1">
            <a:lumMod val="15000"/>
            <a:lumOff val="85000"/>
          </a:schemeClr>
        </a:solidFill>
        <a:round/>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8" Type="http://schemas.openxmlformats.org/officeDocument/2006/relationships/image" Target="../media/image8.svg"/><Relationship Id="rId13" Type="http://schemas.openxmlformats.org/officeDocument/2006/relationships/chart" Target="../charts/chart5.xml"/><Relationship Id="rId3" Type="http://schemas.openxmlformats.org/officeDocument/2006/relationships/image" Target="../media/image3.png"/><Relationship Id="rId7" Type="http://schemas.openxmlformats.org/officeDocument/2006/relationships/image" Target="../media/image7.png"/><Relationship Id="rId12" Type="http://schemas.openxmlformats.org/officeDocument/2006/relationships/chart" Target="../charts/chart4.xml"/><Relationship Id="rId2" Type="http://schemas.openxmlformats.org/officeDocument/2006/relationships/image" Target="../media/image2.svg"/><Relationship Id="rId1" Type="http://schemas.openxmlformats.org/officeDocument/2006/relationships/image" Target="../media/image1.png"/><Relationship Id="rId6" Type="http://schemas.openxmlformats.org/officeDocument/2006/relationships/image" Target="../media/image6.svg"/><Relationship Id="rId11" Type="http://schemas.openxmlformats.org/officeDocument/2006/relationships/chart" Target="../charts/chart3.xml"/><Relationship Id="rId5" Type="http://schemas.openxmlformats.org/officeDocument/2006/relationships/image" Target="../media/image5.png"/><Relationship Id="rId10" Type="http://schemas.openxmlformats.org/officeDocument/2006/relationships/chart" Target="../charts/chart2.xml"/><Relationship Id="rId4" Type="http://schemas.openxmlformats.org/officeDocument/2006/relationships/image" Target="../media/image4.svg"/><Relationship Id="rId9" Type="http://schemas.openxmlformats.org/officeDocument/2006/relationships/chart" Target="../charts/chart1.xml"/></Relationships>
</file>

<file path=xl/drawings/drawing1.xml><?xml version="1.0" encoding="utf-8"?>
<xdr:wsDr xmlns:xdr="http://schemas.openxmlformats.org/drawingml/2006/spreadsheetDrawing" xmlns:a="http://schemas.openxmlformats.org/drawingml/2006/main">
  <xdr:twoCellAnchor>
    <xdr:from>
      <xdr:col>1</xdr:col>
      <xdr:colOff>335280</xdr:colOff>
      <xdr:row>0</xdr:row>
      <xdr:rowOff>45720</xdr:rowOff>
    </xdr:from>
    <xdr:to>
      <xdr:col>18</xdr:col>
      <xdr:colOff>190500</xdr:colOff>
      <xdr:row>5</xdr:row>
      <xdr:rowOff>76200</xdr:rowOff>
    </xdr:to>
    <xdr:sp macro="" textlink="">
      <xdr:nvSpPr>
        <xdr:cNvPr id="2" name="Rectangle: Rounded Corners 1">
          <a:extLst>
            <a:ext uri="{FF2B5EF4-FFF2-40B4-BE49-F238E27FC236}">
              <a16:creationId xmlns:a16="http://schemas.microsoft.com/office/drawing/2014/main" id="{77154BA3-A1AA-D8EA-3A0F-6D5D316D78BA}"/>
            </a:ext>
          </a:extLst>
        </xdr:cNvPr>
        <xdr:cNvSpPr/>
      </xdr:nvSpPr>
      <xdr:spPr>
        <a:xfrm>
          <a:off x="944880" y="45720"/>
          <a:ext cx="10218420" cy="944880"/>
        </a:xfrm>
        <a:prstGeom prst="roundRect">
          <a:avLst/>
        </a:prstGeom>
      </xdr:spPr>
      <xdr:style>
        <a:lnRef idx="2">
          <a:schemeClr val="accent6"/>
        </a:lnRef>
        <a:fillRef idx="1">
          <a:schemeClr val="lt1"/>
        </a:fillRef>
        <a:effectRef idx="0">
          <a:schemeClr val="accent6"/>
        </a:effectRef>
        <a:fontRef idx="minor">
          <a:schemeClr val="dk1"/>
        </a:fontRef>
      </xdr:style>
      <xdr:txBody>
        <a:bodyPr vertOverflow="clip" horzOverflow="clip" rtlCol="0" anchor="ctr"/>
        <a:lstStyle/>
        <a:p>
          <a:pPr algn="ctr"/>
          <a:r>
            <a:rPr lang="en-IN" sz="2800" b="1">
              <a:latin typeface="Algerian" panose="04020705040A02060702" pitchFamily="82" charset="0"/>
            </a:rPr>
            <a:t>CROP</a:t>
          </a:r>
          <a:r>
            <a:rPr lang="en-IN" sz="2800" b="1" baseline="0">
              <a:latin typeface="Algerian" panose="04020705040A02060702" pitchFamily="82" charset="0"/>
            </a:rPr>
            <a:t> YIELD AND CLIMATE ANALYSIS DASHBOARD</a:t>
          </a:r>
          <a:endParaRPr lang="en-IN" sz="2800" b="1">
            <a:latin typeface="Algerian" panose="04020705040A02060702" pitchFamily="82" charset="0"/>
          </a:endParaRPr>
        </a:p>
      </xdr:txBody>
    </xdr:sp>
    <xdr:clientData/>
  </xdr:twoCellAnchor>
  <xdr:twoCellAnchor>
    <xdr:from>
      <xdr:col>0</xdr:col>
      <xdr:colOff>121920</xdr:colOff>
      <xdr:row>7</xdr:row>
      <xdr:rowOff>83933</xdr:rowOff>
    </xdr:from>
    <xdr:to>
      <xdr:col>3</xdr:col>
      <xdr:colOff>266700</xdr:colOff>
      <xdr:row>11</xdr:row>
      <xdr:rowOff>121808</xdr:rowOff>
    </xdr:to>
    <xdr:sp macro="" textlink="">
      <xdr:nvSpPr>
        <xdr:cNvPr id="3" name="Rectangle: Rounded Corners 2">
          <a:extLst>
            <a:ext uri="{FF2B5EF4-FFF2-40B4-BE49-F238E27FC236}">
              <a16:creationId xmlns:a16="http://schemas.microsoft.com/office/drawing/2014/main" id="{66C910F1-B540-3A8D-4A32-3A66C3ED4779}"/>
            </a:ext>
          </a:extLst>
        </xdr:cNvPr>
        <xdr:cNvSpPr/>
      </xdr:nvSpPr>
      <xdr:spPr>
        <a:xfrm>
          <a:off x="121920" y="1364093"/>
          <a:ext cx="1973580" cy="769395"/>
        </a:xfrm>
        <a:prstGeom prst="roundRect">
          <a:avLst/>
        </a:prstGeom>
      </xdr:spPr>
      <xdr:style>
        <a:lnRef idx="2">
          <a:schemeClr val="accent6"/>
        </a:lnRef>
        <a:fillRef idx="1">
          <a:schemeClr val="lt1"/>
        </a:fillRef>
        <a:effectRef idx="0">
          <a:schemeClr val="accent6"/>
        </a:effectRef>
        <a:fontRef idx="minor">
          <a:schemeClr val="dk1"/>
        </a:fontRef>
      </xdr:style>
      <xdr:txBody>
        <a:bodyPr vertOverflow="clip" horzOverflow="clip" rtlCol="0" anchor="t"/>
        <a:lstStyle/>
        <a:p>
          <a:pPr algn="l"/>
          <a:endParaRPr lang="en-IN" sz="1100"/>
        </a:p>
      </xdr:txBody>
    </xdr:sp>
    <xdr:clientData/>
  </xdr:twoCellAnchor>
  <xdr:twoCellAnchor>
    <xdr:from>
      <xdr:col>8</xdr:col>
      <xdr:colOff>190500</xdr:colOff>
      <xdr:row>7</xdr:row>
      <xdr:rowOff>76200</xdr:rowOff>
    </xdr:from>
    <xdr:to>
      <xdr:col>11</xdr:col>
      <xdr:colOff>297180</xdr:colOff>
      <xdr:row>11</xdr:row>
      <xdr:rowOff>129540</xdr:rowOff>
    </xdr:to>
    <xdr:sp macro="" textlink="">
      <xdr:nvSpPr>
        <xdr:cNvPr id="4" name="Rectangle: Rounded Corners 3">
          <a:extLst>
            <a:ext uri="{FF2B5EF4-FFF2-40B4-BE49-F238E27FC236}">
              <a16:creationId xmlns:a16="http://schemas.microsoft.com/office/drawing/2014/main" id="{A2468CCD-E1A1-287E-415F-8B1FFCEBE4BF}"/>
            </a:ext>
          </a:extLst>
        </xdr:cNvPr>
        <xdr:cNvSpPr/>
      </xdr:nvSpPr>
      <xdr:spPr>
        <a:xfrm>
          <a:off x="5067300" y="1356360"/>
          <a:ext cx="1935480" cy="784860"/>
        </a:xfrm>
        <a:prstGeom prst="roundRect">
          <a:avLst/>
        </a:prstGeom>
      </xdr:spPr>
      <xdr:style>
        <a:lnRef idx="2">
          <a:schemeClr val="accent6"/>
        </a:lnRef>
        <a:fillRef idx="1">
          <a:schemeClr val="lt1"/>
        </a:fillRef>
        <a:effectRef idx="0">
          <a:schemeClr val="accent6"/>
        </a:effectRef>
        <a:fontRef idx="minor">
          <a:schemeClr val="dk1"/>
        </a:fontRef>
      </xdr:style>
      <xdr:txBody>
        <a:bodyPr vertOverflow="clip" horzOverflow="clip" rtlCol="0" anchor="t"/>
        <a:lstStyle/>
        <a:p>
          <a:pPr algn="l"/>
          <a:endParaRPr lang="en-IN" sz="1100"/>
        </a:p>
      </xdr:txBody>
    </xdr:sp>
    <xdr:clientData/>
  </xdr:twoCellAnchor>
  <xdr:twoCellAnchor>
    <xdr:from>
      <xdr:col>0</xdr:col>
      <xdr:colOff>175260</xdr:colOff>
      <xdr:row>7</xdr:row>
      <xdr:rowOff>121920</xdr:rowOff>
    </xdr:from>
    <xdr:to>
      <xdr:col>1</xdr:col>
      <xdr:colOff>114300</xdr:colOff>
      <xdr:row>11</xdr:row>
      <xdr:rowOff>83820</xdr:rowOff>
    </xdr:to>
    <xdr:sp macro="" textlink="">
      <xdr:nvSpPr>
        <xdr:cNvPr id="7" name="Rectangle: Rounded Corners 6">
          <a:extLst>
            <a:ext uri="{FF2B5EF4-FFF2-40B4-BE49-F238E27FC236}">
              <a16:creationId xmlns:a16="http://schemas.microsoft.com/office/drawing/2014/main" id="{BA1FE38A-6625-384C-AAF3-DB22B08B6400}"/>
            </a:ext>
          </a:extLst>
        </xdr:cNvPr>
        <xdr:cNvSpPr/>
      </xdr:nvSpPr>
      <xdr:spPr>
        <a:xfrm>
          <a:off x="175260" y="1427048"/>
          <a:ext cx="547019" cy="707687"/>
        </a:xfrm>
        <a:prstGeom prst="roundRect">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8</xdr:col>
      <xdr:colOff>236220</xdr:colOff>
      <xdr:row>7</xdr:row>
      <xdr:rowOff>114300</xdr:rowOff>
    </xdr:from>
    <xdr:to>
      <xdr:col>9</xdr:col>
      <xdr:colOff>175260</xdr:colOff>
      <xdr:row>11</xdr:row>
      <xdr:rowOff>76200</xdr:rowOff>
    </xdr:to>
    <xdr:sp macro="" textlink="">
      <xdr:nvSpPr>
        <xdr:cNvPr id="10" name="Rectangle: Rounded Corners 9">
          <a:extLst>
            <a:ext uri="{FF2B5EF4-FFF2-40B4-BE49-F238E27FC236}">
              <a16:creationId xmlns:a16="http://schemas.microsoft.com/office/drawing/2014/main" id="{DEE937F6-1097-AD4B-F66D-EC75ECD0EF96}"/>
            </a:ext>
          </a:extLst>
        </xdr:cNvPr>
        <xdr:cNvSpPr/>
      </xdr:nvSpPr>
      <xdr:spPr>
        <a:xfrm>
          <a:off x="5113020" y="1394460"/>
          <a:ext cx="548640" cy="693420"/>
        </a:xfrm>
        <a:prstGeom prst="roundRect">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12</xdr:col>
      <xdr:colOff>198120</xdr:colOff>
      <xdr:row>7</xdr:row>
      <xdr:rowOff>60960</xdr:rowOff>
    </xdr:from>
    <xdr:to>
      <xdr:col>15</xdr:col>
      <xdr:colOff>426720</xdr:colOff>
      <xdr:row>11</xdr:row>
      <xdr:rowOff>114300</xdr:rowOff>
    </xdr:to>
    <xdr:sp macro="" textlink="">
      <xdr:nvSpPr>
        <xdr:cNvPr id="11" name="Rectangle: Rounded Corners 10">
          <a:extLst>
            <a:ext uri="{FF2B5EF4-FFF2-40B4-BE49-F238E27FC236}">
              <a16:creationId xmlns:a16="http://schemas.microsoft.com/office/drawing/2014/main" id="{4C259CEA-366D-C328-2CDD-6F498D1200ED}"/>
            </a:ext>
          </a:extLst>
        </xdr:cNvPr>
        <xdr:cNvSpPr/>
      </xdr:nvSpPr>
      <xdr:spPr>
        <a:xfrm>
          <a:off x="7513320" y="1341120"/>
          <a:ext cx="2057400" cy="784860"/>
        </a:xfrm>
        <a:prstGeom prst="roundRect">
          <a:avLst/>
        </a:prstGeom>
      </xdr:spPr>
      <xdr:style>
        <a:lnRef idx="2">
          <a:schemeClr val="accent6"/>
        </a:lnRef>
        <a:fillRef idx="1">
          <a:schemeClr val="lt1"/>
        </a:fillRef>
        <a:effectRef idx="0">
          <a:schemeClr val="accent6"/>
        </a:effectRef>
        <a:fontRef idx="minor">
          <a:schemeClr val="dk1"/>
        </a:fontRef>
      </xdr:style>
      <xdr:txBody>
        <a:bodyPr vertOverflow="clip" horzOverflow="clip" rtlCol="0" anchor="t"/>
        <a:lstStyle/>
        <a:p>
          <a:pPr algn="l"/>
          <a:endParaRPr lang="en-IN" sz="1100"/>
        </a:p>
      </xdr:txBody>
    </xdr:sp>
    <xdr:clientData/>
  </xdr:twoCellAnchor>
  <xdr:twoCellAnchor>
    <xdr:from>
      <xdr:col>4</xdr:col>
      <xdr:colOff>167640</xdr:colOff>
      <xdr:row>7</xdr:row>
      <xdr:rowOff>76200</xdr:rowOff>
    </xdr:from>
    <xdr:to>
      <xdr:col>7</xdr:col>
      <xdr:colOff>274320</xdr:colOff>
      <xdr:row>11</xdr:row>
      <xdr:rowOff>129540</xdr:rowOff>
    </xdr:to>
    <xdr:sp macro="" textlink="">
      <xdr:nvSpPr>
        <xdr:cNvPr id="17" name="Rectangle: Rounded Corners 16">
          <a:extLst>
            <a:ext uri="{FF2B5EF4-FFF2-40B4-BE49-F238E27FC236}">
              <a16:creationId xmlns:a16="http://schemas.microsoft.com/office/drawing/2014/main" id="{01920E15-4E0A-404A-FCC6-27DB0BE12217}"/>
            </a:ext>
          </a:extLst>
        </xdr:cNvPr>
        <xdr:cNvSpPr/>
      </xdr:nvSpPr>
      <xdr:spPr>
        <a:xfrm>
          <a:off x="2606040" y="1356360"/>
          <a:ext cx="1935480" cy="784860"/>
        </a:xfrm>
        <a:prstGeom prst="roundRect">
          <a:avLst/>
        </a:prstGeom>
      </xdr:spPr>
      <xdr:style>
        <a:lnRef idx="2">
          <a:schemeClr val="accent6"/>
        </a:lnRef>
        <a:fillRef idx="1">
          <a:schemeClr val="lt1"/>
        </a:fillRef>
        <a:effectRef idx="0">
          <a:schemeClr val="accent6"/>
        </a:effectRef>
        <a:fontRef idx="minor">
          <a:schemeClr val="dk1"/>
        </a:fontRef>
      </xdr:style>
      <xdr:txBody>
        <a:bodyPr vertOverflow="clip" horzOverflow="clip" rtlCol="0" anchor="t"/>
        <a:lstStyle/>
        <a:p>
          <a:pPr algn="l"/>
          <a:endParaRPr lang="en-IN" sz="1100"/>
        </a:p>
      </xdr:txBody>
    </xdr:sp>
    <xdr:clientData/>
  </xdr:twoCellAnchor>
  <xdr:twoCellAnchor>
    <xdr:from>
      <xdr:col>4</xdr:col>
      <xdr:colOff>213360</xdr:colOff>
      <xdr:row>7</xdr:row>
      <xdr:rowOff>121920</xdr:rowOff>
    </xdr:from>
    <xdr:to>
      <xdr:col>5</xdr:col>
      <xdr:colOff>152400</xdr:colOff>
      <xdr:row>11</xdr:row>
      <xdr:rowOff>83820</xdr:rowOff>
    </xdr:to>
    <xdr:sp macro="" textlink="">
      <xdr:nvSpPr>
        <xdr:cNvPr id="18" name="Rectangle: Rounded Corners 17">
          <a:extLst>
            <a:ext uri="{FF2B5EF4-FFF2-40B4-BE49-F238E27FC236}">
              <a16:creationId xmlns:a16="http://schemas.microsoft.com/office/drawing/2014/main" id="{18E7703C-F27D-2BDC-4871-E81FBBC29FDC}"/>
            </a:ext>
          </a:extLst>
        </xdr:cNvPr>
        <xdr:cNvSpPr/>
      </xdr:nvSpPr>
      <xdr:spPr>
        <a:xfrm>
          <a:off x="2651760" y="1402080"/>
          <a:ext cx="548640" cy="693420"/>
        </a:xfrm>
        <a:prstGeom prst="roundRect">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1</xdr:col>
      <xdr:colOff>190500</xdr:colOff>
      <xdr:row>8</xdr:row>
      <xdr:rowOff>91440</xdr:rowOff>
    </xdr:from>
    <xdr:to>
      <xdr:col>2</xdr:col>
      <xdr:colOff>586740</xdr:colOff>
      <xdr:row>9</xdr:row>
      <xdr:rowOff>144780</xdr:rowOff>
    </xdr:to>
    <xdr:sp macro="" textlink="">
      <xdr:nvSpPr>
        <xdr:cNvPr id="19" name="TextBox 18">
          <a:extLst>
            <a:ext uri="{FF2B5EF4-FFF2-40B4-BE49-F238E27FC236}">
              <a16:creationId xmlns:a16="http://schemas.microsoft.com/office/drawing/2014/main" id="{25B37572-7590-504B-B58D-50229B91E27C}"/>
            </a:ext>
          </a:extLst>
        </xdr:cNvPr>
        <xdr:cNvSpPr txBox="1"/>
      </xdr:nvSpPr>
      <xdr:spPr>
        <a:xfrm>
          <a:off x="800100" y="1554480"/>
          <a:ext cx="1005840" cy="236220"/>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1200" b="1"/>
            <a:t>TOTAL YIELD</a:t>
          </a:r>
        </a:p>
      </xdr:txBody>
    </xdr:sp>
    <xdr:clientData/>
  </xdr:twoCellAnchor>
  <xdr:twoCellAnchor>
    <xdr:from>
      <xdr:col>5</xdr:col>
      <xdr:colOff>167640</xdr:colOff>
      <xdr:row>8</xdr:row>
      <xdr:rowOff>114300</xdr:rowOff>
    </xdr:from>
    <xdr:to>
      <xdr:col>7</xdr:col>
      <xdr:colOff>274320</xdr:colOff>
      <xdr:row>9</xdr:row>
      <xdr:rowOff>129540</xdr:rowOff>
    </xdr:to>
    <xdr:sp macro="" textlink="">
      <xdr:nvSpPr>
        <xdr:cNvPr id="20" name="TextBox 19">
          <a:extLst>
            <a:ext uri="{FF2B5EF4-FFF2-40B4-BE49-F238E27FC236}">
              <a16:creationId xmlns:a16="http://schemas.microsoft.com/office/drawing/2014/main" id="{2ACFA5A5-1741-4E9C-79C2-A540918A4413}"/>
            </a:ext>
          </a:extLst>
        </xdr:cNvPr>
        <xdr:cNvSpPr txBox="1"/>
      </xdr:nvSpPr>
      <xdr:spPr>
        <a:xfrm>
          <a:off x="3215640" y="1536700"/>
          <a:ext cx="1325880" cy="193040"/>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1200" b="1"/>
            <a:t>TOTAL REVENUE</a:t>
          </a:r>
        </a:p>
      </xdr:txBody>
    </xdr:sp>
    <xdr:clientData/>
  </xdr:twoCellAnchor>
  <xdr:twoCellAnchor>
    <xdr:from>
      <xdr:col>9</xdr:col>
      <xdr:colOff>274320</xdr:colOff>
      <xdr:row>8</xdr:row>
      <xdr:rowOff>114300</xdr:rowOff>
    </xdr:from>
    <xdr:to>
      <xdr:col>11</xdr:col>
      <xdr:colOff>182880</xdr:colOff>
      <xdr:row>9</xdr:row>
      <xdr:rowOff>175260</xdr:rowOff>
    </xdr:to>
    <xdr:sp macro="" textlink="">
      <xdr:nvSpPr>
        <xdr:cNvPr id="23" name="TextBox 22">
          <a:extLst>
            <a:ext uri="{FF2B5EF4-FFF2-40B4-BE49-F238E27FC236}">
              <a16:creationId xmlns:a16="http://schemas.microsoft.com/office/drawing/2014/main" id="{7A71EDB1-1002-BAE7-79D6-EDB7C768EACC}"/>
            </a:ext>
          </a:extLst>
        </xdr:cNvPr>
        <xdr:cNvSpPr txBox="1"/>
      </xdr:nvSpPr>
      <xdr:spPr>
        <a:xfrm>
          <a:off x="5760720" y="1577340"/>
          <a:ext cx="1127760" cy="243840"/>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1200" b="1"/>
            <a:t>AVG RAINFALL</a:t>
          </a:r>
        </a:p>
      </xdr:txBody>
    </xdr:sp>
    <xdr:clientData/>
  </xdr:twoCellAnchor>
  <xdr:twoCellAnchor>
    <xdr:from>
      <xdr:col>13</xdr:col>
      <xdr:colOff>525780</xdr:colOff>
      <xdr:row>9</xdr:row>
      <xdr:rowOff>137160</xdr:rowOff>
    </xdr:from>
    <xdr:to>
      <xdr:col>15</xdr:col>
      <xdr:colOff>358140</xdr:colOff>
      <xdr:row>11</xdr:row>
      <xdr:rowOff>7620</xdr:rowOff>
    </xdr:to>
    <xdr:sp macro="" textlink="data_season!N10">
      <xdr:nvSpPr>
        <xdr:cNvPr id="25" name="TextBox 24">
          <a:extLst>
            <a:ext uri="{FF2B5EF4-FFF2-40B4-BE49-F238E27FC236}">
              <a16:creationId xmlns:a16="http://schemas.microsoft.com/office/drawing/2014/main" id="{B9260D04-616D-F040-0969-8EE78A22F067}"/>
            </a:ext>
          </a:extLst>
        </xdr:cNvPr>
        <xdr:cNvSpPr txBox="1"/>
      </xdr:nvSpPr>
      <xdr:spPr>
        <a:xfrm>
          <a:off x="8450580" y="1783080"/>
          <a:ext cx="1051560" cy="236220"/>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fld id="{170C0403-21F2-42BE-A952-8E9C1EFA8E7B}" type="TxLink">
            <a:rPr lang="en-US" sz="1100" b="1" i="0" u="none" strike="noStrike">
              <a:solidFill>
                <a:srgbClr val="000000"/>
              </a:solidFill>
              <a:latin typeface="Aptos Narrow"/>
            </a:rPr>
            <a:pPr/>
            <a:t>65.89</a:t>
          </a:fld>
          <a:endParaRPr lang="en-IN" sz="1100" b="1"/>
        </a:p>
      </xdr:txBody>
    </xdr:sp>
    <xdr:clientData/>
  </xdr:twoCellAnchor>
  <xdr:twoCellAnchor>
    <xdr:from>
      <xdr:col>9</xdr:col>
      <xdr:colOff>350520</xdr:colOff>
      <xdr:row>9</xdr:row>
      <xdr:rowOff>152400</xdr:rowOff>
    </xdr:from>
    <xdr:to>
      <xdr:col>10</xdr:col>
      <xdr:colOff>579120</xdr:colOff>
      <xdr:row>11</xdr:row>
      <xdr:rowOff>53340</xdr:rowOff>
    </xdr:to>
    <xdr:sp macro="" textlink="data_season!N7">
      <xdr:nvSpPr>
        <xdr:cNvPr id="26" name="TextBox 25">
          <a:extLst>
            <a:ext uri="{FF2B5EF4-FFF2-40B4-BE49-F238E27FC236}">
              <a16:creationId xmlns:a16="http://schemas.microsoft.com/office/drawing/2014/main" id="{AFE563C7-7B34-F00F-E69B-C53B222A57E7}"/>
            </a:ext>
          </a:extLst>
        </xdr:cNvPr>
        <xdr:cNvSpPr txBox="1"/>
      </xdr:nvSpPr>
      <xdr:spPr>
        <a:xfrm>
          <a:off x="5836920" y="1798320"/>
          <a:ext cx="838200" cy="266700"/>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fld id="{5D5145D3-FC48-40D8-B4B9-906BAA053E5D}" type="TxLink">
            <a:rPr lang="en-US" sz="1100" b="1" i="0" u="none" strike="noStrike">
              <a:solidFill>
                <a:srgbClr val="000000"/>
              </a:solidFill>
              <a:latin typeface="Aptos Narrow"/>
            </a:rPr>
            <a:pPr/>
            <a:t>2812.66</a:t>
          </a:fld>
          <a:endParaRPr lang="en-IN" sz="1200" b="1"/>
        </a:p>
      </xdr:txBody>
    </xdr:sp>
    <xdr:clientData/>
  </xdr:twoCellAnchor>
  <xdr:twoCellAnchor>
    <xdr:from>
      <xdr:col>5</xdr:col>
      <xdr:colOff>203454</xdr:colOff>
      <xdr:row>9</xdr:row>
      <xdr:rowOff>137160</xdr:rowOff>
    </xdr:from>
    <xdr:to>
      <xdr:col>7</xdr:col>
      <xdr:colOff>175260</xdr:colOff>
      <xdr:row>10</xdr:row>
      <xdr:rowOff>167640</xdr:rowOff>
    </xdr:to>
    <xdr:sp macro="" textlink="data_season!N13">
      <xdr:nvSpPr>
        <xdr:cNvPr id="27" name="TextBox 26">
          <a:extLst>
            <a:ext uri="{FF2B5EF4-FFF2-40B4-BE49-F238E27FC236}">
              <a16:creationId xmlns:a16="http://schemas.microsoft.com/office/drawing/2014/main" id="{DFC1810B-5B94-59D4-0418-D7F7FB021D7C}"/>
            </a:ext>
          </a:extLst>
        </xdr:cNvPr>
        <xdr:cNvSpPr txBox="1"/>
      </xdr:nvSpPr>
      <xdr:spPr>
        <a:xfrm>
          <a:off x="3251454" y="1783080"/>
          <a:ext cx="1191006" cy="213360"/>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fld id="{55973246-3036-4E3A-B1C3-CBEA12DCA4F8}" type="TxLink">
            <a:rPr lang="en-US" sz="1200" b="1" i="0" u="none" strike="noStrike">
              <a:solidFill>
                <a:srgbClr val="000000"/>
              </a:solidFill>
              <a:latin typeface="Aptos Narrow"/>
            </a:rPr>
            <a:pPr/>
            <a:t>₹ 27,24,44,700</a:t>
          </a:fld>
          <a:endParaRPr lang="en-IN" sz="1200" b="1"/>
        </a:p>
      </xdr:txBody>
    </xdr:sp>
    <xdr:clientData/>
  </xdr:twoCellAnchor>
  <xdr:twoCellAnchor>
    <xdr:from>
      <xdr:col>1</xdr:col>
      <xdr:colOff>213360</xdr:colOff>
      <xdr:row>9</xdr:row>
      <xdr:rowOff>114300</xdr:rowOff>
    </xdr:from>
    <xdr:to>
      <xdr:col>2</xdr:col>
      <xdr:colOff>548640</xdr:colOff>
      <xdr:row>10</xdr:row>
      <xdr:rowOff>121920</xdr:rowOff>
    </xdr:to>
    <xdr:sp macro="" textlink="data_season!N4">
      <xdr:nvSpPr>
        <xdr:cNvPr id="28" name="TextBox 27">
          <a:extLst>
            <a:ext uri="{FF2B5EF4-FFF2-40B4-BE49-F238E27FC236}">
              <a16:creationId xmlns:a16="http://schemas.microsoft.com/office/drawing/2014/main" id="{E4102805-A85E-971D-7FB4-FBB2036EB5C6}"/>
            </a:ext>
          </a:extLst>
        </xdr:cNvPr>
        <xdr:cNvSpPr txBox="1"/>
      </xdr:nvSpPr>
      <xdr:spPr>
        <a:xfrm>
          <a:off x="822960" y="1760220"/>
          <a:ext cx="944880" cy="190500"/>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fld id="{8521E687-4407-4DD1-A7F1-D7CDDC391732}" type="TxLink">
            <a:rPr lang="en-US" sz="1200" b="1" i="0" u="none" strike="noStrike">
              <a:solidFill>
                <a:srgbClr val="000000"/>
              </a:solidFill>
              <a:latin typeface="Aptos Narrow"/>
            </a:rPr>
            <a:pPr/>
            <a:t>73324558.1</a:t>
          </a:fld>
          <a:endParaRPr lang="en-IN" sz="1200" b="1"/>
        </a:p>
      </xdr:txBody>
    </xdr:sp>
    <xdr:clientData/>
  </xdr:twoCellAnchor>
  <xdr:twoCellAnchor>
    <xdr:from>
      <xdr:col>12</xdr:col>
      <xdr:colOff>243840</xdr:colOff>
      <xdr:row>7</xdr:row>
      <xdr:rowOff>114300</xdr:rowOff>
    </xdr:from>
    <xdr:to>
      <xdr:col>13</xdr:col>
      <xdr:colOff>182880</xdr:colOff>
      <xdr:row>11</xdr:row>
      <xdr:rowOff>76200</xdr:rowOff>
    </xdr:to>
    <xdr:sp macro="" textlink="">
      <xdr:nvSpPr>
        <xdr:cNvPr id="34" name="Rectangle: Rounded Corners 33">
          <a:extLst>
            <a:ext uri="{FF2B5EF4-FFF2-40B4-BE49-F238E27FC236}">
              <a16:creationId xmlns:a16="http://schemas.microsoft.com/office/drawing/2014/main" id="{6C084ACF-A365-C9B6-4FA1-C6E6E2618437}"/>
            </a:ext>
          </a:extLst>
        </xdr:cNvPr>
        <xdr:cNvSpPr/>
      </xdr:nvSpPr>
      <xdr:spPr>
        <a:xfrm>
          <a:off x="7539585" y="1419428"/>
          <a:ext cx="547018" cy="707687"/>
        </a:xfrm>
        <a:prstGeom prst="roundRect">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13</xdr:col>
      <xdr:colOff>251460</xdr:colOff>
      <xdr:row>8</xdr:row>
      <xdr:rowOff>53340</xdr:rowOff>
    </xdr:from>
    <xdr:to>
      <xdr:col>15</xdr:col>
      <xdr:colOff>320040</xdr:colOff>
      <xdr:row>9</xdr:row>
      <xdr:rowOff>137160</xdr:rowOff>
    </xdr:to>
    <xdr:sp macro="" textlink="">
      <xdr:nvSpPr>
        <xdr:cNvPr id="35" name="TextBox 34">
          <a:extLst>
            <a:ext uri="{FF2B5EF4-FFF2-40B4-BE49-F238E27FC236}">
              <a16:creationId xmlns:a16="http://schemas.microsoft.com/office/drawing/2014/main" id="{F4EAFEE5-AC40-0781-5C1F-870E0F898912}"/>
            </a:ext>
          </a:extLst>
        </xdr:cNvPr>
        <xdr:cNvSpPr txBox="1"/>
      </xdr:nvSpPr>
      <xdr:spPr>
        <a:xfrm>
          <a:off x="8176260" y="1516380"/>
          <a:ext cx="1287780" cy="266700"/>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1050" b="1"/>
            <a:t>AVG TEMPERATURE</a:t>
          </a:r>
        </a:p>
      </xdr:txBody>
    </xdr:sp>
    <xdr:clientData/>
  </xdr:twoCellAnchor>
  <xdr:twoCellAnchor editAs="oneCell">
    <xdr:from>
      <xdr:col>16</xdr:col>
      <xdr:colOff>159166</xdr:colOff>
      <xdr:row>7</xdr:row>
      <xdr:rowOff>25400</xdr:rowOff>
    </xdr:from>
    <xdr:to>
      <xdr:col>19</xdr:col>
      <xdr:colOff>490366</xdr:colOff>
      <xdr:row>11</xdr:row>
      <xdr:rowOff>106200</xdr:rowOff>
    </xdr:to>
    <mc:AlternateContent xmlns:mc="http://schemas.openxmlformats.org/markup-compatibility/2006" xmlns:a14="http://schemas.microsoft.com/office/drawing/2010/main">
      <mc:Choice Requires="a14">
        <xdr:graphicFrame macro="">
          <xdr:nvGraphicFramePr>
            <xdr:cNvPr id="36" name="Season">
              <a:extLst>
                <a:ext uri="{FF2B5EF4-FFF2-40B4-BE49-F238E27FC236}">
                  <a16:creationId xmlns:a16="http://schemas.microsoft.com/office/drawing/2014/main" id="{624F30A2-7FD9-43CA-B056-E3718C393D6C}"/>
                </a:ext>
              </a:extLst>
            </xdr:cNvPr>
            <xdr:cNvGraphicFramePr/>
          </xdr:nvGraphicFramePr>
          <xdr:xfrm>
            <a:off x="0" y="0"/>
            <a:ext cx="0" cy="0"/>
          </xdr:xfrm>
          <a:graphic>
            <a:graphicData uri="http://schemas.microsoft.com/office/drawing/2010/slicer">
              <sle:slicer xmlns:sle="http://schemas.microsoft.com/office/drawing/2010/slicer" name="Season"/>
            </a:graphicData>
          </a:graphic>
        </xdr:graphicFrame>
      </mc:Choice>
      <mc:Fallback xmlns="">
        <xdr:sp macro="" textlink="">
          <xdr:nvSpPr>
            <xdr:cNvPr id="0" name=""/>
            <xdr:cNvSpPr>
              <a:spLocks noTextEdit="1"/>
            </xdr:cNvSpPr>
          </xdr:nvSpPr>
          <xdr:spPr>
            <a:xfrm>
              <a:off x="9912766" y="1270000"/>
              <a:ext cx="2160000" cy="79200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4</xdr:col>
      <xdr:colOff>252919</xdr:colOff>
      <xdr:row>8</xdr:row>
      <xdr:rowOff>113490</xdr:rowOff>
    </xdr:from>
    <xdr:to>
      <xdr:col>5</xdr:col>
      <xdr:colOff>0</xdr:colOff>
      <xdr:row>10</xdr:row>
      <xdr:rowOff>95656</xdr:rowOff>
    </xdr:to>
    <xdr:pic>
      <xdr:nvPicPr>
        <xdr:cNvPr id="39" name="Graphic 38" descr="Money with solid fill">
          <a:extLst>
            <a:ext uri="{FF2B5EF4-FFF2-40B4-BE49-F238E27FC236}">
              <a16:creationId xmlns:a16="http://schemas.microsoft.com/office/drawing/2014/main" id="{AD15E195-B89D-6E3F-4B48-C329A0C6968E}"/>
            </a:ext>
          </a:extLst>
        </xdr:cNvPr>
        <xdr:cNvPicPr>
          <a:picLocks noChangeAspect="1"/>
        </xdr:cNvPicPr>
      </xdr:nvPicPr>
      <xdr:blipFill>
        <a:blip xmlns:r="http://schemas.openxmlformats.org/officeDocument/2006/relationships" r:embed="rId1">
          <a:extLst>
            <a:ext uri="{96DAC541-7B7A-43D3-8B79-37D633B846F1}">
              <asvg:svgBlip xmlns:asvg="http://schemas.microsoft.com/office/drawing/2016/SVG/main" r:embed="rId2"/>
            </a:ext>
          </a:extLst>
        </a:blip>
        <a:stretch>
          <a:fillRect/>
        </a:stretch>
      </xdr:blipFill>
      <xdr:spPr>
        <a:xfrm>
          <a:off x="2684834" y="1605064"/>
          <a:ext cx="355060" cy="355060"/>
        </a:xfrm>
        <a:prstGeom prst="rect">
          <a:avLst/>
        </a:prstGeom>
      </xdr:spPr>
    </xdr:pic>
    <xdr:clientData/>
  </xdr:twoCellAnchor>
  <xdr:twoCellAnchor editAs="oneCell">
    <xdr:from>
      <xdr:col>8</xdr:col>
      <xdr:colOff>291830</xdr:colOff>
      <xdr:row>8</xdr:row>
      <xdr:rowOff>40532</xdr:rowOff>
    </xdr:from>
    <xdr:to>
      <xdr:col>9</xdr:col>
      <xdr:colOff>105383</xdr:colOff>
      <xdr:row>10</xdr:row>
      <xdr:rowOff>89170</xdr:rowOff>
    </xdr:to>
    <xdr:pic>
      <xdr:nvPicPr>
        <xdr:cNvPr id="41" name="Graphic 40" descr="Cloud with solid fill">
          <a:extLst>
            <a:ext uri="{FF2B5EF4-FFF2-40B4-BE49-F238E27FC236}">
              <a16:creationId xmlns:a16="http://schemas.microsoft.com/office/drawing/2014/main" id="{93E26167-4827-341F-5D47-51C0439BB655}"/>
            </a:ext>
          </a:extLst>
        </xdr:cNvPr>
        <xdr:cNvPicPr>
          <a:picLocks noChangeAspect="1"/>
        </xdr:cNvPicPr>
      </xdr:nvPicPr>
      <xdr:blipFill>
        <a:blip xmlns:r="http://schemas.openxmlformats.org/officeDocument/2006/relationships" r:embed="rId3">
          <a:extLst>
            <a:ext uri="{96DAC541-7B7A-43D3-8B79-37D633B846F1}">
              <asvg:svgBlip xmlns:asvg="http://schemas.microsoft.com/office/drawing/2016/SVG/main" r:embed="rId4"/>
            </a:ext>
          </a:extLst>
        </a:blip>
        <a:stretch>
          <a:fillRect/>
        </a:stretch>
      </xdr:blipFill>
      <xdr:spPr>
        <a:xfrm>
          <a:off x="5155660" y="1532106"/>
          <a:ext cx="421532" cy="421532"/>
        </a:xfrm>
        <a:prstGeom prst="rect">
          <a:avLst/>
        </a:prstGeom>
      </xdr:spPr>
    </xdr:pic>
    <xdr:clientData/>
  </xdr:twoCellAnchor>
  <xdr:twoCellAnchor editAs="oneCell">
    <xdr:from>
      <xdr:col>12</xdr:col>
      <xdr:colOff>259405</xdr:colOff>
      <xdr:row>8</xdr:row>
      <xdr:rowOff>81064</xdr:rowOff>
    </xdr:from>
    <xdr:to>
      <xdr:col>13</xdr:col>
      <xdr:colOff>97277</xdr:colOff>
      <xdr:row>10</xdr:row>
      <xdr:rowOff>154020</xdr:rowOff>
    </xdr:to>
    <xdr:pic>
      <xdr:nvPicPr>
        <xdr:cNvPr id="45" name="Graphic 44" descr="Thermometer with solid fill">
          <a:extLst>
            <a:ext uri="{FF2B5EF4-FFF2-40B4-BE49-F238E27FC236}">
              <a16:creationId xmlns:a16="http://schemas.microsoft.com/office/drawing/2014/main" id="{1BC93932-9351-075C-CF7C-E6B497D43159}"/>
            </a:ext>
          </a:extLst>
        </xdr:cNvPr>
        <xdr:cNvPicPr>
          <a:picLocks noChangeAspect="1"/>
        </xdr:cNvPicPr>
      </xdr:nvPicPr>
      <xdr:blipFill>
        <a:blip xmlns:r="http://schemas.openxmlformats.org/officeDocument/2006/relationships" r:embed="rId5">
          <a:extLst>
            <a:ext uri="{96DAC541-7B7A-43D3-8B79-37D633B846F1}">
              <asvg:svgBlip xmlns:asvg="http://schemas.microsoft.com/office/drawing/2016/SVG/main" r:embed="rId6"/>
            </a:ext>
          </a:extLst>
        </a:blip>
        <a:stretch>
          <a:fillRect/>
        </a:stretch>
      </xdr:blipFill>
      <xdr:spPr>
        <a:xfrm>
          <a:off x="7555150" y="1572638"/>
          <a:ext cx="445850" cy="445850"/>
        </a:xfrm>
        <a:prstGeom prst="rect">
          <a:avLst/>
        </a:prstGeom>
      </xdr:spPr>
    </xdr:pic>
    <xdr:clientData/>
  </xdr:twoCellAnchor>
  <xdr:twoCellAnchor editAs="oneCell">
    <xdr:from>
      <xdr:col>0</xdr:col>
      <xdr:colOff>170559</xdr:colOff>
      <xdr:row>8</xdr:row>
      <xdr:rowOff>8106</xdr:rowOff>
    </xdr:from>
    <xdr:to>
      <xdr:col>1</xdr:col>
      <xdr:colOff>0</xdr:colOff>
      <xdr:row>10</xdr:row>
      <xdr:rowOff>72632</xdr:rowOff>
    </xdr:to>
    <xdr:pic>
      <xdr:nvPicPr>
        <xdr:cNvPr id="50" name="Graphic 49" descr="Leaf with solid fill">
          <a:extLst>
            <a:ext uri="{FF2B5EF4-FFF2-40B4-BE49-F238E27FC236}">
              <a16:creationId xmlns:a16="http://schemas.microsoft.com/office/drawing/2014/main" id="{A501AD1E-EFD1-4A2C-8279-E4C220A3FC60}"/>
            </a:ext>
          </a:extLst>
        </xdr:cNvPr>
        <xdr:cNvPicPr>
          <a:picLocks noChangeAspect="1"/>
        </xdr:cNvPicPr>
      </xdr:nvPicPr>
      <xdr:blipFill>
        <a:blip xmlns:r="http://schemas.openxmlformats.org/officeDocument/2006/relationships" r:embed="rId7">
          <a:extLst>
            <a:ext uri="{96DAC541-7B7A-43D3-8B79-37D633B846F1}">
              <asvg:svgBlip xmlns:asvg="http://schemas.microsoft.com/office/drawing/2016/SVG/main" r:embed="rId8"/>
            </a:ext>
          </a:extLst>
        </a:blip>
        <a:stretch>
          <a:fillRect/>
        </a:stretch>
      </xdr:blipFill>
      <xdr:spPr>
        <a:xfrm>
          <a:off x="170559" y="1499680"/>
          <a:ext cx="437420" cy="437420"/>
        </a:xfrm>
        <a:prstGeom prst="rect">
          <a:avLst/>
        </a:prstGeom>
      </xdr:spPr>
    </xdr:pic>
    <xdr:clientData/>
  </xdr:twoCellAnchor>
  <xdr:twoCellAnchor editAs="oneCell">
    <xdr:from>
      <xdr:col>0</xdr:col>
      <xdr:colOff>0</xdr:colOff>
      <xdr:row>13</xdr:row>
      <xdr:rowOff>0</xdr:rowOff>
    </xdr:from>
    <xdr:to>
      <xdr:col>3</xdr:col>
      <xdr:colOff>0</xdr:colOff>
      <xdr:row>32</xdr:row>
      <xdr:rowOff>0</xdr:rowOff>
    </xdr:to>
    <mc:AlternateContent xmlns:mc="http://schemas.openxmlformats.org/markup-compatibility/2006" xmlns:a14="http://schemas.microsoft.com/office/drawing/2010/main">
      <mc:Choice Requires="a14">
        <xdr:graphicFrame macro="">
          <xdr:nvGraphicFramePr>
            <xdr:cNvPr id="52" name="Location">
              <a:extLst>
                <a:ext uri="{FF2B5EF4-FFF2-40B4-BE49-F238E27FC236}">
                  <a16:creationId xmlns:a16="http://schemas.microsoft.com/office/drawing/2014/main" id="{4442B408-48B9-48CB-A8E4-590FA7BD1129}"/>
                </a:ext>
              </a:extLst>
            </xdr:cNvPr>
            <xdr:cNvGraphicFramePr/>
          </xdr:nvGraphicFramePr>
          <xdr:xfrm>
            <a:off x="0" y="0"/>
            <a:ext cx="0" cy="0"/>
          </xdr:xfrm>
          <a:graphic>
            <a:graphicData uri="http://schemas.microsoft.com/office/drawing/2010/slicer">
              <sle:slicer xmlns:sle="http://schemas.microsoft.com/office/drawing/2010/slicer" name="Location"/>
            </a:graphicData>
          </a:graphic>
        </xdr:graphicFrame>
      </mc:Choice>
      <mc:Fallback xmlns="">
        <xdr:sp macro="" textlink="">
          <xdr:nvSpPr>
            <xdr:cNvPr id="0" name=""/>
            <xdr:cNvSpPr>
              <a:spLocks noTextEdit="1"/>
            </xdr:cNvSpPr>
          </xdr:nvSpPr>
          <xdr:spPr>
            <a:xfrm>
              <a:off x="0" y="2377440"/>
              <a:ext cx="1828800" cy="347472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0</xdr:colOff>
      <xdr:row>33</xdr:row>
      <xdr:rowOff>0</xdr:rowOff>
    </xdr:from>
    <xdr:to>
      <xdr:col>3</xdr:col>
      <xdr:colOff>4864</xdr:colOff>
      <xdr:row>48</xdr:row>
      <xdr:rowOff>0</xdr:rowOff>
    </xdr:to>
    <mc:AlternateContent xmlns:mc="http://schemas.openxmlformats.org/markup-compatibility/2006" xmlns:a14="http://schemas.microsoft.com/office/drawing/2010/main">
      <mc:Choice Requires="a14">
        <xdr:graphicFrame macro="">
          <xdr:nvGraphicFramePr>
            <xdr:cNvPr id="54" name="Year 1">
              <a:extLst>
                <a:ext uri="{FF2B5EF4-FFF2-40B4-BE49-F238E27FC236}">
                  <a16:creationId xmlns:a16="http://schemas.microsoft.com/office/drawing/2014/main" id="{70F053F8-5A4A-4864-9E20-1A43A93A9DC4}"/>
                </a:ext>
              </a:extLst>
            </xdr:cNvPr>
            <xdr:cNvGraphicFramePr/>
          </xdr:nvGraphicFramePr>
          <xdr:xfrm>
            <a:off x="0" y="0"/>
            <a:ext cx="0" cy="0"/>
          </xdr:xfrm>
          <a:graphic>
            <a:graphicData uri="http://schemas.microsoft.com/office/drawing/2010/slicer">
              <sle:slicer xmlns:sle="http://schemas.microsoft.com/office/drawing/2010/slicer" name="Year 1"/>
            </a:graphicData>
          </a:graphic>
        </xdr:graphicFrame>
      </mc:Choice>
      <mc:Fallback xmlns="">
        <xdr:sp macro="" textlink="">
          <xdr:nvSpPr>
            <xdr:cNvPr id="0" name=""/>
            <xdr:cNvSpPr>
              <a:spLocks noTextEdit="1"/>
            </xdr:cNvSpPr>
          </xdr:nvSpPr>
          <xdr:spPr>
            <a:xfrm>
              <a:off x="0" y="6035040"/>
              <a:ext cx="1833664" cy="274320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3</xdr:col>
      <xdr:colOff>469900</xdr:colOff>
      <xdr:row>13</xdr:row>
      <xdr:rowOff>0</xdr:rowOff>
    </xdr:from>
    <xdr:to>
      <xdr:col>12</xdr:col>
      <xdr:colOff>0</xdr:colOff>
      <xdr:row>28</xdr:row>
      <xdr:rowOff>89170</xdr:rowOff>
    </xdr:to>
    <xdr:sp macro="" textlink="">
      <xdr:nvSpPr>
        <xdr:cNvPr id="55" name="Rectangle: Rounded Corners 54">
          <a:extLst>
            <a:ext uri="{FF2B5EF4-FFF2-40B4-BE49-F238E27FC236}">
              <a16:creationId xmlns:a16="http://schemas.microsoft.com/office/drawing/2014/main" id="{90F103A2-604E-C160-FABF-BA2707447756}"/>
            </a:ext>
          </a:extLst>
        </xdr:cNvPr>
        <xdr:cNvSpPr/>
      </xdr:nvSpPr>
      <xdr:spPr>
        <a:xfrm>
          <a:off x="2298700" y="2311400"/>
          <a:ext cx="5016500" cy="2756170"/>
        </a:xfrm>
        <a:prstGeom prst="roundRect">
          <a:avLst/>
        </a:prstGeom>
      </xdr:spPr>
      <xdr:style>
        <a:lnRef idx="2">
          <a:schemeClr val="accent6"/>
        </a:lnRef>
        <a:fillRef idx="1">
          <a:schemeClr val="lt1"/>
        </a:fillRef>
        <a:effectRef idx="0">
          <a:schemeClr val="accent6"/>
        </a:effectRef>
        <a:fontRef idx="minor">
          <a:schemeClr val="dk1"/>
        </a:fontRef>
      </xdr:style>
      <xdr:txBody>
        <a:bodyPr vertOverflow="clip" horzOverflow="clip" rtlCol="0" anchor="t"/>
        <a:lstStyle/>
        <a:p>
          <a:pPr algn="l"/>
          <a:r>
            <a:rPr lang="en-IN" sz="1100" b="1"/>
            <a:t>YIELD BASED ON YEAR AND CROP</a:t>
          </a:r>
        </a:p>
      </xdr:txBody>
    </xdr:sp>
    <xdr:clientData/>
  </xdr:twoCellAnchor>
  <xdr:twoCellAnchor>
    <xdr:from>
      <xdr:col>4</xdr:col>
      <xdr:colOff>178340</xdr:colOff>
      <xdr:row>15</xdr:row>
      <xdr:rowOff>178341</xdr:rowOff>
    </xdr:from>
    <xdr:to>
      <xdr:col>11</xdr:col>
      <xdr:colOff>178340</xdr:colOff>
      <xdr:row>26</xdr:row>
      <xdr:rowOff>178341</xdr:rowOff>
    </xdr:to>
    <xdr:graphicFrame macro="">
      <xdr:nvGraphicFramePr>
        <xdr:cNvPr id="58" name="Chart 57">
          <a:extLst>
            <a:ext uri="{FF2B5EF4-FFF2-40B4-BE49-F238E27FC236}">
              <a16:creationId xmlns:a16="http://schemas.microsoft.com/office/drawing/2014/main" id="{2DB2791A-B3DE-4B64-D457-DCA21B780FEA}"/>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9"/>
        </a:graphicData>
      </a:graphic>
    </xdr:graphicFrame>
    <xdr:clientData/>
  </xdr:twoCellAnchor>
  <xdr:twoCellAnchor>
    <xdr:from>
      <xdr:col>12</xdr:col>
      <xdr:colOff>381000</xdr:colOff>
      <xdr:row>26</xdr:row>
      <xdr:rowOff>25400</xdr:rowOff>
    </xdr:from>
    <xdr:to>
      <xdr:col>19</xdr:col>
      <xdr:colOff>558800</xdr:colOff>
      <xdr:row>35</xdr:row>
      <xdr:rowOff>25400</xdr:rowOff>
    </xdr:to>
    <xdr:sp macro="" textlink="">
      <xdr:nvSpPr>
        <xdr:cNvPr id="60" name="Rectangle: Rounded Corners 59">
          <a:extLst>
            <a:ext uri="{FF2B5EF4-FFF2-40B4-BE49-F238E27FC236}">
              <a16:creationId xmlns:a16="http://schemas.microsoft.com/office/drawing/2014/main" id="{5BDBABBD-8603-416C-AF24-19A440C9EA17}"/>
            </a:ext>
          </a:extLst>
        </xdr:cNvPr>
        <xdr:cNvSpPr/>
      </xdr:nvSpPr>
      <xdr:spPr>
        <a:xfrm>
          <a:off x="7696200" y="4648200"/>
          <a:ext cx="4445000" cy="1600200"/>
        </a:xfrm>
        <a:prstGeom prst="roundRect">
          <a:avLst/>
        </a:prstGeom>
      </xdr:spPr>
      <xdr:style>
        <a:lnRef idx="2">
          <a:schemeClr val="accent6"/>
        </a:lnRef>
        <a:fillRef idx="1">
          <a:schemeClr val="lt1"/>
        </a:fillRef>
        <a:effectRef idx="0">
          <a:schemeClr val="accent6"/>
        </a:effectRef>
        <a:fontRef idx="minor">
          <a:schemeClr val="dk1"/>
        </a:fontRef>
      </xdr:style>
      <xdr:txBody>
        <a:bodyPr vertOverflow="clip" horzOverflow="clip" rtlCol="0" anchor="t"/>
        <a:lstStyle/>
        <a:p>
          <a:pPr algn="l"/>
          <a:r>
            <a:rPr lang="en-IN" sz="1100" b="1"/>
            <a:t>SEASON</a:t>
          </a:r>
          <a:r>
            <a:rPr lang="en-IN" sz="1100" b="1" baseline="0"/>
            <a:t> BASED YEILD</a:t>
          </a:r>
          <a:endParaRPr lang="en-IN" sz="1100" b="1"/>
        </a:p>
      </xdr:txBody>
    </xdr:sp>
    <xdr:clientData/>
  </xdr:twoCellAnchor>
  <xdr:twoCellAnchor>
    <xdr:from>
      <xdr:col>13</xdr:col>
      <xdr:colOff>0</xdr:colOff>
      <xdr:row>28</xdr:row>
      <xdr:rowOff>0</xdr:rowOff>
    </xdr:from>
    <xdr:to>
      <xdr:col>19</xdr:col>
      <xdr:colOff>0</xdr:colOff>
      <xdr:row>34</xdr:row>
      <xdr:rowOff>32426</xdr:rowOff>
    </xdr:to>
    <xdr:graphicFrame macro="">
      <xdr:nvGraphicFramePr>
        <xdr:cNvPr id="61" name="Chart 60">
          <a:extLst>
            <a:ext uri="{FF2B5EF4-FFF2-40B4-BE49-F238E27FC236}">
              <a16:creationId xmlns:a16="http://schemas.microsoft.com/office/drawing/2014/main" id="{539D4038-DB01-484B-BF6A-3D8FFCB7EAF1}"/>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0"/>
        </a:graphicData>
      </a:graphic>
    </xdr:graphicFrame>
    <xdr:clientData/>
  </xdr:twoCellAnchor>
  <xdr:twoCellAnchor>
    <xdr:from>
      <xdr:col>12</xdr:col>
      <xdr:colOff>332362</xdr:colOff>
      <xdr:row>36</xdr:row>
      <xdr:rowOff>0</xdr:rowOff>
    </xdr:from>
    <xdr:to>
      <xdr:col>20</xdr:col>
      <xdr:colOff>1</xdr:colOff>
      <xdr:row>48</xdr:row>
      <xdr:rowOff>0</xdr:rowOff>
    </xdr:to>
    <xdr:sp macro="" textlink="">
      <xdr:nvSpPr>
        <xdr:cNvPr id="64" name="Rectangle: Rounded Corners 63">
          <a:extLst>
            <a:ext uri="{FF2B5EF4-FFF2-40B4-BE49-F238E27FC236}">
              <a16:creationId xmlns:a16="http://schemas.microsoft.com/office/drawing/2014/main" id="{058B5DA1-F0FA-3AE9-9AA8-08124163D191}"/>
            </a:ext>
          </a:extLst>
        </xdr:cNvPr>
        <xdr:cNvSpPr/>
      </xdr:nvSpPr>
      <xdr:spPr>
        <a:xfrm>
          <a:off x="7628107" y="6712085"/>
          <a:ext cx="4531468" cy="2237362"/>
        </a:xfrm>
        <a:prstGeom prst="roundRect">
          <a:avLst/>
        </a:prstGeom>
      </xdr:spPr>
      <xdr:style>
        <a:lnRef idx="2">
          <a:schemeClr val="accent6"/>
        </a:lnRef>
        <a:fillRef idx="1">
          <a:schemeClr val="lt1"/>
        </a:fillRef>
        <a:effectRef idx="0">
          <a:schemeClr val="accent6"/>
        </a:effectRef>
        <a:fontRef idx="minor">
          <a:schemeClr val="dk1"/>
        </a:fontRef>
      </xdr:style>
      <xdr:txBody>
        <a:bodyPr vertOverflow="clip" horzOverflow="clip" rtlCol="0" anchor="t"/>
        <a:lstStyle/>
        <a:p>
          <a:pPr algn="l"/>
          <a:r>
            <a:rPr lang="en-IN" sz="1100" b="1"/>
            <a:t>SUM OF PRICE BY LOCATION</a:t>
          </a:r>
        </a:p>
      </xdr:txBody>
    </xdr:sp>
    <xdr:clientData/>
  </xdr:twoCellAnchor>
  <xdr:twoCellAnchor>
    <xdr:from>
      <xdr:col>13</xdr:col>
      <xdr:colOff>259406</xdr:colOff>
      <xdr:row>37</xdr:row>
      <xdr:rowOff>186446</xdr:rowOff>
    </xdr:from>
    <xdr:to>
      <xdr:col>20</xdr:col>
      <xdr:colOff>1</xdr:colOff>
      <xdr:row>46</xdr:row>
      <xdr:rowOff>186446</xdr:rowOff>
    </xdr:to>
    <xdr:graphicFrame macro="">
      <xdr:nvGraphicFramePr>
        <xdr:cNvPr id="65" name="Chart 64">
          <a:extLst>
            <a:ext uri="{FF2B5EF4-FFF2-40B4-BE49-F238E27FC236}">
              <a16:creationId xmlns:a16="http://schemas.microsoft.com/office/drawing/2014/main" id="{49EA0751-BA31-4418-A53B-2634B5AB5508}"/>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1"/>
        </a:graphicData>
      </a:graphic>
    </xdr:graphicFrame>
    <xdr:clientData/>
  </xdr:twoCellAnchor>
  <xdr:twoCellAnchor>
    <xdr:from>
      <xdr:col>12</xdr:col>
      <xdr:colOff>340467</xdr:colOff>
      <xdr:row>13</xdr:row>
      <xdr:rowOff>0</xdr:rowOff>
    </xdr:from>
    <xdr:to>
      <xdr:col>19</xdr:col>
      <xdr:colOff>607977</xdr:colOff>
      <xdr:row>25</xdr:row>
      <xdr:rowOff>0</xdr:rowOff>
    </xdr:to>
    <xdr:sp macro="" textlink="">
      <xdr:nvSpPr>
        <xdr:cNvPr id="69" name="Rectangle: Rounded Corners 68">
          <a:extLst>
            <a:ext uri="{FF2B5EF4-FFF2-40B4-BE49-F238E27FC236}">
              <a16:creationId xmlns:a16="http://schemas.microsoft.com/office/drawing/2014/main" id="{D8DEAE4C-21D6-0BA4-3DC4-D43F1B7FFDD9}"/>
            </a:ext>
          </a:extLst>
        </xdr:cNvPr>
        <xdr:cNvSpPr/>
      </xdr:nvSpPr>
      <xdr:spPr>
        <a:xfrm>
          <a:off x="7636212" y="2423809"/>
          <a:ext cx="4523361" cy="2237361"/>
        </a:xfrm>
        <a:prstGeom prst="roundRect">
          <a:avLst/>
        </a:prstGeom>
      </xdr:spPr>
      <xdr:style>
        <a:lnRef idx="2">
          <a:schemeClr val="accent6"/>
        </a:lnRef>
        <a:fillRef idx="1">
          <a:schemeClr val="lt1"/>
        </a:fillRef>
        <a:effectRef idx="0">
          <a:schemeClr val="accent6"/>
        </a:effectRef>
        <a:fontRef idx="minor">
          <a:schemeClr val="dk1"/>
        </a:fontRef>
      </xdr:style>
      <xdr:txBody>
        <a:bodyPr vertOverflow="clip" horzOverflow="clip" rtlCol="0" anchor="t"/>
        <a:lstStyle/>
        <a:p>
          <a:pPr algn="l"/>
          <a:r>
            <a:rPr lang="en-IN" sz="1100" b="1"/>
            <a:t>SEASON</a:t>
          </a:r>
          <a:r>
            <a:rPr lang="en-IN" sz="1100" b="1" baseline="0"/>
            <a:t> AND LOCATION BASED YEILD</a:t>
          </a:r>
          <a:endParaRPr lang="en-IN" sz="1100" b="1"/>
        </a:p>
      </xdr:txBody>
    </xdr:sp>
    <xdr:clientData/>
  </xdr:twoCellAnchor>
  <xdr:twoCellAnchor>
    <xdr:from>
      <xdr:col>13</xdr:col>
      <xdr:colOff>0</xdr:colOff>
      <xdr:row>15</xdr:row>
      <xdr:rowOff>24319</xdr:rowOff>
    </xdr:from>
    <xdr:to>
      <xdr:col>19</xdr:col>
      <xdr:colOff>0</xdr:colOff>
      <xdr:row>23</xdr:row>
      <xdr:rowOff>0</xdr:rowOff>
    </xdr:to>
    <xdr:graphicFrame macro="">
      <xdr:nvGraphicFramePr>
        <xdr:cNvPr id="70" name="Chart 69">
          <a:extLst>
            <a:ext uri="{FF2B5EF4-FFF2-40B4-BE49-F238E27FC236}">
              <a16:creationId xmlns:a16="http://schemas.microsoft.com/office/drawing/2014/main" id="{27423480-C1B7-6681-50B1-98FDDA446F9A}"/>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2"/>
        </a:graphicData>
      </a:graphic>
    </xdr:graphicFrame>
    <xdr:clientData/>
  </xdr:twoCellAnchor>
  <xdr:twoCellAnchor>
    <xdr:from>
      <xdr:col>3</xdr:col>
      <xdr:colOff>482600</xdr:colOff>
      <xdr:row>30</xdr:row>
      <xdr:rowOff>0</xdr:rowOff>
    </xdr:from>
    <xdr:to>
      <xdr:col>12</xdr:col>
      <xdr:colOff>0</xdr:colOff>
      <xdr:row>48</xdr:row>
      <xdr:rowOff>0</xdr:rowOff>
    </xdr:to>
    <xdr:sp macro="" textlink="">
      <xdr:nvSpPr>
        <xdr:cNvPr id="71" name="Rectangle: Rounded Corners 70">
          <a:extLst>
            <a:ext uri="{FF2B5EF4-FFF2-40B4-BE49-F238E27FC236}">
              <a16:creationId xmlns:a16="http://schemas.microsoft.com/office/drawing/2014/main" id="{B139FBFD-4247-CD36-0E31-C3E95512D7E3}"/>
            </a:ext>
          </a:extLst>
        </xdr:cNvPr>
        <xdr:cNvSpPr/>
      </xdr:nvSpPr>
      <xdr:spPr>
        <a:xfrm>
          <a:off x="2311400" y="5334000"/>
          <a:ext cx="5003800" cy="3200400"/>
        </a:xfrm>
        <a:prstGeom prst="roundRect">
          <a:avLst/>
        </a:prstGeom>
      </xdr:spPr>
      <xdr:style>
        <a:lnRef idx="2">
          <a:schemeClr val="accent6"/>
        </a:lnRef>
        <a:fillRef idx="1">
          <a:schemeClr val="lt1"/>
        </a:fillRef>
        <a:effectRef idx="0">
          <a:schemeClr val="accent6"/>
        </a:effectRef>
        <a:fontRef idx="minor">
          <a:schemeClr val="dk1"/>
        </a:fontRef>
      </xdr:style>
      <xdr:txBody>
        <a:bodyPr vertOverflow="clip" horzOverflow="clip" rtlCol="0" anchor="t"/>
        <a:lstStyle/>
        <a:p>
          <a:pPr algn="l"/>
          <a:r>
            <a:rPr lang="en-IN" sz="1100" b="1"/>
            <a:t>LOCATION</a:t>
          </a:r>
          <a:r>
            <a:rPr lang="en-IN" sz="1100" b="1" baseline="0"/>
            <a:t> BASED RTH</a:t>
          </a:r>
          <a:endParaRPr lang="en-IN" sz="1100" b="1"/>
        </a:p>
      </xdr:txBody>
    </xdr:sp>
    <xdr:clientData/>
  </xdr:twoCellAnchor>
  <xdr:twoCellAnchor>
    <xdr:from>
      <xdr:col>4</xdr:col>
      <xdr:colOff>121595</xdr:colOff>
      <xdr:row>33</xdr:row>
      <xdr:rowOff>162126</xdr:rowOff>
    </xdr:from>
    <xdr:to>
      <xdr:col>11</xdr:col>
      <xdr:colOff>0</xdr:colOff>
      <xdr:row>47</xdr:row>
      <xdr:rowOff>0</xdr:rowOff>
    </xdr:to>
    <xdr:graphicFrame macro="">
      <xdr:nvGraphicFramePr>
        <xdr:cNvPr id="72" name="Chart 71">
          <a:extLst>
            <a:ext uri="{FF2B5EF4-FFF2-40B4-BE49-F238E27FC236}">
              <a16:creationId xmlns:a16="http://schemas.microsoft.com/office/drawing/2014/main" id="{31E83672-BF6C-44EC-9265-EA8B63BF7143}"/>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3"/>
        </a:graphicData>
      </a:graphic>
    </xdr:graphicFrame>
    <xdr:clientData/>
  </xdr:twoCellAnchor>
</xdr:wsDr>
</file>

<file path=xl/persons/person.xml><?xml version="1.0" encoding="utf-8"?>
<personList xmlns="http://schemas.microsoft.com/office/spreadsheetml/2018/threadedcomments" xmlns:x="http://schemas.openxmlformats.org/spreadsheetml/2006/main"/>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kalai kavi" refreshedDate="46154.458312152776" createdVersion="8" refreshedVersion="8" minRefreshableVersion="3" recordCount="3158" xr:uid="{FAD3E591-5673-4A53-BFA4-35A67D5502E5}">
  <cacheSource type="worksheet">
    <worksheetSource name="Table3"/>
  </cacheSource>
  <cacheFields count="12">
    <cacheField name="Year" numFmtId="0">
      <sharedItems containsSemiMixedTypes="0" containsString="0" containsNumber="1" containsInteger="1" minValue="2004" maxValue="2019" count="16">
        <n v="2004"/>
        <n v="2013"/>
        <n v="2014"/>
        <n v="2015"/>
        <n v="2016"/>
        <n v="2017"/>
        <n v="2018"/>
        <n v="2005"/>
        <n v="2006"/>
        <n v="2007"/>
        <n v="2008"/>
        <n v="2009"/>
        <n v="2010"/>
        <n v="2011"/>
        <n v="2012"/>
        <n v="2019"/>
      </sharedItems>
    </cacheField>
    <cacheField name="Location" numFmtId="0">
      <sharedItems count="11">
        <s v="Mangalore"/>
        <s v="Kodagu"/>
        <s v="Kasaragodu"/>
        <s v="Raichur"/>
        <s v="Gulbarga"/>
        <s v="Madikeri"/>
        <s v="Hassan"/>
        <s v="Mysuru"/>
        <s v="Chikmangaluru"/>
        <s v="Bangalore"/>
        <s v="Davangere"/>
      </sharedItems>
    </cacheField>
    <cacheField name="Area" numFmtId="0">
      <sharedItems containsSemiMixedTypes="0" containsString="0" containsNumber="1" containsInteger="1" minValue="1" maxValue="52119" count="156">
        <n v="1279"/>
        <n v="13283"/>
        <n v="52119"/>
        <n v="725"/>
        <n v="12885"/>
        <n v="51179"/>
        <n v="468"/>
        <n v="11841"/>
        <n v="50975"/>
        <n v="206"/>
        <n v="10922"/>
        <n v="51390"/>
        <n v="177"/>
        <n v="10723"/>
        <n v="51709"/>
        <n v="146"/>
        <n v="10910"/>
        <n v="51355"/>
        <n v="160"/>
        <n v="10912"/>
        <n v="51353"/>
        <n v="142"/>
        <n v="10505"/>
        <n v="51040"/>
        <n v="154"/>
        <n v="10318"/>
        <n v="48083"/>
        <n v="143"/>
        <n v="9283"/>
        <n v="47200"/>
        <n v="158"/>
        <n v="8982"/>
        <n v="46990"/>
        <n v="103"/>
        <n v="8239"/>
        <n v="44563"/>
        <n v="96"/>
        <n v="6949"/>
        <n v="44663"/>
        <n v="110"/>
        <n v="6824"/>
        <n v="43013"/>
        <n v="95"/>
        <n v="6441"/>
        <n v="4012"/>
        <n v="4877"/>
        <n v="4930"/>
        <n v="4954"/>
        <n v="5019"/>
        <n v="5127"/>
        <n v="5174"/>
        <n v="5294"/>
        <n v="5474"/>
        <n v="5864"/>
        <n v="7028"/>
        <n v="7403"/>
        <n v="7501"/>
        <n v="7714"/>
        <n v="7856"/>
        <n v="32"/>
        <n v="1"/>
        <n v="30"/>
        <n v="6"/>
        <n v="15"/>
        <n v="4"/>
        <n v="39"/>
        <n v="12"/>
        <n v="3"/>
        <n v="17"/>
        <n v="9"/>
        <n v="21"/>
        <n v="11"/>
        <n v="8"/>
        <n v="29"/>
        <n v="13736"/>
        <n v="14003"/>
        <n v="14179"/>
        <n v="14319"/>
        <n v="14464"/>
        <n v="14876"/>
        <n v="14976"/>
        <n v="15009"/>
        <n v="15114"/>
        <n v="16224"/>
        <n v="17095"/>
        <n v="17512"/>
        <n v="17587"/>
        <n v="17771"/>
        <n v="17825"/>
        <n v="3147"/>
        <n v="2578"/>
        <n v="1591"/>
        <n v="1298"/>
        <n v="1122"/>
        <n v="917"/>
        <n v="819"/>
        <n v="619"/>
        <n v="391"/>
        <n v="211"/>
        <n v="153"/>
        <n v="111"/>
        <n v="76"/>
        <n v="53"/>
        <n v="2688"/>
        <n v="2311"/>
        <n v="2188"/>
        <n v="1998"/>
        <n v="2006"/>
        <n v="2034"/>
        <n v="2035"/>
        <n v="2074"/>
        <n v="2127"/>
        <n v="2090"/>
        <n v="2059"/>
        <n v="2050"/>
        <n v="1865"/>
        <n v="1841"/>
        <n v="1799"/>
        <n v="1468"/>
        <n v="568"/>
        <n v="407"/>
        <n v="51"/>
        <n v="173"/>
        <n v="201"/>
        <n v="243"/>
        <n v="123"/>
        <n v="82"/>
        <n v="74"/>
        <n v="18"/>
        <n v="37"/>
        <n v="35"/>
        <n v="5974"/>
        <n v="6631"/>
        <n v="6705"/>
        <n v="5876"/>
        <n v="326"/>
        <n v="6470"/>
        <n v="6709"/>
        <n v="6186"/>
        <n v="6503"/>
        <n v="5220"/>
        <n v="4677"/>
        <n v="4803"/>
        <n v="3739"/>
        <n v="3529"/>
        <n v="3649"/>
        <n v="1374"/>
        <n v="933"/>
        <n v="345"/>
        <n v="10"/>
        <n v="7"/>
        <n v="56"/>
        <n v="68"/>
        <n v="66"/>
        <n v="55"/>
        <n v="42"/>
      </sharedItems>
    </cacheField>
    <cacheField name="Rainfall" numFmtId="0">
      <sharedItems containsSemiMixedTypes="0" containsString="0" containsNumber="1" minValue="233" maxValue="3729.8"/>
    </cacheField>
    <cacheField name="Temperature" numFmtId="0">
      <sharedItems containsSemiMixedTypes="0" containsString="0" containsNumber="1" minValue="26.8" maxValue="222"/>
    </cacheField>
    <cacheField name="Soil type" numFmtId="0">
      <sharedItems containsBlank="1" count="28">
        <s v="Alluvial"/>
        <s v="Red"/>
        <s v="Black"/>
        <s v="Loam"/>
        <s v="Sandy loam "/>
        <s v="Red laterite"/>
        <s v="Black cotton"/>
        <s v="Sandy"/>
        <s v="Laterite"/>
        <s v="Teelah"/>
        <s v="Clay"/>
        <s v="Clay loam"/>
        <s v="Arid and Desert"/>
        <s v="loamy sand"/>
        <s v="River basins"/>
        <s v="Light sandy"/>
        <s v="Heavy clay"/>
        <s v="Dry sandy "/>
        <s v="Heavy cotton"/>
        <s v="Sandy loam"/>
        <s v="Sandy clay loam"/>
        <s v="Well drained"/>
        <s v="Drained loam"/>
        <s v="Red "/>
        <s v="Gravelly sand"/>
        <s v="Medium textured clay"/>
        <s v="Medium textured "/>
        <m/>
      </sharedItems>
    </cacheField>
    <cacheField name="Irrigation" numFmtId="0">
      <sharedItems/>
    </cacheField>
    <cacheField name="yeilds" numFmtId="0">
      <sharedItems containsSemiMixedTypes="0" containsString="0" containsNumber="1" minValue="2" maxValue="623687" count="162">
        <n v="2570"/>
        <n v="27170"/>
        <n v="114744"/>
        <n v="1402"/>
        <n v="23456"/>
        <n v="107809"/>
        <n v="1132"/>
        <n v="23960"/>
        <n v="126487"/>
        <n v="804"/>
        <n v="30362"/>
        <n v="124492"/>
        <n v="792"/>
        <n v="34153"/>
        <n v="132551"/>
        <n v="338"/>
        <n v="22966"/>
        <n v="131763"/>
        <n v="404"/>
        <n v="24184"/>
        <n v="124387"/>
        <n v="343"/>
        <n v="23099"/>
        <n v="117825.84"/>
        <n v="336"/>
        <n v="22594"/>
        <n v="116481.07"/>
        <n v="316"/>
        <n v="21400"/>
        <n v="122102"/>
        <n v="382"/>
        <n v="19578"/>
        <n v="121037"/>
        <n v="231"/>
        <n v="18951"/>
        <n v="110579"/>
        <n v="221"/>
        <n v="15362"/>
        <n v="120373"/>
        <n v="291"/>
        <n v="17231"/>
        <n v="119359"/>
        <n v="283"/>
        <n v="17690"/>
        <n v="7157"/>
        <n v="8700"/>
        <n v="41266"/>
        <n v="8838"/>
        <n v="8954"/>
        <n v="42915"/>
        <n v="9230"/>
        <n v="44313"/>
        <n v="45820"/>
        <n v="49084"/>
        <n v="86311"/>
        <n v="57642"/>
        <n v="58405"/>
        <n v="60751"/>
        <n v="109506"/>
        <n v="114"/>
        <n v="3"/>
        <n v="95"/>
        <n v="19"/>
        <n v="54"/>
        <n v="13"/>
        <n v="123"/>
        <n v="32"/>
        <n v="8"/>
        <n v="50"/>
        <n v="10"/>
        <n v="29"/>
        <n v="44"/>
        <n v="33"/>
        <n v="14"/>
        <n v="56"/>
        <n v="26"/>
        <n v="98"/>
        <n v="58637"/>
        <n v="59777"/>
        <n v="60528"/>
        <n v="61126"/>
        <n v="623687"/>
        <n v="63504"/>
        <n v="63931"/>
        <n v="73730"/>
        <n v="118416"/>
        <n v="130132"/>
        <n v="154889"/>
        <n v="171739"/>
        <n v="172475"/>
        <n v="177939"/>
        <n v="313547"/>
        <n v="2783"/>
        <n v="1533"/>
        <n v="1647"/>
        <n v="975"/>
        <n v="2"/>
        <n v="836"/>
        <n v="806"/>
        <n v="880"/>
        <n v="770"/>
        <n v="395"/>
        <n v="187"/>
        <n v="121"/>
        <n v="103"/>
        <n v="71"/>
        <n v="3961"/>
        <n v="4247"/>
        <n v="3290"/>
        <n v="3138"/>
        <n v="3423"/>
        <n v="3899"/>
        <n v="4015"/>
        <n v="4279"/>
        <n v="4167"/>
        <n v="4479"/>
        <n v="3699"/>
        <n v="4904"/>
        <n v="2821"/>
        <n v="3472"/>
        <n v="3647"/>
        <n v="393"/>
        <n v="167"/>
        <n v="52"/>
        <n v="12"/>
        <n v="51"/>
        <n v="61"/>
        <n v="67"/>
        <n v="62"/>
        <n v="22"/>
        <n v="25"/>
        <n v="4"/>
        <n v="9"/>
        <n v="2089"/>
        <n v="2810"/>
        <n v="841"/>
        <n v="3550"/>
        <n v="109"/>
        <n v="3368"/>
        <n v="3671"/>
        <n v="2404"/>
        <n v="2805"/>
        <n v="2331"/>
        <n v="2088"/>
        <n v="2628"/>
        <n v="1939"/>
        <n v="1871"/>
        <n v="1868"/>
        <n v="127919"/>
        <n v="75340"/>
        <n v="29170"/>
        <n v="1901"/>
        <n v="972"/>
        <n v="874"/>
        <n v="592"/>
        <n v="864"/>
        <n v="5373"/>
        <n v="6589"/>
        <n v="5107"/>
        <n v="5518"/>
        <n v="4912"/>
        <n v="3830"/>
      </sharedItems>
    </cacheField>
    <cacheField name="Humidity" numFmtId="0">
      <sharedItems containsSemiMixedTypes="0" containsString="0" containsNumber="1" minValue="50" maxValue="60"/>
    </cacheField>
    <cacheField name="Crops" numFmtId="0">
      <sharedItems count="13">
        <s v="Coconut"/>
        <s v="Cocoa"/>
        <s v="Coffee"/>
        <s v="Cardamum"/>
        <s v="Pepper"/>
        <s v="Arecanut"/>
        <s v="Ginger"/>
        <s v="Tea"/>
        <s v="Paddy"/>
        <s v="Groundnut"/>
        <s v="Blackgram"/>
        <s v="Cashew"/>
        <s v="Cotton"/>
      </sharedItems>
    </cacheField>
    <cacheField name="price" numFmtId="0">
      <sharedItems containsSemiMixedTypes="0" containsString="0" containsNumber="1" containsInteger="1" minValue="637" maxValue="249978"/>
    </cacheField>
    <cacheField name="Season" numFmtId="0">
      <sharedItems count="3">
        <s v="Kharif"/>
        <s v="Rabi"/>
        <s v="Zaid"/>
      </sharedItems>
    </cacheField>
  </cacheFields>
  <extLst>
    <ext xmlns:x14="http://schemas.microsoft.com/office/spreadsheetml/2009/9/main" uri="{725AE2AE-9491-48be-B2B4-4EB974FC3084}">
      <x14:pivotCacheDefinition pivotCacheId="1512665016"/>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3158">
  <r>
    <x v="0"/>
    <x v="0"/>
    <x v="0"/>
    <n v="2903.1"/>
    <n v="27"/>
    <x v="0"/>
    <s v="Drip"/>
    <x v="0"/>
    <n v="57"/>
    <x v="0"/>
    <n v="200000"/>
    <x v="0"/>
  </r>
  <r>
    <x v="0"/>
    <x v="0"/>
    <x v="1"/>
    <n v="2903.1"/>
    <n v="27"/>
    <x v="0"/>
    <s v="Drip"/>
    <x v="1"/>
    <n v="57.5"/>
    <x v="0"/>
    <n v="4847"/>
    <x v="0"/>
  </r>
  <r>
    <x v="0"/>
    <x v="0"/>
    <x v="2"/>
    <n v="2903.1"/>
    <n v="27"/>
    <x v="0"/>
    <s v="Drip"/>
    <x v="2"/>
    <n v="57"/>
    <x v="0"/>
    <n v="51239"/>
    <x v="0"/>
  </r>
  <r>
    <x v="0"/>
    <x v="0"/>
    <x v="3"/>
    <n v="2996.6"/>
    <n v="27"/>
    <x v="0"/>
    <s v="Drip"/>
    <x v="3"/>
    <n v="55"/>
    <x v="0"/>
    <n v="216396"/>
    <x v="0"/>
  </r>
  <r>
    <x v="0"/>
    <x v="0"/>
    <x v="4"/>
    <n v="2996.6"/>
    <n v="27"/>
    <x v="0"/>
    <s v="Drip"/>
    <x v="4"/>
    <n v="56"/>
    <x v="0"/>
    <n v="2644"/>
    <x v="0"/>
  </r>
  <r>
    <x v="0"/>
    <x v="0"/>
    <x v="5"/>
    <n v="2996.6"/>
    <n v="27"/>
    <x v="0"/>
    <s v="Drip"/>
    <x v="5"/>
    <n v="54"/>
    <x v="0"/>
    <n v="44235"/>
    <x v="0"/>
  </r>
  <r>
    <x v="0"/>
    <x v="0"/>
    <x v="6"/>
    <n v="3522.8"/>
    <n v="27.2"/>
    <x v="0"/>
    <s v="Drip"/>
    <x v="6"/>
    <n v="58"/>
    <x v="0"/>
    <n v="203317"/>
    <x v="0"/>
  </r>
  <r>
    <x v="0"/>
    <x v="0"/>
    <x v="7"/>
    <n v="3522.8"/>
    <n v="27.2"/>
    <x v="0"/>
    <s v="Drip"/>
    <x v="7"/>
    <n v="58"/>
    <x v="0"/>
    <n v="2134"/>
    <x v="0"/>
  </r>
  <r>
    <x v="0"/>
    <x v="0"/>
    <x v="8"/>
    <n v="3522.8"/>
    <n v="27.2"/>
    <x v="0"/>
    <s v="Drip"/>
    <x v="8"/>
    <n v="59"/>
    <x v="0"/>
    <n v="45186"/>
    <x v="0"/>
  </r>
  <r>
    <x v="0"/>
    <x v="0"/>
    <x v="9"/>
    <n v="3729.8"/>
    <n v="27"/>
    <x v="0"/>
    <s v="Drip"/>
    <x v="9"/>
    <n v="50"/>
    <x v="0"/>
    <n v="238542"/>
    <x v="0"/>
  </r>
  <r>
    <x v="0"/>
    <x v="0"/>
    <x v="10"/>
    <n v="3729.8"/>
    <n v="27"/>
    <x v="0"/>
    <s v="Drip"/>
    <x v="10"/>
    <n v="54"/>
    <x v="0"/>
    <n v="1516"/>
    <x v="0"/>
  </r>
  <r>
    <x v="0"/>
    <x v="0"/>
    <x v="11"/>
    <n v="3729.8"/>
    <n v="27"/>
    <x v="0"/>
    <s v="Drip"/>
    <x v="11"/>
    <n v="53"/>
    <x v="0"/>
    <n v="57259"/>
    <x v="0"/>
  </r>
  <r>
    <x v="0"/>
    <x v="0"/>
    <x v="12"/>
    <n v="2746.2"/>
    <n v="27"/>
    <x v="0"/>
    <s v="Drip"/>
    <x v="12"/>
    <n v="52"/>
    <x v="0"/>
    <n v="234779"/>
    <x v="0"/>
  </r>
  <r>
    <x v="0"/>
    <x v="0"/>
    <x v="13"/>
    <n v="2746.2"/>
    <n v="27"/>
    <x v="0"/>
    <s v="Drip"/>
    <x v="13"/>
    <n v="51"/>
    <x v="0"/>
    <n v="1493"/>
    <x v="0"/>
  </r>
  <r>
    <x v="0"/>
    <x v="1"/>
    <x v="14"/>
    <n v="2746.2"/>
    <n v="27"/>
    <x v="0"/>
    <s v="Drip"/>
    <x v="14"/>
    <n v="57"/>
    <x v="0"/>
    <n v="64409"/>
    <x v="0"/>
  </r>
  <r>
    <x v="0"/>
    <x v="1"/>
    <x v="15"/>
    <n v="3360"/>
    <n v="27.2"/>
    <x v="0"/>
    <s v="Drip"/>
    <x v="15"/>
    <n v="57"/>
    <x v="0"/>
    <n v="249978"/>
    <x v="0"/>
  </r>
  <r>
    <x v="0"/>
    <x v="1"/>
    <x v="16"/>
    <n v="3360"/>
    <n v="27.2"/>
    <x v="0"/>
    <s v="Drip"/>
    <x v="16"/>
    <n v="60"/>
    <x v="0"/>
    <n v="637"/>
    <x v="0"/>
  </r>
  <r>
    <x v="0"/>
    <x v="1"/>
    <x v="17"/>
    <n v="3360"/>
    <n v="27.2"/>
    <x v="0"/>
    <s v="Drip"/>
    <x v="17"/>
    <n v="57"/>
    <x v="0"/>
    <n v="43311"/>
    <x v="0"/>
  </r>
  <r>
    <x v="0"/>
    <x v="1"/>
    <x v="18"/>
    <n v="3605.4"/>
    <n v="27.1"/>
    <x v="0"/>
    <s v="Drip"/>
    <x v="18"/>
    <n v="57"/>
    <x v="0"/>
    <n v="24848"/>
    <x v="0"/>
  </r>
  <r>
    <x v="0"/>
    <x v="1"/>
    <x v="19"/>
    <n v="3605.4"/>
    <n v="27.1"/>
    <x v="0"/>
    <s v="Drip"/>
    <x v="19"/>
    <n v="54"/>
    <x v="0"/>
    <n v="761"/>
    <x v="0"/>
  </r>
  <r>
    <x v="0"/>
    <x v="1"/>
    <x v="20"/>
    <n v="3605.4"/>
    <n v="27.1"/>
    <x v="0"/>
    <s v="Drip"/>
    <x v="20"/>
    <n v="54.5"/>
    <x v="0"/>
    <n v="45608"/>
    <x v="0"/>
  </r>
  <r>
    <x v="0"/>
    <x v="1"/>
    <x v="21"/>
    <n v="3512.4"/>
    <n v="26.8"/>
    <x v="0"/>
    <s v="Drip"/>
    <x v="21"/>
    <n v="56.6"/>
    <x v="0"/>
    <n v="234581"/>
    <x v="0"/>
  </r>
  <r>
    <x v="0"/>
    <x v="1"/>
    <x v="22"/>
    <n v="3512.4"/>
    <n v="26.8"/>
    <x v="0"/>
    <s v="Drip"/>
    <x v="22"/>
    <n v="55.5"/>
    <x v="0"/>
    <n v="646"/>
    <x v="0"/>
  </r>
  <r>
    <x v="0"/>
    <x v="1"/>
    <x v="23"/>
    <n v="3512.4"/>
    <n v="26.8"/>
    <x v="0"/>
    <s v="Drip"/>
    <x v="23"/>
    <n v="58.5"/>
    <x v="0"/>
    <n v="43562"/>
    <x v="0"/>
  </r>
  <r>
    <x v="0"/>
    <x v="1"/>
    <x v="24"/>
    <n v="3296"/>
    <n v="37"/>
    <x v="0"/>
    <s v="Drip"/>
    <x v="24"/>
    <n v="59.5"/>
    <x v="0"/>
    <n v="200000"/>
    <x v="0"/>
  </r>
  <r>
    <x v="0"/>
    <x v="1"/>
    <x v="25"/>
    <n v="3296"/>
    <n v="37"/>
    <x v="0"/>
    <s v="Drip"/>
    <x v="25"/>
    <n v="55"/>
    <x v="0"/>
    <n v="4847"/>
    <x v="0"/>
  </r>
  <r>
    <x v="0"/>
    <x v="1"/>
    <x v="26"/>
    <n v="3296"/>
    <n v="37"/>
    <x v="0"/>
    <s v="Drip"/>
    <x v="26"/>
    <n v="53"/>
    <x v="0"/>
    <n v="51239"/>
    <x v="0"/>
  </r>
  <r>
    <x v="0"/>
    <x v="2"/>
    <x v="27"/>
    <n v="3550"/>
    <n v="38"/>
    <x v="0"/>
    <s v="Drip"/>
    <x v="27"/>
    <n v="53.5"/>
    <x v="0"/>
    <n v="216396"/>
    <x v="0"/>
  </r>
  <r>
    <x v="0"/>
    <x v="2"/>
    <x v="28"/>
    <n v="3550"/>
    <n v="38"/>
    <x v="0"/>
    <s v="Drip"/>
    <x v="28"/>
    <n v="52.5"/>
    <x v="0"/>
    <n v="2644"/>
    <x v="0"/>
  </r>
  <r>
    <x v="0"/>
    <x v="2"/>
    <x v="29"/>
    <n v="3550"/>
    <n v="38"/>
    <x v="0"/>
    <s v="Drip"/>
    <x v="29"/>
    <n v="56"/>
    <x v="0"/>
    <n v="44235"/>
    <x v="0"/>
  </r>
  <r>
    <x v="0"/>
    <x v="2"/>
    <x v="30"/>
    <n v="3654"/>
    <n v="39"/>
    <x v="0"/>
    <s v="Drip"/>
    <x v="30"/>
    <n v="57"/>
    <x v="0"/>
    <n v="203317"/>
    <x v="0"/>
  </r>
  <r>
    <x v="0"/>
    <x v="2"/>
    <x v="31"/>
    <n v="3654"/>
    <n v="39"/>
    <x v="0"/>
    <s v="Drip"/>
    <x v="31"/>
    <n v="57.5"/>
    <x v="0"/>
    <n v="2134"/>
    <x v="0"/>
  </r>
  <r>
    <x v="0"/>
    <x v="2"/>
    <x v="32"/>
    <n v="3654"/>
    <n v="39"/>
    <x v="0"/>
    <s v="Drip"/>
    <x v="32"/>
    <n v="57"/>
    <x v="0"/>
    <n v="45186"/>
    <x v="0"/>
  </r>
  <r>
    <x v="0"/>
    <x v="2"/>
    <x v="33"/>
    <n v="233"/>
    <n v="40"/>
    <x v="0"/>
    <s v="Drip"/>
    <x v="33"/>
    <n v="55"/>
    <x v="0"/>
    <n v="238542"/>
    <x v="0"/>
  </r>
  <r>
    <x v="0"/>
    <x v="2"/>
    <x v="34"/>
    <n v="233"/>
    <n v="40"/>
    <x v="0"/>
    <s v="Drip"/>
    <x v="34"/>
    <n v="56"/>
    <x v="0"/>
    <n v="1516"/>
    <x v="0"/>
  </r>
  <r>
    <x v="0"/>
    <x v="2"/>
    <x v="35"/>
    <n v="233"/>
    <n v="40"/>
    <x v="0"/>
    <s v="Drip"/>
    <x v="35"/>
    <n v="54"/>
    <x v="0"/>
    <n v="57259"/>
    <x v="0"/>
  </r>
  <r>
    <x v="0"/>
    <x v="2"/>
    <x v="36"/>
    <n v="234"/>
    <n v="41"/>
    <x v="0"/>
    <s v="Drip"/>
    <x v="36"/>
    <n v="58"/>
    <x v="0"/>
    <n v="234779"/>
    <x v="0"/>
  </r>
  <r>
    <x v="0"/>
    <x v="2"/>
    <x v="37"/>
    <n v="234"/>
    <n v="41"/>
    <x v="0"/>
    <s v="Drip"/>
    <x v="37"/>
    <n v="58"/>
    <x v="0"/>
    <n v="1493"/>
    <x v="0"/>
  </r>
  <r>
    <x v="0"/>
    <x v="2"/>
    <x v="38"/>
    <n v="234"/>
    <n v="41"/>
    <x v="0"/>
    <s v="Drip"/>
    <x v="38"/>
    <n v="59"/>
    <x v="0"/>
    <n v="64409"/>
    <x v="0"/>
  </r>
  <r>
    <x v="0"/>
    <x v="2"/>
    <x v="39"/>
    <n v="3105"/>
    <n v="42"/>
    <x v="1"/>
    <s v="Drip"/>
    <x v="39"/>
    <n v="50"/>
    <x v="0"/>
    <n v="249978"/>
    <x v="0"/>
  </r>
  <r>
    <x v="0"/>
    <x v="2"/>
    <x v="40"/>
    <n v="3105"/>
    <n v="42"/>
    <x v="1"/>
    <s v="Drip"/>
    <x v="40"/>
    <n v="54"/>
    <x v="0"/>
    <n v="637"/>
    <x v="0"/>
  </r>
  <r>
    <x v="0"/>
    <x v="2"/>
    <x v="41"/>
    <n v="3105"/>
    <n v="42"/>
    <x v="1"/>
    <s v="Drip"/>
    <x v="41"/>
    <n v="53"/>
    <x v="0"/>
    <n v="43311"/>
    <x v="0"/>
  </r>
  <r>
    <x v="0"/>
    <x v="3"/>
    <x v="42"/>
    <n v="236"/>
    <n v="43"/>
    <x v="1"/>
    <s v="Drip"/>
    <x v="42"/>
    <n v="52"/>
    <x v="0"/>
    <n v="24848"/>
    <x v="0"/>
  </r>
  <r>
    <x v="0"/>
    <x v="3"/>
    <x v="43"/>
    <n v="236"/>
    <n v="43"/>
    <x v="1"/>
    <s v="Drip"/>
    <x v="43"/>
    <n v="51"/>
    <x v="0"/>
    <n v="761"/>
    <x v="0"/>
  </r>
  <r>
    <x v="0"/>
    <x v="3"/>
    <x v="44"/>
    <n v="2903.1"/>
    <n v="27"/>
    <x v="1"/>
    <s v="Basin"/>
    <x v="44"/>
    <n v="57"/>
    <x v="0"/>
    <n v="45608"/>
    <x v="0"/>
  </r>
  <r>
    <x v="0"/>
    <x v="3"/>
    <x v="45"/>
    <n v="2903.1"/>
    <n v="27"/>
    <x v="1"/>
    <s v="Basin"/>
    <x v="45"/>
    <n v="57"/>
    <x v="0"/>
    <n v="234581"/>
    <x v="0"/>
  </r>
  <r>
    <x v="0"/>
    <x v="3"/>
    <x v="46"/>
    <n v="2903.1"/>
    <n v="27"/>
    <x v="1"/>
    <s v="Basin"/>
    <x v="46"/>
    <n v="60"/>
    <x v="0"/>
    <n v="646"/>
    <x v="1"/>
  </r>
  <r>
    <x v="0"/>
    <x v="3"/>
    <x v="47"/>
    <n v="2996.6"/>
    <n v="27"/>
    <x v="1"/>
    <s v="Basin"/>
    <x v="47"/>
    <n v="57"/>
    <x v="0"/>
    <n v="43562"/>
    <x v="1"/>
  </r>
  <r>
    <x v="0"/>
    <x v="3"/>
    <x v="48"/>
    <n v="2996.6"/>
    <n v="27"/>
    <x v="1"/>
    <s v="Basin"/>
    <x v="48"/>
    <n v="57"/>
    <x v="0"/>
    <n v="200000"/>
    <x v="1"/>
  </r>
  <r>
    <x v="0"/>
    <x v="3"/>
    <x v="49"/>
    <n v="2996.6"/>
    <n v="27"/>
    <x v="1"/>
    <s v="Basin"/>
    <x v="49"/>
    <n v="54"/>
    <x v="0"/>
    <n v="4847"/>
    <x v="1"/>
  </r>
  <r>
    <x v="0"/>
    <x v="3"/>
    <x v="50"/>
    <n v="3522.8"/>
    <n v="27.2"/>
    <x v="1"/>
    <s v="Basin"/>
    <x v="50"/>
    <n v="54.5"/>
    <x v="0"/>
    <n v="51239"/>
    <x v="1"/>
  </r>
  <r>
    <x v="0"/>
    <x v="3"/>
    <x v="51"/>
    <n v="3522.8"/>
    <n v="27.2"/>
    <x v="1"/>
    <s v="Basin"/>
    <x v="51"/>
    <n v="56.6"/>
    <x v="0"/>
    <n v="216396"/>
    <x v="1"/>
  </r>
  <r>
    <x v="0"/>
    <x v="3"/>
    <x v="52"/>
    <n v="3522.8"/>
    <n v="27.2"/>
    <x v="1"/>
    <s v="Basin"/>
    <x v="52"/>
    <n v="55.5"/>
    <x v="0"/>
    <n v="2644"/>
    <x v="1"/>
  </r>
  <r>
    <x v="0"/>
    <x v="3"/>
    <x v="53"/>
    <n v="3729.8"/>
    <n v="27"/>
    <x v="1"/>
    <s v="Basin"/>
    <x v="53"/>
    <n v="58.5"/>
    <x v="0"/>
    <n v="44235"/>
    <x v="1"/>
  </r>
  <r>
    <x v="0"/>
    <x v="3"/>
    <x v="54"/>
    <n v="3729.8"/>
    <n v="27"/>
    <x v="1"/>
    <s v="Basin"/>
    <x v="54"/>
    <n v="59.5"/>
    <x v="0"/>
    <n v="203317"/>
    <x v="1"/>
  </r>
  <r>
    <x v="0"/>
    <x v="3"/>
    <x v="55"/>
    <n v="3729.8"/>
    <n v="27"/>
    <x v="1"/>
    <s v="Basin"/>
    <x v="55"/>
    <n v="55"/>
    <x v="0"/>
    <n v="2134"/>
    <x v="1"/>
  </r>
  <r>
    <x v="0"/>
    <x v="3"/>
    <x v="56"/>
    <n v="2746.2"/>
    <n v="27"/>
    <x v="1"/>
    <s v="Basin"/>
    <x v="56"/>
    <n v="53"/>
    <x v="0"/>
    <n v="45186"/>
    <x v="1"/>
  </r>
  <r>
    <x v="0"/>
    <x v="3"/>
    <x v="57"/>
    <n v="2746.2"/>
    <n v="27"/>
    <x v="1"/>
    <s v="Basin"/>
    <x v="57"/>
    <n v="53.5"/>
    <x v="0"/>
    <n v="238542"/>
    <x v="1"/>
  </r>
  <r>
    <x v="0"/>
    <x v="3"/>
    <x v="58"/>
    <n v="2746.2"/>
    <n v="27"/>
    <x v="1"/>
    <s v="Basin"/>
    <x v="58"/>
    <n v="52.5"/>
    <x v="0"/>
    <n v="1516"/>
    <x v="1"/>
  </r>
  <r>
    <x v="0"/>
    <x v="3"/>
    <x v="59"/>
    <n v="3360"/>
    <n v="27.2"/>
    <x v="1"/>
    <s v="Basin"/>
    <x v="59"/>
    <n v="56"/>
    <x v="0"/>
    <n v="57259"/>
    <x v="1"/>
  </r>
  <r>
    <x v="0"/>
    <x v="3"/>
    <x v="60"/>
    <n v="3360"/>
    <n v="27.2"/>
    <x v="1"/>
    <s v="Basin"/>
    <x v="60"/>
    <n v="57"/>
    <x v="0"/>
    <n v="234779"/>
    <x v="1"/>
  </r>
  <r>
    <x v="0"/>
    <x v="3"/>
    <x v="61"/>
    <n v="3360"/>
    <n v="27.2"/>
    <x v="1"/>
    <s v="Basin"/>
    <x v="61"/>
    <n v="57.5"/>
    <x v="0"/>
    <n v="1493"/>
    <x v="1"/>
  </r>
  <r>
    <x v="0"/>
    <x v="4"/>
    <x v="62"/>
    <n v="3605.4"/>
    <n v="27.1"/>
    <x v="1"/>
    <s v="Basin"/>
    <x v="62"/>
    <n v="57"/>
    <x v="0"/>
    <n v="64409"/>
    <x v="1"/>
  </r>
  <r>
    <x v="0"/>
    <x v="4"/>
    <x v="63"/>
    <n v="3605.4"/>
    <n v="27.1"/>
    <x v="1"/>
    <s v="Basin"/>
    <x v="63"/>
    <n v="55"/>
    <x v="0"/>
    <n v="249978"/>
    <x v="1"/>
  </r>
  <r>
    <x v="0"/>
    <x v="4"/>
    <x v="64"/>
    <n v="3605.4"/>
    <n v="27.1"/>
    <x v="1"/>
    <s v="Basin"/>
    <x v="64"/>
    <n v="56"/>
    <x v="0"/>
    <n v="200000"/>
    <x v="1"/>
  </r>
  <r>
    <x v="0"/>
    <x v="4"/>
    <x v="65"/>
    <n v="3512.4"/>
    <n v="26.8"/>
    <x v="1"/>
    <s v="Basin"/>
    <x v="65"/>
    <n v="54"/>
    <x v="0"/>
    <n v="4847"/>
    <x v="1"/>
  </r>
  <r>
    <x v="0"/>
    <x v="4"/>
    <x v="62"/>
    <n v="3512.4"/>
    <n v="26.8"/>
    <x v="1"/>
    <s v="Basin"/>
    <x v="62"/>
    <n v="58"/>
    <x v="0"/>
    <n v="51239"/>
    <x v="1"/>
  </r>
  <r>
    <x v="0"/>
    <x v="4"/>
    <x v="66"/>
    <n v="3512.4"/>
    <n v="26.8"/>
    <x v="1"/>
    <s v="Basin"/>
    <x v="66"/>
    <n v="58"/>
    <x v="0"/>
    <n v="216396"/>
    <x v="1"/>
  </r>
  <r>
    <x v="0"/>
    <x v="4"/>
    <x v="67"/>
    <n v="3296"/>
    <n v="37"/>
    <x v="1"/>
    <s v="Basin"/>
    <x v="67"/>
    <n v="59"/>
    <x v="0"/>
    <n v="2644"/>
    <x v="1"/>
  </r>
  <r>
    <x v="0"/>
    <x v="4"/>
    <x v="68"/>
    <n v="3296"/>
    <n v="37"/>
    <x v="2"/>
    <s v="Basin"/>
    <x v="68"/>
    <n v="50"/>
    <x v="0"/>
    <n v="44235"/>
    <x v="1"/>
  </r>
  <r>
    <x v="0"/>
    <x v="4"/>
    <x v="67"/>
    <n v="3296"/>
    <n v="37"/>
    <x v="2"/>
    <s v="Basin"/>
    <x v="69"/>
    <n v="54"/>
    <x v="0"/>
    <n v="203317"/>
    <x v="1"/>
  </r>
  <r>
    <x v="0"/>
    <x v="4"/>
    <x v="69"/>
    <n v="3550"/>
    <n v="38"/>
    <x v="2"/>
    <s v="Basin"/>
    <x v="70"/>
    <n v="53"/>
    <x v="0"/>
    <n v="2134"/>
    <x v="1"/>
  </r>
  <r>
    <x v="0"/>
    <x v="4"/>
    <x v="70"/>
    <n v="3550"/>
    <n v="38"/>
    <x v="2"/>
    <s v="Basin"/>
    <x v="71"/>
    <n v="52"/>
    <x v="0"/>
    <n v="45186"/>
    <x v="1"/>
  </r>
  <r>
    <x v="0"/>
    <x v="4"/>
    <x v="71"/>
    <n v="3550"/>
    <n v="38"/>
    <x v="2"/>
    <s v="Basin"/>
    <x v="72"/>
    <n v="51"/>
    <x v="0"/>
    <n v="238542"/>
    <x v="1"/>
  </r>
  <r>
    <x v="0"/>
    <x v="4"/>
    <x v="64"/>
    <n v="3654"/>
    <n v="39"/>
    <x v="2"/>
    <s v="Basin"/>
    <x v="73"/>
    <n v="57"/>
    <x v="0"/>
    <n v="1516"/>
    <x v="1"/>
  </r>
  <r>
    <x v="0"/>
    <x v="4"/>
    <x v="63"/>
    <n v="3654"/>
    <n v="39"/>
    <x v="2"/>
    <s v="Basin"/>
    <x v="74"/>
    <n v="57"/>
    <x v="0"/>
    <n v="57259"/>
    <x v="1"/>
  </r>
  <r>
    <x v="0"/>
    <x v="4"/>
    <x v="72"/>
    <n v="3654"/>
    <n v="39"/>
    <x v="2"/>
    <s v="Basin"/>
    <x v="75"/>
    <n v="60"/>
    <x v="0"/>
    <n v="234779"/>
    <x v="1"/>
  </r>
  <r>
    <x v="0"/>
    <x v="4"/>
    <x v="73"/>
    <n v="233"/>
    <n v="40"/>
    <x v="2"/>
    <s v="Basin"/>
    <x v="76"/>
    <n v="57"/>
    <x v="0"/>
    <n v="1493"/>
    <x v="2"/>
  </r>
  <r>
    <x v="0"/>
    <x v="4"/>
    <x v="60"/>
    <n v="233"/>
    <n v="40"/>
    <x v="2"/>
    <s v="Basin"/>
    <x v="60"/>
    <n v="57"/>
    <x v="0"/>
    <n v="64409"/>
    <x v="2"/>
  </r>
  <r>
    <x v="0"/>
    <x v="4"/>
    <x v="74"/>
    <n v="233"/>
    <n v="40"/>
    <x v="2"/>
    <s v="Basin"/>
    <x v="77"/>
    <n v="54"/>
    <x v="0"/>
    <n v="249978"/>
    <x v="2"/>
  </r>
  <r>
    <x v="0"/>
    <x v="4"/>
    <x v="75"/>
    <n v="234"/>
    <n v="41"/>
    <x v="2"/>
    <s v="Basin"/>
    <x v="78"/>
    <n v="54.5"/>
    <x v="0"/>
    <n v="637"/>
    <x v="2"/>
  </r>
  <r>
    <x v="0"/>
    <x v="4"/>
    <x v="76"/>
    <n v="234"/>
    <n v="41"/>
    <x v="2"/>
    <s v="Basin"/>
    <x v="79"/>
    <n v="56.6"/>
    <x v="0"/>
    <n v="43311"/>
    <x v="2"/>
  </r>
  <r>
    <x v="0"/>
    <x v="4"/>
    <x v="77"/>
    <n v="234"/>
    <n v="41"/>
    <x v="2"/>
    <s v="Basin"/>
    <x v="80"/>
    <n v="55.5"/>
    <x v="0"/>
    <n v="24848"/>
    <x v="2"/>
  </r>
  <r>
    <x v="0"/>
    <x v="4"/>
    <x v="78"/>
    <n v="3105"/>
    <n v="42"/>
    <x v="2"/>
    <s v="Basin"/>
    <x v="81"/>
    <n v="58.5"/>
    <x v="0"/>
    <n v="761"/>
    <x v="2"/>
  </r>
  <r>
    <x v="0"/>
    <x v="4"/>
    <x v="79"/>
    <n v="3105"/>
    <n v="42"/>
    <x v="2"/>
    <s v="Basin"/>
    <x v="82"/>
    <n v="59.5"/>
    <x v="0"/>
    <n v="45608"/>
    <x v="2"/>
  </r>
  <r>
    <x v="0"/>
    <x v="4"/>
    <x v="80"/>
    <n v="3105"/>
    <n v="42"/>
    <x v="2"/>
    <s v="Basin"/>
    <x v="83"/>
    <n v="55"/>
    <x v="0"/>
    <n v="234581"/>
    <x v="2"/>
  </r>
  <r>
    <x v="0"/>
    <x v="4"/>
    <x v="81"/>
    <n v="236"/>
    <n v="43"/>
    <x v="2"/>
    <s v="Basin"/>
    <x v="84"/>
    <n v="53"/>
    <x v="0"/>
    <n v="646"/>
    <x v="2"/>
  </r>
  <r>
    <x v="0"/>
    <x v="4"/>
    <x v="82"/>
    <n v="2903.1"/>
    <n v="27"/>
    <x v="2"/>
    <s v="Spray"/>
    <x v="85"/>
    <n v="53.5"/>
    <x v="0"/>
    <n v="43562"/>
    <x v="2"/>
  </r>
  <r>
    <x v="0"/>
    <x v="4"/>
    <x v="83"/>
    <n v="2903.1"/>
    <n v="27"/>
    <x v="2"/>
    <s v="Spray"/>
    <x v="86"/>
    <n v="52.5"/>
    <x v="0"/>
    <n v="200000"/>
    <x v="2"/>
  </r>
  <r>
    <x v="0"/>
    <x v="4"/>
    <x v="84"/>
    <n v="2903.1"/>
    <n v="27"/>
    <x v="2"/>
    <s v="Spray"/>
    <x v="87"/>
    <n v="56"/>
    <x v="0"/>
    <n v="4847"/>
    <x v="2"/>
  </r>
  <r>
    <x v="0"/>
    <x v="4"/>
    <x v="85"/>
    <n v="2996.6"/>
    <n v="27"/>
    <x v="2"/>
    <s v="Spray"/>
    <x v="88"/>
    <n v="57"/>
    <x v="0"/>
    <n v="51239"/>
    <x v="2"/>
  </r>
  <r>
    <x v="0"/>
    <x v="4"/>
    <x v="86"/>
    <n v="2996.6"/>
    <n v="27"/>
    <x v="2"/>
    <s v="Spray"/>
    <x v="89"/>
    <n v="57.5"/>
    <x v="0"/>
    <n v="216396"/>
    <x v="2"/>
  </r>
  <r>
    <x v="0"/>
    <x v="4"/>
    <x v="87"/>
    <n v="2996.6"/>
    <n v="27"/>
    <x v="2"/>
    <s v="Spray"/>
    <x v="90"/>
    <n v="57"/>
    <x v="0"/>
    <n v="2644"/>
    <x v="2"/>
  </r>
  <r>
    <x v="0"/>
    <x v="4"/>
    <x v="88"/>
    <n v="3522.8"/>
    <n v="27.2"/>
    <x v="2"/>
    <s v="Spray"/>
    <x v="91"/>
    <n v="55"/>
    <x v="0"/>
    <n v="44235"/>
    <x v="2"/>
  </r>
  <r>
    <x v="0"/>
    <x v="4"/>
    <x v="89"/>
    <n v="3522.8"/>
    <n v="27.2"/>
    <x v="2"/>
    <s v="Spray"/>
    <x v="92"/>
    <n v="56"/>
    <x v="0"/>
    <n v="203317"/>
    <x v="2"/>
  </r>
  <r>
    <x v="0"/>
    <x v="4"/>
    <x v="90"/>
    <n v="3522.8"/>
    <n v="27.2"/>
    <x v="2"/>
    <s v="Spray"/>
    <x v="93"/>
    <n v="54"/>
    <x v="0"/>
    <n v="2134"/>
    <x v="2"/>
  </r>
  <r>
    <x v="0"/>
    <x v="4"/>
    <x v="91"/>
    <n v="3729.8"/>
    <n v="27"/>
    <x v="2"/>
    <s v="Spray"/>
    <x v="94"/>
    <n v="58"/>
    <x v="0"/>
    <n v="45186"/>
    <x v="2"/>
  </r>
  <r>
    <x v="0"/>
    <x v="4"/>
    <x v="92"/>
    <n v="3729.8"/>
    <n v="27"/>
    <x v="2"/>
    <s v="Spray"/>
    <x v="95"/>
    <n v="58"/>
    <x v="0"/>
    <n v="238542"/>
    <x v="2"/>
  </r>
  <r>
    <x v="0"/>
    <x v="4"/>
    <x v="64"/>
    <n v="3729.8"/>
    <n v="27"/>
    <x v="2"/>
    <s v="Spray"/>
    <x v="96"/>
    <n v="59"/>
    <x v="0"/>
    <n v="1516"/>
    <x v="2"/>
  </r>
  <r>
    <x v="0"/>
    <x v="4"/>
    <x v="93"/>
    <n v="2746.2"/>
    <n v="27"/>
    <x v="2"/>
    <s v="Spray"/>
    <x v="97"/>
    <n v="50"/>
    <x v="0"/>
    <n v="57259"/>
    <x v="2"/>
  </r>
  <r>
    <x v="0"/>
    <x v="4"/>
    <x v="94"/>
    <n v="2746.2"/>
    <n v="27"/>
    <x v="3"/>
    <s v="Spray"/>
    <x v="98"/>
    <n v="54"/>
    <x v="0"/>
    <n v="234779"/>
    <x v="2"/>
  </r>
  <r>
    <x v="0"/>
    <x v="4"/>
    <x v="95"/>
    <n v="2746.2"/>
    <n v="27"/>
    <x v="3"/>
    <s v="Spray"/>
    <x v="99"/>
    <n v="53"/>
    <x v="0"/>
    <n v="1493"/>
    <x v="2"/>
  </r>
  <r>
    <x v="0"/>
    <x v="4"/>
    <x v="96"/>
    <n v="3360"/>
    <n v="27.2"/>
    <x v="3"/>
    <s v="Spray"/>
    <x v="100"/>
    <n v="52"/>
    <x v="0"/>
    <n v="64409"/>
    <x v="2"/>
  </r>
  <r>
    <x v="0"/>
    <x v="4"/>
    <x v="97"/>
    <n v="3360"/>
    <n v="27.2"/>
    <x v="3"/>
    <s v="Spray"/>
    <x v="101"/>
    <n v="51"/>
    <x v="0"/>
    <n v="249978"/>
    <x v="2"/>
  </r>
  <r>
    <x v="0"/>
    <x v="4"/>
    <x v="98"/>
    <n v="3360"/>
    <n v="27.2"/>
    <x v="3"/>
    <s v="Spray"/>
    <x v="102"/>
    <n v="57"/>
    <x v="0"/>
    <n v="637"/>
    <x v="2"/>
  </r>
  <r>
    <x v="0"/>
    <x v="4"/>
    <x v="99"/>
    <n v="3605.4"/>
    <n v="27.1"/>
    <x v="3"/>
    <s v="Spray"/>
    <x v="102"/>
    <n v="57"/>
    <x v="0"/>
    <n v="43311"/>
    <x v="2"/>
  </r>
  <r>
    <x v="0"/>
    <x v="4"/>
    <x v="100"/>
    <n v="3605.4"/>
    <n v="27.1"/>
    <x v="3"/>
    <s v="Spray"/>
    <x v="103"/>
    <n v="60"/>
    <x v="0"/>
    <n v="24848"/>
    <x v="2"/>
  </r>
  <r>
    <x v="0"/>
    <x v="4"/>
    <x v="101"/>
    <n v="3605.4"/>
    <n v="27.1"/>
    <x v="3"/>
    <s v="Spray"/>
    <x v="104"/>
    <n v="57"/>
    <x v="0"/>
    <n v="761"/>
    <x v="2"/>
  </r>
  <r>
    <x v="0"/>
    <x v="4"/>
    <x v="102"/>
    <n v="3512.4"/>
    <n v="26.8"/>
    <x v="3"/>
    <s v="Spray"/>
    <x v="105"/>
    <n v="57"/>
    <x v="0"/>
    <n v="45608"/>
    <x v="2"/>
  </r>
  <r>
    <x v="0"/>
    <x v="4"/>
    <x v="103"/>
    <n v="3512.4"/>
    <n v="26.8"/>
    <x v="3"/>
    <s v="Spray"/>
    <x v="106"/>
    <n v="54"/>
    <x v="0"/>
    <n v="234581"/>
    <x v="2"/>
  </r>
  <r>
    <x v="0"/>
    <x v="4"/>
    <x v="104"/>
    <n v="3512.4"/>
    <n v="26.8"/>
    <x v="3"/>
    <s v="Spray"/>
    <x v="107"/>
    <n v="54.5"/>
    <x v="0"/>
    <n v="646"/>
    <x v="2"/>
  </r>
  <r>
    <x v="0"/>
    <x v="4"/>
    <x v="105"/>
    <n v="3296"/>
    <n v="37"/>
    <x v="3"/>
    <s v="Spray"/>
    <x v="108"/>
    <n v="56.6"/>
    <x v="0"/>
    <n v="43562"/>
    <x v="2"/>
  </r>
  <r>
    <x v="0"/>
    <x v="4"/>
    <x v="106"/>
    <n v="3296"/>
    <n v="37"/>
    <x v="3"/>
    <s v="Spray"/>
    <x v="109"/>
    <n v="55.5"/>
    <x v="0"/>
    <n v="200000"/>
    <x v="2"/>
  </r>
  <r>
    <x v="0"/>
    <x v="4"/>
    <x v="107"/>
    <n v="3296"/>
    <n v="37"/>
    <x v="3"/>
    <s v="Spray"/>
    <x v="110"/>
    <n v="58.5"/>
    <x v="0"/>
    <n v="4847"/>
    <x v="2"/>
  </r>
  <r>
    <x v="0"/>
    <x v="4"/>
    <x v="108"/>
    <n v="3550"/>
    <n v="38"/>
    <x v="3"/>
    <s v="Spray"/>
    <x v="111"/>
    <n v="59.5"/>
    <x v="0"/>
    <n v="51239"/>
    <x v="2"/>
  </r>
  <r>
    <x v="0"/>
    <x v="4"/>
    <x v="109"/>
    <n v="3550"/>
    <n v="38"/>
    <x v="3"/>
    <s v="Spray"/>
    <x v="112"/>
    <n v="55"/>
    <x v="0"/>
    <n v="216396"/>
    <x v="2"/>
  </r>
  <r>
    <x v="0"/>
    <x v="4"/>
    <x v="110"/>
    <n v="3550"/>
    <n v="38"/>
    <x v="3"/>
    <s v="Spray"/>
    <x v="113"/>
    <n v="53"/>
    <x v="0"/>
    <n v="2644"/>
    <x v="2"/>
  </r>
  <r>
    <x v="0"/>
    <x v="4"/>
    <x v="111"/>
    <n v="3654"/>
    <n v="39"/>
    <x v="3"/>
    <s v="Spray"/>
    <x v="114"/>
    <n v="53.5"/>
    <x v="0"/>
    <n v="44235"/>
    <x v="2"/>
  </r>
  <r>
    <x v="0"/>
    <x v="4"/>
    <x v="112"/>
    <n v="3654"/>
    <n v="39"/>
    <x v="3"/>
    <s v="Spray"/>
    <x v="115"/>
    <n v="52.5"/>
    <x v="0"/>
    <n v="203317"/>
    <x v="2"/>
  </r>
  <r>
    <x v="0"/>
    <x v="4"/>
    <x v="113"/>
    <n v="3654"/>
    <n v="39"/>
    <x v="3"/>
    <s v="Spray"/>
    <x v="116"/>
    <n v="56"/>
    <x v="0"/>
    <n v="2134"/>
    <x v="2"/>
  </r>
  <r>
    <x v="0"/>
    <x v="4"/>
    <x v="114"/>
    <n v="233"/>
    <n v="40"/>
    <x v="3"/>
    <s v="Spray"/>
    <x v="117"/>
    <n v="57"/>
    <x v="0"/>
    <n v="45186"/>
    <x v="2"/>
  </r>
  <r>
    <x v="0"/>
    <x v="4"/>
    <x v="115"/>
    <n v="233"/>
    <n v="40"/>
    <x v="3"/>
    <s v="Spray"/>
    <x v="118"/>
    <n v="57.5"/>
    <x v="0"/>
    <n v="238542"/>
    <x v="2"/>
  </r>
  <r>
    <x v="0"/>
    <x v="4"/>
    <x v="116"/>
    <n v="233"/>
    <n v="40"/>
    <x v="3"/>
    <s v="Spray"/>
    <x v="119"/>
    <n v="57"/>
    <x v="0"/>
    <n v="1516"/>
    <x v="2"/>
  </r>
  <r>
    <x v="0"/>
    <x v="4"/>
    <x v="117"/>
    <n v="234"/>
    <n v="41"/>
    <x v="3"/>
    <s v="Spray"/>
    <x v="120"/>
    <n v="55"/>
    <x v="0"/>
    <n v="200000"/>
    <x v="2"/>
  </r>
  <r>
    <x v="0"/>
    <x v="4"/>
    <x v="118"/>
    <n v="234"/>
    <n v="41"/>
    <x v="3"/>
    <s v="Spray"/>
    <x v="121"/>
    <n v="56"/>
    <x v="0"/>
    <n v="4847"/>
    <x v="2"/>
  </r>
  <r>
    <x v="0"/>
    <x v="4"/>
    <x v="119"/>
    <n v="234"/>
    <n v="41"/>
    <x v="1"/>
    <s v="Spray"/>
    <x v="122"/>
    <n v="54"/>
    <x v="0"/>
    <n v="51239"/>
    <x v="2"/>
  </r>
  <r>
    <x v="0"/>
    <x v="4"/>
    <x v="120"/>
    <n v="3105"/>
    <n v="42"/>
    <x v="1"/>
    <s v="Spray"/>
    <x v="105"/>
    <n v="58"/>
    <x v="0"/>
    <n v="216396"/>
    <x v="2"/>
  </r>
  <r>
    <x v="0"/>
    <x v="4"/>
    <x v="12"/>
    <n v="3105"/>
    <n v="42"/>
    <x v="1"/>
    <s v="Spray"/>
    <x v="123"/>
    <n v="58"/>
    <x v="0"/>
    <n v="2644"/>
    <x v="2"/>
  </r>
  <r>
    <x v="0"/>
    <x v="4"/>
    <x v="121"/>
    <n v="3105"/>
    <n v="42"/>
    <x v="1"/>
    <s v="Spray"/>
    <x v="124"/>
    <n v="59"/>
    <x v="0"/>
    <n v="44235"/>
    <x v="2"/>
  </r>
  <r>
    <x v="0"/>
    <x v="4"/>
    <x v="122"/>
    <n v="236"/>
    <n v="43"/>
    <x v="1"/>
    <s v="Spray"/>
    <x v="125"/>
    <n v="50"/>
    <x v="0"/>
    <n v="203317"/>
    <x v="2"/>
  </r>
  <r>
    <x v="0"/>
    <x v="4"/>
    <x v="123"/>
    <n v="236"/>
    <n v="43"/>
    <x v="1"/>
    <s v="Spray"/>
    <x v="126"/>
    <n v="54"/>
    <x v="0"/>
    <n v="2134"/>
    <x v="2"/>
  </r>
  <r>
    <x v="1"/>
    <x v="4"/>
    <x v="9"/>
    <n v="321"/>
    <n v="128"/>
    <x v="1"/>
    <s v="Drip"/>
    <x v="127"/>
    <n v="53"/>
    <x v="1"/>
    <n v="45186"/>
    <x v="2"/>
  </r>
  <r>
    <x v="2"/>
    <x v="4"/>
    <x v="124"/>
    <n v="3654"/>
    <n v="129"/>
    <x v="1"/>
    <s v="Drip"/>
    <x v="128"/>
    <n v="52"/>
    <x v="1"/>
    <n v="238542"/>
    <x v="2"/>
  </r>
  <r>
    <x v="3"/>
    <x v="4"/>
    <x v="125"/>
    <n v="323"/>
    <n v="130"/>
    <x v="1"/>
    <s v="Drip"/>
    <x v="66"/>
    <n v="51"/>
    <x v="1"/>
    <n v="1516"/>
    <x v="2"/>
  </r>
  <r>
    <x v="4"/>
    <x v="4"/>
    <x v="126"/>
    <n v="324"/>
    <n v="131"/>
    <x v="1"/>
    <s v="Drip"/>
    <x v="129"/>
    <n v="57"/>
    <x v="1"/>
    <n v="57259"/>
    <x v="2"/>
  </r>
  <r>
    <x v="5"/>
    <x v="4"/>
    <x v="127"/>
    <n v="3105"/>
    <n v="132"/>
    <x v="1"/>
    <s v="Drip"/>
    <x v="130"/>
    <n v="57"/>
    <x v="1"/>
    <n v="234779"/>
    <x v="2"/>
  </r>
  <r>
    <x v="6"/>
    <x v="4"/>
    <x v="128"/>
    <n v="326"/>
    <n v="133"/>
    <x v="1"/>
    <s v="Drip"/>
    <x v="131"/>
    <n v="60"/>
    <x v="1"/>
    <n v="1493"/>
    <x v="2"/>
  </r>
  <r>
    <x v="0"/>
    <x v="4"/>
    <x v="129"/>
    <n v="327"/>
    <n v="134"/>
    <x v="1"/>
    <s v="Drip"/>
    <x v="132"/>
    <n v="57"/>
    <x v="2"/>
    <n v="64409"/>
    <x v="2"/>
  </r>
  <r>
    <x v="7"/>
    <x v="4"/>
    <x v="130"/>
    <n v="328"/>
    <n v="135"/>
    <x v="1"/>
    <s v="Drip"/>
    <x v="124"/>
    <n v="57"/>
    <x v="2"/>
    <n v="249978"/>
    <x v="2"/>
  </r>
  <r>
    <x v="8"/>
    <x v="4"/>
    <x v="131"/>
    <n v="2903.1"/>
    <n v="136"/>
    <x v="1"/>
    <s v="Drip"/>
    <x v="133"/>
    <n v="54"/>
    <x v="2"/>
    <n v="637"/>
    <x v="2"/>
  </r>
  <r>
    <x v="9"/>
    <x v="4"/>
    <x v="132"/>
    <n v="2903.1"/>
    <n v="137"/>
    <x v="1"/>
    <s v="Drip"/>
    <x v="134"/>
    <n v="54.5"/>
    <x v="2"/>
    <n v="43311"/>
    <x v="2"/>
  </r>
  <r>
    <x v="10"/>
    <x v="4"/>
    <x v="133"/>
    <n v="2903.1"/>
    <n v="138"/>
    <x v="1"/>
    <s v="Drip"/>
    <x v="135"/>
    <n v="56.6"/>
    <x v="2"/>
    <n v="24848"/>
    <x v="2"/>
  </r>
  <r>
    <x v="11"/>
    <x v="4"/>
    <x v="134"/>
    <n v="2996.6"/>
    <n v="139"/>
    <x v="1"/>
    <s v="Drip"/>
    <x v="136"/>
    <n v="55.5"/>
    <x v="2"/>
    <n v="761"/>
    <x v="2"/>
  </r>
  <r>
    <x v="12"/>
    <x v="4"/>
    <x v="135"/>
    <n v="2996.6"/>
    <n v="140"/>
    <x v="1"/>
    <s v="Drip"/>
    <x v="137"/>
    <n v="58.5"/>
    <x v="2"/>
    <n v="45608"/>
    <x v="2"/>
  </r>
  <r>
    <x v="13"/>
    <x v="4"/>
    <x v="136"/>
    <n v="2996.6"/>
    <n v="141"/>
    <x v="1"/>
    <s v="Drip"/>
    <x v="138"/>
    <n v="59.5"/>
    <x v="2"/>
    <n v="234581"/>
    <x v="2"/>
  </r>
  <r>
    <x v="14"/>
    <x v="4"/>
    <x v="137"/>
    <n v="3522.8"/>
    <n v="142"/>
    <x v="1"/>
    <s v="Drip"/>
    <x v="139"/>
    <n v="55"/>
    <x v="2"/>
    <n v="646"/>
    <x v="2"/>
  </r>
  <r>
    <x v="1"/>
    <x v="4"/>
    <x v="138"/>
    <n v="3522.8"/>
    <n v="143"/>
    <x v="1"/>
    <s v="Drip"/>
    <x v="140"/>
    <n v="53"/>
    <x v="2"/>
    <n v="43562"/>
    <x v="2"/>
  </r>
  <r>
    <x v="2"/>
    <x v="4"/>
    <x v="139"/>
    <n v="3522.8"/>
    <n v="144"/>
    <x v="1"/>
    <s v="Drip"/>
    <x v="141"/>
    <n v="53.5"/>
    <x v="2"/>
    <n v="200000"/>
    <x v="2"/>
  </r>
  <r>
    <x v="3"/>
    <x v="4"/>
    <x v="140"/>
    <n v="3729.8"/>
    <n v="145"/>
    <x v="1"/>
    <s v="Drip"/>
    <x v="142"/>
    <n v="52.5"/>
    <x v="2"/>
    <n v="4847"/>
    <x v="2"/>
  </r>
  <r>
    <x v="4"/>
    <x v="4"/>
    <x v="141"/>
    <n v="3729.8"/>
    <n v="146"/>
    <x v="1"/>
    <s v="Drip"/>
    <x v="143"/>
    <n v="56"/>
    <x v="2"/>
    <n v="51239"/>
    <x v="2"/>
  </r>
  <r>
    <x v="5"/>
    <x v="4"/>
    <x v="142"/>
    <n v="3729.8"/>
    <n v="147"/>
    <x v="2"/>
    <s v="Drip"/>
    <x v="144"/>
    <n v="57"/>
    <x v="2"/>
    <n v="216396"/>
    <x v="2"/>
  </r>
  <r>
    <x v="6"/>
    <x v="4"/>
    <x v="143"/>
    <n v="2746.2"/>
    <n v="148"/>
    <x v="2"/>
    <s v="Drip"/>
    <x v="145"/>
    <n v="57.5"/>
    <x v="2"/>
    <n v="2644"/>
    <x v="2"/>
  </r>
  <r>
    <x v="0"/>
    <x v="4"/>
    <x v="144"/>
    <n v="2746.2"/>
    <n v="149"/>
    <x v="2"/>
    <s v="Drip"/>
    <x v="146"/>
    <n v="57"/>
    <x v="3"/>
    <n v="44235"/>
    <x v="2"/>
  </r>
  <r>
    <x v="7"/>
    <x v="4"/>
    <x v="145"/>
    <n v="2746.2"/>
    <n v="150"/>
    <x v="2"/>
    <s v="Drip"/>
    <x v="147"/>
    <n v="55"/>
    <x v="3"/>
    <n v="203317"/>
    <x v="2"/>
  </r>
  <r>
    <x v="8"/>
    <x v="4"/>
    <x v="146"/>
    <n v="3360"/>
    <n v="151"/>
    <x v="2"/>
    <s v="Drip"/>
    <x v="148"/>
    <n v="56"/>
    <x v="3"/>
    <n v="2134"/>
    <x v="2"/>
  </r>
  <r>
    <x v="9"/>
    <x v="4"/>
    <x v="147"/>
    <n v="3360"/>
    <n v="152"/>
    <x v="2"/>
    <s v="Drip"/>
    <x v="149"/>
    <n v="54"/>
    <x v="3"/>
    <n v="45186"/>
    <x v="2"/>
  </r>
  <r>
    <x v="10"/>
    <x v="4"/>
    <x v="148"/>
    <n v="3360"/>
    <n v="153"/>
    <x v="2"/>
    <s v="Drip"/>
    <x v="150"/>
    <n v="58"/>
    <x v="3"/>
    <n v="238542"/>
    <x v="2"/>
  </r>
  <r>
    <x v="11"/>
    <x v="4"/>
    <x v="73"/>
    <n v="3605.4"/>
    <n v="154"/>
    <x v="2"/>
    <s v="Drip"/>
    <x v="151"/>
    <n v="58"/>
    <x v="3"/>
    <n v="1516"/>
    <x v="2"/>
  </r>
  <r>
    <x v="12"/>
    <x v="4"/>
    <x v="71"/>
    <n v="3605.4"/>
    <n v="155"/>
    <x v="2"/>
    <s v="Drip"/>
    <x v="152"/>
    <n v="59"/>
    <x v="3"/>
    <n v="57259"/>
    <x v="0"/>
  </r>
  <r>
    <x v="13"/>
    <x v="4"/>
    <x v="149"/>
    <n v="3605.4"/>
    <n v="156"/>
    <x v="2"/>
    <s v="Drip"/>
    <x v="153"/>
    <n v="50"/>
    <x v="3"/>
    <n v="234779"/>
    <x v="0"/>
  </r>
  <r>
    <x v="14"/>
    <x v="4"/>
    <x v="150"/>
    <n v="3512.4"/>
    <n v="157"/>
    <x v="2"/>
    <s v="Drip"/>
    <x v="154"/>
    <n v="54"/>
    <x v="3"/>
    <n v="1493"/>
    <x v="0"/>
  </r>
  <r>
    <x v="1"/>
    <x v="4"/>
    <x v="149"/>
    <n v="3512.4"/>
    <n v="158"/>
    <x v="2"/>
    <s v="Drip"/>
    <x v="155"/>
    <n v="53"/>
    <x v="3"/>
    <n v="64409"/>
    <x v="0"/>
  </r>
  <r>
    <x v="2"/>
    <x v="4"/>
    <x v="151"/>
    <n v="3512.4"/>
    <n v="159"/>
    <x v="2"/>
    <s v="Drip"/>
    <x v="156"/>
    <n v="52"/>
    <x v="3"/>
    <n v="249978"/>
    <x v="0"/>
  </r>
  <r>
    <x v="3"/>
    <x v="4"/>
    <x v="152"/>
    <n v="3296"/>
    <n v="160"/>
    <x v="2"/>
    <s v="Drip"/>
    <x v="157"/>
    <n v="51"/>
    <x v="3"/>
    <n v="637"/>
    <x v="0"/>
  </r>
  <r>
    <x v="4"/>
    <x v="4"/>
    <x v="151"/>
    <n v="3296"/>
    <n v="161"/>
    <x v="2"/>
    <s v="Drip"/>
    <x v="158"/>
    <n v="57"/>
    <x v="3"/>
    <n v="43311"/>
    <x v="0"/>
  </r>
  <r>
    <x v="5"/>
    <x v="4"/>
    <x v="153"/>
    <n v="3296"/>
    <n v="162"/>
    <x v="2"/>
    <s v="Drip"/>
    <x v="159"/>
    <n v="57"/>
    <x v="3"/>
    <n v="24848"/>
    <x v="0"/>
  </r>
  <r>
    <x v="6"/>
    <x v="4"/>
    <x v="154"/>
    <n v="3550"/>
    <n v="163"/>
    <x v="2"/>
    <s v="Drip"/>
    <x v="160"/>
    <n v="60"/>
    <x v="3"/>
    <n v="761"/>
    <x v="0"/>
  </r>
  <r>
    <x v="0"/>
    <x v="5"/>
    <x v="155"/>
    <n v="3550"/>
    <n v="164"/>
    <x v="2"/>
    <s v="Drip"/>
    <x v="161"/>
    <n v="57"/>
    <x v="4"/>
    <n v="45608"/>
    <x v="0"/>
  </r>
  <r>
    <x v="7"/>
    <x v="5"/>
    <x v="5"/>
    <n v="3550"/>
    <n v="165"/>
    <x v="2"/>
    <s v="Drip"/>
    <x v="131"/>
    <n v="57"/>
    <x v="4"/>
    <n v="234581"/>
    <x v="0"/>
  </r>
  <r>
    <x v="8"/>
    <x v="5"/>
    <x v="6"/>
    <n v="3654"/>
    <n v="166"/>
    <x v="2"/>
    <s v="Drip"/>
    <x v="132"/>
    <n v="54"/>
    <x v="4"/>
    <n v="646"/>
    <x v="0"/>
  </r>
  <r>
    <x v="9"/>
    <x v="5"/>
    <x v="7"/>
    <n v="3654"/>
    <n v="167"/>
    <x v="2"/>
    <s v="Drip"/>
    <x v="124"/>
    <n v="54.5"/>
    <x v="4"/>
    <n v="43562"/>
    <x v="0"/>
  </r>
  <r>
    <x v="10"/>
    <x v="5"/>
    <x v="8"/>
    <n v="3654"/>
    <n v="168"/>
    <x v="2"/>
    <s v="Drip"/>
    <x v="133"/>
    <n v="56.6"/>
    <x v="4"/>
    <n v="200000"/>
    <x v="0"/>
  </r>
  <r>
    <x v="11"/>
    <x v="5"/>
    <x v="9"/>
    <n v="233"/>
    <n v="169"/>
    <x v="2"/>
    <s v="Drip"/>
    <x v="134"/>
    <n v="55.5"/>
    <x v="4"/>
    <n v="4847"/>
    <x v="0"/>
  </r>
  <r>
    <x v="12"/>
    <x v="5"/>
    <x v="10"/>
    <n v="233"/>
    <n v="170"/>
    <x v="2"/>
    <s v="Drip"/>
    <x v="135"/>
    <n v="58.5"/>
    <x v="4"/>
    <n v="51239"/>
    <x v="0"/>
  </r>
  <r>
    <x v="13"/>
    <x v="5"/>
    <x v="11"/>
    <n v="233"/>
    <n v="171"/>
    <x v="2"/>
    <s v="Drip"/>
    <x v="136"/>
    <n v="59.5"/>
    <x v="4"/>
    <n v="216396"/>
    <x v="0"/>
  </r>
  <r>
    <x v="14"/>
    <x v="5"/>
    <x v="12"/>
    <n v="234"/>
    <n v="172"/>
    <x v="0"/>
    <s v="Basin"/>
    <x v="137"/>
    <n v="55"/>
    <x v="4"/>
    <n v="2644"/>
    <x v="0"/>
  </r>
  <r>
    <x v="1"/>
    <x v="5"/>
    <x v="13"/>
    <n v="234"/>
    <n v="173"/>
    <x v="0"/>
    <s v="Basin"/>
    <x v="138"/>
    <n v="53"/>
    <x v="4"/>
    <n v="44235"/>
    <x v="0"/>
  </r>
  <r>
    <x v="2"/>
    <x v="5"/>
    <x v="14"/>
    <n v="234"/>
    <n v="174"/>
    <x v="0"/>
    <s v="Basin"/>
    <x v="139"/>
    <n v="53.5"/>
    <x v="4"/>
    <n v="203317"/>
    <x v="0"/>
  </r>
  <r>
    <x v="3"/>
    <x v="5"/>
    <x v="15"/>
    <n v="3105"/>
    <n v="175"/>
    <x v="0"/>
    <s v="Basin"/>
    <x v="140"/>
    <n v="52.5"/>
    <x v="4"/>
    <n v="2134"/>
    <x v="0"/>
  </r>
  <r>
    <x v="4"/>
    <x v="5"/>
    <x v="16"/>
    <n v="3105"/>
    <n v="176"/>
    <x v="0"/>
    <s v="Basin"/>
    <x v="141"/>
    <n v="56"/>
    <x v="4"/>
    <n v="45186"/>
    <x v="0"/>
  </r>
  <r>
    <x v="5"/>
    <x v="5"/>
    <x v="17"/>
    <n v="3105"/>
    <n v="177"/>
    <x v="0"/>
    <s v="Basin"/>
    <x v="142"/>
    <n v="57"/>
    <x v="4"/>
    <n v="238542"/>
    <x v="0"/>
  </r>
  <r>
    <x v="6"/>
    <x v="5"/>
    <x v="18"/>
    <n v="236"/>
    <n v="178"/>
    <x v="0"/>
    <s v="Basin"/>
    <x v="143"/>
    <n v="57.5"/>
    <x v="4"/>
    <n v="1516"/>
    <x v="0"/>
  </r>
  <r>
    <x v="0"/>
    <x v="5"/>
    <x v="19"/>
    <n v="236"/>
    <n v="179"/>
    <x v="0"/>
    <s v="Basin"/>
    <x v="144"/>
    <n v="57"/>
    <x v="5"/>
    <n v="200000"/>
    <x v="0"/>
  </r>
  <r>
    <x v="7"/>
    <x v="5"/>
    <x v="20"/>
    <n v="2903.1"/>
    <n v="180"/>
    <x v="0"/>
    <s v="Basin"/>
    <x v="145"/>
    <n v="55"/>
    <x v="5"/>
    <n v="4847"/>
    <x v="0"/>
  </r>
  <r>
    <x v="8"/>
    <x v="5"/>
    <x v="21"/>
    <n v="2903.1"/>
    <n v="181"/>
    <x v="0"/>
    <s v="Basin"/>
    <x v="146"/>
    <n v="56"/>
    <x v="5"/>
    <n v="51239"/>
    <x v="0"/>
  </r>
  <r>
    <x v="9"/>
    <x v="5"/>
    <x v="22"/>
    <n v="2903.1"/>
    <n v="182"/>
    <x v="0"/>
    <s v="Basin"/>
    <x v="147"/>
    <n v="54"/>
    <x v="5"/>
    <n v="216396"/>
    <x v="0"/>
  </r>
  <r>
    <x v="10"/>
    <x v="5"/>
    <x v="23"/>
    <n v="2996.6"/>
    <n v="183"/>
    <x v="0"/>
    <s v="Basin"/>
    <x v="148"/>
    <n v="58"/>
    <x v="5"/>
    <n v="2644"/>
    <x v="0"/>
  </r>
  <r>
    <x v="11"/>
    <x v="5"/>
    <x v="24"/>
    <n v="2996.6"/>
    <n v="184"/>
    <x v="0"/>
    <s v="Basin"/>
    <x v="149"/>
    <n v="58"/>
    <x v="5"/>
    <n v="44235"/>
    <x v="0"/>
  </r>
  <r>
    <x v="12"/>
    <x v="5"/>
    <x v="25"/>
    <n v="2996.6"/>
    <n v="185"/>
    <x v="0"/>
    <s v="Basin"/>
    <x v="150"/>
    <n v="59"/>
    <x v="5"/>
    <n v="203317"/>
    <x v="0"/>
  </r>
  <r>
    <x v="13"/>
    <x v="5"/>
    <x v="26"/>
    <n v="3522.8"/>
    <n v="186"/>
    <x v="0"/>
    <s v="Basin"/>
    <x v="151"/>
    <n v="50"/>
    <x v="5"/>
    <n v="2134"/>
    <x v="0"/>
  </r>
  <r>
    <x v="14"/>
    <x v="5"/>
    <x v="27"/>
    <n v="3522.8"/>
    <n v="187"/>
    <x v="0"/>
    <s v="Basin"/>
    <x v="152"/>
    <n v="54"/>
    <x v="5"/>
    <n v="45186"/>
    <x v="0"/>
  </r>
  <r>
    <x v="1"/>
    <x v="5"/>
    <x v="28"/>
    <n v="3522.8"/>
    <n v="188"/>
    <x v="0"/>
    <s v="Basin"/>
    <x v="153"/>
    <n v="53"/>
    <x v="5"/>
    <n v="238542"/>
    <x v="0"/>
  </r>
  <r>
    <x v="2"/>
    <x v="5"/>
    <x v="29"/>
    <n v="2903.1"/>
    <n v="189"/>
    <x v="0"/>
    <s v="Basin"/>
    <x v="154"/>
    <n v="52"/>
    <x v="5"/>
    <n v="1516"/>
    <x v="0"/>
  </r>
  <r>
    <x v="3"/>
    <x v="5"/>
    <x v="30"/>
    <n v="2903.1"/>
    <n v="190"/>
    <x v="0"/>
    <s v="Basin"/>
    <x v="155"/>
    <n v="51"/>
    <x v="5"/>
    <n v="57259"/>
    <x v="0"/>
  </r>
  <r>
    <x v="4"/>
    <x v="5"/>
    <x v="31"/>
    <n v="2903.1"/>
    <n v="191"/>
    <x v="0"/>
    <s v="Basin"/>
    <x v="156"/>
    <n v="57"/>
    <x v="5"/>
    <n v="234779"/>
    <x v="0"/>
  </r>
  <r>
    <x v="5"/>
    <x v="6"/>
    <x v="32"/>
    <n v="2996.6"/>
    <n v="192"/>
    <x v="0"/>
    <s v="Basin"/>
    <x v="157"/>
    <n v="57"/>
    <x v="5"/>
    <n v="1493"/>
    <x v="0"/>
  </r>
  <r>
    <x v="6"/>
    <x v="6"/>
    <x v="33"/>
    <n v="2996.6"/>
    <n v="193"/>
    <x v="0"/>
    <s v="Basin"/>
    <x v="158"/>
    <n v="60"/>
    <x v="5"/>
    <n v="64409"/>
    <x v="0"/>
  </r>
  <r>
    <x v="0"/>
    <x v="6"/>
    <x v="34"/>
    <n v="2996.6"/>
    <n v="194"/>
    <x v="0"/>
    <s v="Basin"/>
    <x v="159"/>
    <n v="57"/>
    <x v="6"/>
    <n v="249978"/>
    <x v="0"/>
  </r>
  <r>
    <x v="7"/>
    <x v="6"/>
    <x v="35"/>
    <n v="3522.8"/>
    <n v="195"/>
    <x v="0"/>
    <s v="Basin"/>
    <x v="160"/>
    <n v="57"/>
    <x v="6"/>
    <n v="637"/>
    <x v="0"/>
  </r>
  <r>
    <x v="8"/>
    <x v="6"/>
    <x v="36"/>
    <n v="3522.8"/>
    <n v="196"/>
    <x v="0"/>
    <s v="Basin"/>
    <x v="161"/>
    <n v="54"/>
    <x v="6"/>
    <n v="43311"/>
    <x v="0"/>
  </r>
  <r>
    <x v="9"/>
    <x v="6"/>
    <x v="37"/>
    <n v="3522.8"/>
    <n v="197"/>
    <x v="4"/>
    <s v="Basin"/>
    <x v="131"/>
    <n v="54.5"/>
    <x v="6"/>
    <n v="24848"/>
    <x v="0"/>
  </r>
  <r>
    <x v="10"/>
    <x v="6"/>
    <x v="38"/>
    <n v="3729.8"/>
    <n v="198"/>
    <x v="4"/>
    <s v="Basin"/>
    <x v="132"/>
    <n v="56.6"/>
    <x v="6"/>
    <n v="761"/>
    <x v="0"/>
  </r>
  <r>
    <x v="11"/>
    <x v="6"/>
    <x v="39"/>
    <n v="3729.8"/>
    <n v="199"/>
    <x v="4"/>
    <s v="Basin"/>
    <x v="124"/>
    <n v="55.5"/>
    <x v="6"/>
    <n v="45608"/>
    <x v="0"/>
  </r>
  <r>
    <x v="12"/>
    <x v="6"/>
    <x v="40"/>
    <n v="3729.8"/>
    <n v="200"/>
    <x v="4"/>
    <s v="Basin"/>
    <x v="133"/>
    <n v="58.5"/>
    <x v="6"/>
    <n v="234581"/>
    <x v="0"/>
  </r>
  <r>
    <x v="13"/>
    <x v="6"/>
    <x v="41"/>
    <n v="2746.2"/>
    <n v="201"/>
    <x v="4"/>
    <s v="Basin"/>
    <x v="134"/>
    <n v="59.5"/>
    <x v="6"/>
    <n v="646"/>
    <x v="0"/>
  </r>
  <r>
    <x v="14"/>
    <x v="6"/>
    <x v="42"/>
    <n v="2746.2"/>
    <n v="202"/>
    <x v="4"/>
    <s v="Basin"/>
    <x v="135"/>
    <n v="55"/>
    <x v="6"/>
    <n v="43562"/>
    <x v="0"/>
  </r>
  <r>
    <x v="1"/>
    <x v="6"/>
    <x v="43"/>
    <n v="2746.2"/>
    <n v="203"/>
    <x v="4"/>
    <s v="Basin"/>
    <x v="136"/>
    <n v="53"/>
    <x v="6"/>
    <n v="200000"/>
    <x v="0"/>
  </r>
  <r>
    <x v="2"/>
    <x v="6"/>
    <x v="44"/>
    <n v="3360"/>
    <n v="204"/>
    <x v="4"/>
    <s v="Basin"/>
    <x v="137"/>
    <n v="53.5"/>
    <x v="6"/>
    <n v="4847"/>
    <x v="0"/>
  </r>
  <r>
    <x v="3"/>
    <x v="6"/>
    <x v="45"/>
    <n v="3360"/>
    <n v="205"/>
    <x v="4"/>
    <s v="Basin"/>
    <x v="138"/>
    <n v="52.5"/>
    <x v="6"/>
    <n v="51239"/>
    <x v="0"/>
  </r>
  <r>
    <x v="4"/>
    <x v="6"/>
    <x v="46"/>
    <n v="3360"/>
    <n v="206"/>
    <x v="4"/>
    <s v="Basin"/>
    <x v="139"/>
    <n v="56"/>
    <x v="6"/>
    <n v="216396"/>
    <x v="0"/>
  </r>
  <r>
    <x v="5"/>
    <x v="6"/>
    <x v="47"/>
    <n v="3605.4"/>
    <n v="207"/>
    <x v="4"/>
    <s v="Basin"/>
    <x v="140"/>
    <n v="57"/>
    <x v="6"/>
    <n v="2644"/>
    <x v="0"/>
  </r>
  <r>
    <x v="6"/>
    <x v="6"/>
    <x v="48"/>
    <n v="3605.4"/>
    <n v="208"/>
    <x v="4"/>
    <s v="Basin"/>
    <x v="141"/>
    <n v="57.5"/>
    <x v="6"/>
    <n v="44235"/>
    <x v="0"/>
  </r>
  <r>
    <x v="0"/>
    <x v="6"/>
    <x v="49"/>
    <n v="3605.4"/>
    <n v="209"/>
    <x v="4"/>
    <s v="Basin"/>
    <x v="142"/>
    <n v="57"/>
    <x v="7"/>
    <n v="203317"/>
    <x v="0"/>
  </r>
  <r>
    <x v="7"/>
    <x v="6"/>
    <x v="50"/>
    <n v="3512.4"/>
    <n v="210"/>
    <x v="4"/>
    <s v="Basin"/>
    <x v="143"/>
    <n v="55"/>
    <x v="7"/>
    <n v="2134"/>
    <x v="0"/>
  </r>
  <r>
    <x v="8"/>
    <x v="6"/>
    <x v="51"/>
    <n v="3512.4"/>
    <n v="211"/>
    <x v="4"/>
    <s v="Basin"/>
    <x v="144"/>
    <n v="56"/>
    <x v="7"/>
    <n v="45186"/>
    <x v="0"/>
  </r>
  <r>
    <x v="9"/>
    <x v="6"/>
    <x v="52"/>
    <n v="3512.4"/>
    <n v="212"/>
    <x v="4"/>
    <s v="Basin"/>
    <x v="145"/>
    <n v="54"/>
    <x v="7"/>
    <n v="238542"/>
    <x v="0"/>
  </r>
  <r>
    <x v="10"/>
    <x v="6"/>
    <x v="53"/>
    <n v="3296"/>
    <n v="213"/>
    <x v="4"/>
    <s v="Basin"/>
    <x v="146"/>
    <n v="58"/>
    <x v="7"/>
    <n v="1516"/>
    <x v="0"/>
  </r>
  <r>
    <x v="11"/>
    <x v="6"/>
    <x v="54"/>
    <n v="3296"/>
    <n v="214"/>
    <x v="4"/>
    <s v="Basin"/>
    <x v="147"/>
    <n v="58"/>
    <x v="7"/>
    <n v="57259"/>
    <x v="0"/>
  </r>
  <r>
    <x v="12"/>
    <x v="6"/>
    <x v="55"/>
    <n v="3296"/>
    <n v="215"/>
    <x v="4"/>
    <s v="Spray"/>
    <x v="148"/>
    <n v="59"/>
    <x v="7"/>
    <n v="234779"/>
    <x v="0"/>
  </r>
  <r>
    <x v="13"/>
    <x v="6"/>
    <x v="56"/>
    <n v="3550"/>
    <n v="216"/>
    <x v="4"/>
    <s v="Spray"/>
    <x v="149"/>
    <n v="50"/>
    <x v="7"/>
    <n v="1493"/>
    <x v="0"/>
  </r>
  <r>
    <x v="14"/>
    <x v="6"/>
    <x v="57"/>
    <n v="3550"/>
    <n v="217"/>
    <x v="4"/>
    <s v="Spray"/>
    <x v="150"/>
    <n v="54"/>
    <x v="7"/>
    <n v="64409"/>
    <x v="0"/>
  </r>
  <r>
    <x v="1"/>
    <x v="6"/>
    <x v="58"/>
    <n v="3550"/>
    <n v="218"/>
    <x v="4"/>
    <s v="Spray"/>
    <x v="151"/>
    <n v="53"/>
    <x v="7"/>
    <n v="249978"/>
    <x v="0"/>
  </r>
  <r>
    <x v="2"/>
    <x v="6"/>
    <x v="59"/>
    <n v="3654"/>
    <n v="219"/>
    <x v="4"/>
    <s v="Spray"/>
    <x v="152"/>
    <n v="52"/>
    <x v="7"/>
    <n v="637"/>
    <x v="0"/>
  </r>
  <r>
    <x v="3"/>
    <x v="6"/>
    <x v="60"/>
    <n v="3654"/>
    <n v="220"/>
    <x v="4"/>
    <s v="Spray"/>
    <x v="153"/>
    <n v="51"/>
    <x v="7"/>
    <n v="43311"/>
    <x v="0"/>
  </r>
  <r>
    <x v="4"/>
    <x v="6"/>
    <x v="61"/>
    <n v="3654"/>
    <n v="221"/>
    <x v="4"/>
    <s v="Spray"/>
    <x v="154"/>
    <n v="57"/>
    <x v="7"/>
    <n v="24848"/>
    <x v="0"/>
  </r>
  <r>
    <x v="5"/>
    <x v="6"/>
    <x v="62"/>
    <n v="233"/>
    <n v="222"/>
    <x v="5"/>
    <s v="Spray"/>
    <x v="155"/>
    <n v="57"/>
    <x v="7"/>
    <n v="761"/>
    <x v="0"/>
  </r>
  <r>
    <x v="6"/>
    <x v="6"/>
    <x v="63"/>
    <n v="233"/>
    <n v="27"/>
    <x v="5"/>
    <s v="Spray"/>
    <x v="156"/>
    <n v="60"/>
    <x v="7"/>
    <n v="45608"/>
    <x v="0"/>
  </r>
  <r>
    <x v="0"/>
    <x v="6"/>
    <x v="64"/>
    <n v="233"/>
    <n v="27"/>
    <x v="5"/>
    <s v="Spray"/>
    <x v="157"/>
    <n v="57"/>
    <x v="8"/>
    <n v="234581"/>
    <x v="0"/>
  </r>
  <r>
    <x v="7"/>
    <x v="6"/>
    <x v="65"/>
    <n v="234"/>
    <n v="27"/>
    <x v="5"/>
    <s v="Spray"/>
    <x v="158"/>
    <n v="57"/>
    <x v="8"/>
    <n v="646"/>
    <x v="0"/>
  </r>
  <r>
    <x v="8"/>
    <x v="6"/>
    <x v="62"/>
    <n v="234"/>
    <n v="27"/>
    <x v="5"/>
    <s v="Spray"/>
    <x v="159"/>
    <n v="54"/>
    <x v="8"/>
    <n v="43562"/>
    <x v="0"/>
  </r>
  <r>
    <x v="9"/>
    <x v="6"/>
    <x v="66"/>
    <n v="234"/>
    <n v="27"/>
    <x v="5"/>
    <s v="Spray"/>
    <x v="160"/>
    <n v="54.5"/>
    <x v="8"/>
    <n v="200000"/>
    <x v="0"/>
  </r>
  <r>
    <x v="10"/>
    <x v="6"/>
    <x v="67"/>
    <n v="3105"/>
    <n v="27.2"/>
    <x v="5"/>
    <s v="Spray"/>
    <x v="161"/>
    <n v="56.6"/>
    <x v="8"/>
    <n v="4847"/>
    <x v="0"/>
  </r>
  <r>
    <x v="11"/>
    <x v="6"/>
    <x v="68"/>
    <n v="3105"/>
    <n v="27.2"/>
    <x v="5"/>
    <s v="Spray"/>
    <x v="91"/>
    <n v="55.5"/>
    <x v="8"/>
    <n v="51239"/>
    <x v="0"/>
  </r>
  <r>
    <x v="12"/>
    <x v="6"/>
    <x v="67"/>
    <n v="3105"/>
    <n v="27.2"/>
    <x v="5"/>
    <s v="Spray"/>
    <x v="92"/>
    <n v="58.5"/>
    <x v="8"/>
    <n v="216396"/>
    <x v="0"/>
  </r>
  <r>
    <x v="13"/>
    <x v="6"/>
    <x v="69"/>
    <n v="236"/>
    <n v="27"/>
    <x v="5"/>
    <s v="Spray"/>
    <x v="93"/>
    <n v="59.5"/>
    <x v="8"/>
    <n v="2644"/>
    <x v="0"/>
  </r>
  <r>
    <x v="14"/>
    <x v="6"/>
    <x v="70"/>
    <n v="236"/>
    <n v="27"/>
    <x v="5"/>
    <s v="Spray"/>
    <x v="94"/>
    <n v="55"/>
    <x v="8"/>
    <n v="44235"/>
    <x v="0"/>
  </r>
  <r>
    <x v="1"/>
    <x v="6"/>
    <x v="71"/>
    <n v="2903.1"/>
    <n v="27"/>
    <x v="5"/>
    <s v="Spray"/>
    <x v="95"/>
    <n v="53"/>
    <x v="8"/>
    <n v="203317"/>
    <x v="0"/>
  </r>
  <r>
    <x v="2"/>
    <x v="6"/>
    <x v="64"/>
    <n v="2903.1"/>
    <n v="27"/>
    <x v="5"/>
    <s v="Spray"/>
    <x v="96"/>
    <n v="53.5"/>
    <x v="8"/>
    <n v="2134"/>
    <x v="0"/>
  </r>
  <r>
    <x v="3"/>
    <x v="6"/>
    <x v="63"/>
    <n v="2903.1"/>
    <n v="27"/>
    <x v="5"/>
    <s v="Spray"/>
    <x v="97"/>
    <n v="52.5"/>
    <x v="8"/>
    <n v="45186"/>
    <x v="0"/>
  </r>
  <r>
    <x v="4"/>
    <x v="6"/>
    <x v="72"/>
    <n v="2996.6"/>
    <n v="27"/>
    <x v="5"/>
    <s v="Spray"/>
    <x v="98"/>
    <n v="56"/>
    <x v="8"/>
    <n v="238542"/>
    <x v="0"/>
  </r>
  <r>
    <x v="5"/>
    <x v="6"/>
    <x v="73"/>
    <n v="2996.6"/>
    <n v="27.2"/>
    <x v="5"/>
    <s v="Spray"/>
    <x v="99"/>
    <n v="57"/>
    <x v="8"/>
    <n v="1516"/>
    <x v="0"/>
  </r>
  <r>
    <x v="6"/>
    <x v="6"/>
    <x v="60"/>
    <n v="2996.6"/>
    <n v="27.2"/>
    <x v="5"/>
    <s v="Spray"/>
    <x v="100"/>
    <n v="57.5"/>
    <x v="8"/>
    <n v="200000"/>
    <x v="0"/>
  </r>
  <r>
    <x v="0"/>
    <x v="6"/>
    <x v="74"/>
    <n v="3522.8"/>
    <n v="27.2"/>
    <x v="5"/>
    <s v="Spray"/>
    <x v="101"/>
    <n v="57"/>
    <x v="9"/>
    <n v="4847"/>
    <x v="0"/>
  </r>
  <r>
    <x v="7"/>
    <x v="6"/>
    <x v="75"/>
    <n v="3522.8"/>
    <n v="27.1"/>
    <x v="5"/>
    <s v="Spray"/>
    <x v="102"/>
    <n v="55"/>
    <x v="9"/>
    <n v="51239"/>
    <x v="0"/>
  </r>
  <r>
    <x v="8"/>
    <x v="6"/>
    <x v="76"/>
    <n v="3522.8"/>
    <n v="27.1"/>
    <x v="5"/>
    <s v="Spray"/>
    <x v="102"/>
    <n v="56"/>
    <x v="9"/>
    <n v="216396"/>
    <x v="0"/>
  </r>
  <r>
    <x v="9"/>
    <x v="6"/>
    <x v="77"/>
    <n v="2903.1"/>
    <n v="27.1"/>
    <x v="5"/>
    <s v="Spray"/>
    <x v="103"/>
    <n v="54"/>
    <x v="9"/>
    <n v="2644"/>
    <x v="0"/>
  </r>
  <r>
    <x v="10"/>
    <x v="6"/>
    <x v="78"/>
    <n v="2903.1"/>
    <n v="26.8"/>
    <x v="5"/>
    <s v="Spray"/>
    <x v="104"/>
    <n v="58"/>
    <x v="9"/>
    <n v="44235"/>
    <x v="0"/>
  </r>
  <r>
    <x v="11"/>
    <x v="6"/>
    <x v="79"/>
    <n v="2903.1"/>
    <n v="26.8"/>
    <x v="5"/>
    <s v="Spray"/>
    <x v="105"/>
    <n v="58"/>
    <x v="9"/>
    <n v="203317"/>
    <x v="0"/>
  </r>
  <r>
    <x v="12"/>
    <x v="6"/>
    <x v="80"/>
    <n v="2996.6"/>
    <n v="26.8"/>
    <x v="5"/>
    <s v="Spray"/>
    <x v="106"/>
    <n v="59"/>
    <x v="9"/>
    <n v="2134"/>
    <x v="0"/>
  </r>
  <r>
    <x v="13"/>
    <x v="6"/>
    <x v="81"/>
    <n v="2996.6"/>
    <n v="37"/>
    <x v="5"/>
    <s v="Spray"/>
    <x v="107"/>
    <n v="50"/>
    <x v="9"/>
    <n v="45186"/>
    <x v="0"/>
  </r>
  <r>
    <x v="14"/>
    <x v="6"/>
    <x v="82"/>
    <n v="2996.6"/>
    <n v="37"/>
    <x v="6"/>
    <s v="Spray"/>
    <x v="108"/>
    <n v="54"/>
    <x v="9"/>
    <n v="238542"/>
    <x v="0"/>
  </r>
  <r>
    <x v="1"/>
    <x v="6"/>
    <x v="83"/>
    <n v="3522.8"/>
    <n v="37"/>
    <x v="6"/>
    <s v="Spray"/>
    <x v="109"/>
    <n v="53"/>
    <x v="9"/>
    <n v="1516"/>
    <x v="0"/>
  </r>
  <r>
    <x v="2"/>
    <x v="6"/>
    <x v="84"/>
    <n v="3522.8"/>
    <n v="38"/>
    <x v="6"/>
    <s v="Spray"/>
    <x v="110"/>
    <n v="52"/>
    <x v="9"/>
    <n v="57259"/>
    <x v="0"/>
  </r>
  <r>
    <x v="3"/>
    <x v="6"/>
    <x v="85"/>
    <n v="3522.8"/>
    <n v="38"/>
    <x v="6"/>
    <s v="Spray"/>
    <x v="111"/>
    <n v="51"/>
    <x v="9"/>
    <n v="234779"/>
    <x v="0"/>
  </r>
  <r>
    <x v="4"/>
    <x v="6"/>
    <x v="86"/>
    <n v="3729.8"/>
    <n v="38"/>
    <x v="6"/>
    <s v="Spray"/>
    <x v="112"/>
    <n v="57"/>
    <x v="9"/>
    <n v="1493"/>
    <x v="0"/>
  </r>
  <r>
    <x v="5"/>
    <x v="6"/>
    <x v="87"/>
    <n v="3729.8"/>
    <n v="39"/>
    <x v="6"/>
    <s v="Spray"/>
    <x v="113"/>
    <n v="57"/>
    <x v="9"/>
    <n v="64409"/>
    <x v="0"/>
  </r>
  <r>
    <x v="6"/>
    <x v="6"/>
    <x v="88"/>
    <n v="3729.8"/>
    <n v="39"/>
    <x v="6"/>
    <s v="Spray"/>
    <x v="114"/>
    <n v="60"/>
    <x v="9"/>
    <n v="249978"/>
    <x v="0"/>
  </r>
  <r>
    <x v="0"/>
    <x v="6"/>
    <x v="89"/>
    <n v="2746.2"/>
    <n v="39"/>
    <x v="6"/>
    <s v="Spray"/>
    <x v="115"/>
    <n v="57"/>
    <x v="10"/>
    <n v="637"/>
    <x v="0"/>
  </r>
  <r>
    <x v="7"/>
    <x v="6"/>
    <x v="90"/>
    <n v="2746.2"/>
    <n v="40"/>
    <x v="6"/>
    <s v="Spray"/>
    <x v="116"/>
    <n v="57"/>
    <x v="10"/>
    <n v="43311"/>
    <x v="0"/>
  </r>
  <r>
    <x v="8"/>
    <x v="6"/>
    <x v="91"/>
    <n v="2746.2"/>
    <n v="40"/>
    <x v="6"/>
    <s v="Spray"/>
    <x v="117"/>
    <n v="54"/>
    <x v="10"/>
    <n v="24848"/>
    <x v="0"/>
  </r>
  <r>
    <x v="9"/>
    <x v="6"/>
    <x v="92"/>
    <n v="3360"/>
    <n v="40"/>
    <x v="6"/>
    <s v="Spray"/>
    <x v="118"/>
    <n v="54.5"/>
    <x v="10"/>
    <n v="761"/>
    <x v="0"/>
  </r>
  <r>
    <x v="10"/>
    <x v="6"/>
    <x v="64"/>
    <n v="3360"/>
    <n v="41"/>
    <x v="6"/>
    <s v="Spray"/>
    <x v="119"/>
    <n v="56.6"/>
    <x v="10"/>
    <n v="45608"/>
    <x v="0"/>
  </r>
  <r>
    <x v="11"/>
    <x v="6"/>
    <x v="93"/>
    <n v="3360"/>
    <n v="41"/>
    <x v="6"/>
    <s v="Drip"/>
    <x v="120"/>
    <n v="55.5"/>
    <x v="10"/>
    <n v="234581"/>
    <x v="0"/>
  </r>
  <r>
    <x v="12"/>
    <x v="6"/>
    <x v="94"/>
    <n v="3605.4"/>
    <n v="41"/>
    <x v="6"/>
    <s v="Drip"/>
    <x v="121"/>
    <n v="58.5"/>
    <x v="10"/>
    <n v="646"/>
    <x v="0"/>
  </r>
  <r>
    <x v="13"/>
    <x v="6"/>
    <x v="95"/>
    <n v="3605.4"/>
    <n v="42"/>
    <x v="6"/>
    <s v="Drip"/>
    <x v="122"/>
    <n v="59.5"/>
    <x v="10"/>
    <n v="43562"/>
    <x v="0"/>
  </r>
  <r>
    <x v="14"/>
    <x v="6"/>
    <x v="96"/>
    <n v="3605.4"/>
    <n v="42"/>
    <x v="6"/>
    <s v="Drip"/>
    <x v="105"/>
    <n v="55"/>
    <x v="10"/>
    <n v="200000"/>
    <x v="0"/>
  </r>
  <r>
    <x v="1"/>
    <x v="6"/>
    <x v="97"/>
    <n v="3512.4"/>
    <n v="42"/>
    <x v="6"/>
    <s v="Drip"/>
    <x v="123"/>
    <n v="53"/>
    <x v="10"/>
    <n v="4847"/>
    <x v="0"/>
  </r>
  <r>
    <x v="2"/>
    <x v="6"/>
    <x v="98"/>
    <n v="3512.4"/>
    <n v="43"/>
    <x v="6"/>
    <s v="Drip"/>
    <x v="91"/>
    <n v="53.5"/>
    <x v="10"/>
    <n v="51239"/>
    <x v="0"/>
  </r>
  <r>
    <x v="3"/>
    <x v="6"/>
    <x v="99"/>
    <n v="3512.4"/>
    <n v="43"/>
    <x v="6"/>
    <s v="Drip"/>
    <x v="92"/>
    <n v="52.5"/>
    <x v="10"/>
    <n v="216396"/>
    <x v="0"/>
  </r>
  <r>
    <x v="4"/>
    <x v="6"/>
    <x v="100"/>
    <n v="3296"/>
    <n v="27"/>
    <x v="6"/>
    <s v="Drip"/>
    <x v="93"/>
    <n v="56"/>
    <x v="10"/>
    <n v="2644"/>
    <x v="0"/>
  </r>
  <r>
    <x v="5"/>
    <x v="6"/>
    <x v="101"/>
    <n v="3296"/>
    <n v="27"/>
    <x v="6"/>
    <s v="Drip"/>
    <x v="94"/>
    <n v="59.5"/>
    <x v="10"/>
    <n v="44235"/>
    <x v="0"/>
  </r>
  <r>
    <x v="6"/>
    <x v="6"/>
    <x v="102"/>
    <n v="3296"/>
    <n v="27"/>
    <x v="6"/>
    <s v="Drip"/>
    <x v="95"/>
    <n v="55"/>
    <x v="10"/>
    <n v="203317"/>
    <x v="0"/>
  </r>
  <r>
    <x v="0"/>
    <x v="6"/>
    <x v="103"/>
    <n v="3550"/>
    <n v="27"/>
    <x v="6"/>
    <s v="Drip"/>
    <x v="96"/>
    <n v="53"/>
    <x v="11"/>
    <n v="2134"/>
    <x v="0"/>
  </r>
  <r>
    <x v="7"/>
    <x v="6"/>
    <x v="104"/>
    <n v="3550"/>
    <n v="27"/>
    <x v="6"/>
    <s v="Drip"/>
    <x v="97"/>
    <n v="53.5"/>
    <x v="11"/>
    <n v="45186"/>
    <x v="0"/>
  </r>
  <r>
    <x v="8"/>
    <x v="6"/>
    <x v="105"/>
    <n v="3550"/>
    <n v="27"/>
    <x v="6"/>
    <s v="Drip"/>
    <x v="98"/>
    <n v="52.5"/>
    <x v="11"/>
    <n v="238542"/>
    <x v="0"/>
  </r>
  <r>
    <x v="9"/>
    <x v="6"/>
    <x v="106"/>
    <n v="3654"/>
    <n v="27.2"/>
    <x v="7"/>
    <s v="Drip"/>
    <x v="99"/>
    <n v="56"/>
    <x v="11"/>
    <n v="1516"/>
    <x v="0"/>
  </r>
  <r>
    <x v="10"/>
    <x v="6"/>
    <x v="107"/>
    <n v="3654"/>
    <n v="27.2"/>
    <x v="7"/>
    <s v="Drip"/>
    <x v="100"/>
    <n v="57"/>
    <x v="11"/>
    <n v="57259"/>
    <x v="0"/>
  </r>
  <r>
    <x v="11"/>
    <x v="6"/>
    <x v="108"/>
    <n v="3654"/>
    <n v="27.2"/>
    <x v="7"/>
    <s v="Drip"/>
    <x v="101"/>
    <n v="57.5"/>
    <x v="11"/>
    <n v="234779"/>
    <x v="0"/>
  </r>
  <r>
    <x v="12"/>
    <x v="6"/>
    <x v="109"/>
    <n v="233"/>
    <n v="27"/>
    <x v="7"/>
    <s v="Drip"/>
    <x v="102"/>
    <n v="57"/>
    <x v="11"/>
    <n v="1493"/>
    <x v="0"/>
  </r>
  <r>
    <x v="13"/>
    <x v="6"/>
    <x v="110"/>
    <n v="233"/>
    <n v="27"/>
    <x v="7"/>
    <s v="Drip"/>
    <x v="102"/>
    <n v="55"/>
    <x v="11"/>
    <n v="64409"/>
    <x v="0"/>
  </r>
  <r>
    <x v="14"/>
    <x v="6"/>
    <x v="111"/>
    <n v="233"/>
    <n v="27"/>
    <x v="7"/>
    <s v="Drip"/>
    <x v="103"/>
    <n v="56"/>
    <x v="11"/>
    <n v="249978"/>
    <x v="0"/>
  </r>
  <r>
    <x v="1"/>
    <x v="6"/>
    <x v="112"/>
    <n v="234"/>
    <n v="27"/>
    <x v="7"/>
    <s v="Drip"/>
    <x v="104"/>
    <n v="54"/>
    <x v="11"/>
    <n v="637"/>
    <x v="0"/>
  </r>
  <r>
    <x v="2"/>
    <x v="6"/>
    <x v="113"/>
    <n v="234"/>
    <n v="27"/>
    <x v="7"/>
    <s v="Drip"/>
    <x v="105"/>
    <n v="58"/>
    <x v="11"/>
    <n v="43311"/>
    <x v="0"/>
  </r>
  <r>
    <x v="3"/>
    <x v="6"/>
    <x v="114"/>
    <n v="234"/>
    <n v="27"/>
    <x v="7"/>
    <s v="Drip"/>
    <x v="106"/>
    <n v="58"/>
    <x v="11"/>
    <n v="24848"/>
    <x v="0"/>
  </r>
  <r>
    <x v="4"/>
    <x v="6"/>
    <x v="115"/>
    <n v="3105"/>
    <n v="27.2"/>
    <x v="7"/>
    <s v="Drip"/>
    <x v="107"/>
    <n v="59"/>
    <x v="11"/>
    <n v="761"/>
    <x v="0"/>
  </r>
  <r>
    <x v="5"/>
    <x v="6"/>
    <x v="116"/>
    <n v="3105"/>
    <n v="27.2"/>
    <x v="7"/>
    <s v="Drip"/>
    <x v="108"/>
    <n v="50"/>
    <x v="11"/>
    <n v="45608"/>
    <x v="0"/>
  </r>
  <r>
    <x v="6"/>
    <x v="6"/>
    <x v="117"/>
    <n v="3105"/>
    <n v="27.2"/>
    <x v="7"/>
    <s v="Drip"/>
    <x v="109"/>
    <n v="54"/>
    <x v="11"/>
    <n v="234581"/>
    <x v="0"/>
  </r>
  <r>
    <x v="0"/>
    <x v="6"/>
    <x v="118"/>
    <n v="236"/>
    <n v="27.1"/>
    <x v="7"/>
    <s v="Drip"/>
    <x v="110"/>
    <n v="53"/>
    <x v="0"/>
    <n v="646"/>
    <x v="0"/>
  </r>
  <r>
    <x v="7"/>
    <x v="6"/>
    <x v="119"/>
    <n v="236"/>
    <n v="27.1"/>
    <x v="7"/>
    <s v="Drip"/>
    <x v="111"/>
    <n v="59.5"/>
    <x v="0"/>
    <n v="43562"/>
    <x v="0"/>
  </r>
  <r>
    <x v="8"/>
    <x v="6"/>
    <x v="120"/>
    <n v="2903.1"/>
    <n v="27.1"/>
    <x v="7"/>
    <s v="Drip"/>
    <x v="112"/>
    <n v="55"/>
    <x v="0"/>
    <n v="200000"/>
    <x v="0"/>
  </r>
  <r>
    <x v="9"/>
    <x v="6"/>
    <x v="12"/>
    <n v="2903.1"/>
    <n v="26.8"/>
    <x v="7"/>
    <s v="Drip"/>
    <x v="113"/>
    <n v="53"/>
    <x v="0"/>
    <n v="4847"/>
    <x v="0"/>
  </r>
  <r>
    <x v="10"/>
    <x v="6"/>
    <x v="121"/>
    <n v="2903.1"/>
    <n v="26.8"/>
    <x v="7"/>
    <s v="Drip"/>
    <x v="114"/>
    <n v="53.5"/>
    <x v="0"/>
    <n v="51239"/>
    <x v="0"/>
  </r>
  <r>
    <x v="11"/>
    <x v="6"/>
    <x v="122"/>
    <n v="2996.6"/>
    <n v="26.8"/>
    <x v="7"/>
    <s v="Drip"/>
    <x v="115"/>
    <n v="52.5"/>
    <x v="0"/>
    <n v="216396"/>
    <x v="0"/>
  </r>
  <r>
    <x v="12"/>
    <x v="6"/>
    <x v="123"/>
    <n v="2996.6"/>
    <n v="37"/>
    <x v="7"/>
    <s v="Drip"/>
    <x v="116"/>
    <n v="56"/>
    <x v="0"/>
    <n v="2644"/>
    <x v="0"/>
  </r>
  <r>
    <x v="13"/>
    <x v="6"/>
    <x v="9"/>
    <n v="2996.6"/>
    <n v="37"/>
    <x v="7"/>
    <s v="Drip"/>
    <x v="117"/>
    <n v="57"/>
    <x v="0"/>
    <n v="44235"/>
    <x v="0"/>
  </r>
  <r>
    <x v="14"/>
    <x v="6"/>
    <x v="124"/>
    <n v="3522.8"/>
    <n v="37"/>
    <x v="7"/>
    <s v="Drip"/>
    <x v="118"/>
    <n v="57.5"/>
    <x v="0"/>
    <n v="203317"/>
    <x v="0"/>
  </r>
  <r>
    <x v="1"/>
    <x v="6"/>
    <x v="125"/>
    <n v="3522.8"/>
    <n v="38"/>
    <x v="7"/>
    <s v="Drip"/>
    <x v="119"/>
    <n v="57"/>
    <x v="0"/>
    <n v="2134"/>
    <x v="0"/>
  </r>
  <r>
    <x v="2"/>
    <x v="6"/>
    <x v="126"/>
    <n v="3522.8"/>
    <n v="38"/>
    <x v="7"/>
    <s v="Drip"/>
    <x v="120"/>
    <n v="55"/>
    <x v="0"/>
    <n v="45186"/>
    <x v="0"/>
  </r>
  <r>
    <x v="3"/>
    <x v="6"/>
    <x v="127"/>
    <n v="2903.1"/>
    <n v="38"/>
    <x v="7"/>
    <s v="Drip"/>
    <x v="121"/>
    <n v="56"/>
    <x v="0"/>
    <n v="238542"/>
    <x v="0"/>
  </r>
  <r>
    <x v="4"/>
    <x v="6"/>
    <x v="128"/>
    <n v="2903.1"/>
    <n v="39"/>
    <x v="7"/>
    <s v="Drip"/>
    <x v="122"/>
    <n v="54"/>
    <x v="0"/>
    <n v="1516"/>
    <x v="0"/>
  </r>
  <r>
    <x v="5"/>
    <x v="6"/>
    <x v="129"/>
    <n v="2903.1"/>
    <n v="39"/>
    <x v="8"/>
    <s v="Drip"/>
    <x v="105"/>
    <n v="58"/>
    <x v="0"/>
    <n v="200000"/>
    <x v="0"/>
  </r>
  <r>
    <x v="6"/>
    <x v="6"/>
    <x v="130"/>
    <n v="2996.6"/>
    <n v="39"/>
    <x v="8"/>
    <s v="Drip"/>
    <x v="123"/>
    <n v="58"/>
    <x v="0"/>
    <n v="4847"/>
    <x v="0"/>
  </r>
  <r>
    <x v="15"/>
    <x v="6"/>
    <x v="131"/>
    <n v="2996.6"/>
    <n v="40"/>
    <x v="8"/>
    <s v="Drip"/>
    <x v="0"/>
    <n v="59"/>
    <x v="0"/>
    <n v="51239"/>
    <x v="0"/>
  </r>
  <r>
    <x v="0"/>
    <x v="6"/>
    <x v="132"/>
    <n v="2996.6"/>
    <n v="40"/>
    <x v="8"/>
    <s v="Drip"/>
    <x v="1"/>
    <n v="50"/>
    <x v="6"/>
    <n v="216396"/>
    <x v="0"/>
  </r>
  <r>
    <x v="7"/>
    <x v="6"/>
    <x v="133"/>
    <n v="3522.8"/>
    <n v="40"/>
    <x v="8"/>
    <s v="Drip"/>
    <x v="2"/>
    <n v="54"/>
    <x v="6"/>
    <n v="2644"/>
    <x v="0"/>
  </r>
  <r>
    <x v="8"/>
    <x v="6"/>
    <x v="134"/>
    <n v="3522.8"/>
    <n v="41"/>
    <x v="8"/>
    <s v="Drip"/>
    <x v="3"/>
    <n v="53"/>
    <x v="6"/>
    <n v="44235"/>
    <x v="0"/>
  </r>
  <r>
    <x v="9"/>
    <x v="6"/>
    <x v="135"/>
    <n v="3522.8"/>
    <n v="41"/>
    <x v="8"/>
    <s v="Basin"/>
    <x v="4"/>
    <n v="59.5"/>
    <x v="6"/>
    <n v="203317"/>
    <x v="0"/>
  </r>
  <r>
    <x v="10"/>
    <x v="6"/>
    <x v="136"/>
    <n v="3729.8"/>
    <n v="41"/>
    <x v="8"/>
    <s v="Basin"/>
    <x v="5"/>
    <n v="55"/>
    <x v="6"/>
    <n v="2134"/>
    <x v="0"/>
  </r>
  <r>
    <x v="11"/>
    <x v="6"/>
    <x v="137"/>
    <n v="3729.8"/>
    <n v="42"/>
    <x v="8"/>
    <s v="Basin"/>
    <x v="6"/>
    <n v="53"/>
    <x v="6"/>
    <n v="45186"/>
    <x v="0"/>
  </r>
  <r>
    <x v="12"/>
    <x v="6"/>
    <x v="138"/>
    <n v="3729.8"/>
    <n v="42"/>
    <x v="8"/>
    <s v="Basin"/>
    <x v="7"/>
    <n v="53.5"/>
    <x v="6"/>
    <n v="238542"/>
    <x v="0"/>
  </r>
  <r>
    <x v="13"/>
    <x v="6"/>
    <x v="139"/>
    <n v="2746.2"/>
    <n v="42"/>
    <x v="8"/>
    <s v="Basin"/>
    <x v="8"/>
    <n v="52.5"/>
    <x v="6"/>
    <n v="1516"/>
    <x v="0"/>
  </r>
  <r>
    <x v="14"/>
    <x v="6"/>
    <x v="140"/>
    <n v="2746.2"/>
    <n v="43"/>
    <x v="8"/>
    <s v="Basin"/>
    <x v="9"/>
    <n v="56"/>
    <x v="6"/>
    <n v="57259"/>
    <x v="0"/>
  </r>
  <r>
    <x v="1"/>
    <x v="6"/>
    <x v="141"/>
    <n v="2746.2"/>
    <n v="27"/>
    <x v="8"/>
    <s v="Basin"/>
    <x v="10"/>
    <n v="57"/>
    <x v="6"/>
    <n v="234779"/>
    <x v="0"/>
  </r>
  <r>
    <x v="2"/>
    <x v="6"/>
    <x v="142"/>
    <n v="3360"/>
    <n v="27"/>
    <x v="8"/>
    <s v="Basin"/>
    <x v="11"/>
    <n v="57.5"/>
    <x v="6"/>
    <n v="1493"/>
    <x v="0"/>
  </r>
  <r>
    <x v="3"/>
    <x v="6"/>
    <x v="143"/>
    <n v="3360"/>
    <n v="27"/>
    <x v="8"/>
    <s v="Basin"/>
    <x v="12"/>
    <n v="57"/>
    <x v="6"/>
    <n v="64409"/>
    <x v="0"/>
  </r>
  <r>
    <x v="4"/>
    <x v="6"/>
    <x v="144"/>
    <n v="3360"/>
    <n v="27"/>
    <x v="8"/>
    <s v="Basin"/>
    <x v="13"/>
    <n v="55"/>
    <x v="6"/>
    <n v="249978"/>
    <x v="0"/>
  </r>
  <r>
    <x v="5"/>
    <x v="6"/>
    <x v="145"/>
    <n v="3605.4"/>
    <n v="27"/>
    <x v="8"/>
    <s v="Basin"/>
    <x v="14"/>
    <n v="56"/>
    <x v="6"/>
    <n v="637"/>
    <x v="0"/>
  </r>
  <r>
    <x v="6"/>
    <x v="6"/>
    <x v="146"/>
    <n v="3605.4"/>
    <n v="27"/>
    <x v="8"/>
    <s v="Basin"/>
    <x v="15"/>
    <n v="54"/>
    <x v="6"/>
    <n v="43311"/>
    <x v="0"/>
  </r>
  <r>
    <x v="14"/>
    <x v="6"/>
    <x v="0"/>
    <n v="2903.1"/>
    <n v="27"/>
    <x v="8"/>
    <s v="Drip"/>
    <x v="0"/>
    <n v="57"/>
    <x v="0"/>
    <n v="200000"/>
    <x v="0"/>
  </r>
  <r>
    <x v="1"/>
    <x v="6"/>
    <x v="1"/>
    <n v="2903.1"/>
    <n v="27"/>
    <x v="8"/>
    <s v="Drip"/>
    <x v="1"/>
    <n v="57.5"/>
    <x v="0"/>
    <n v="4847"/>
    <x v="0"/>
  </r>
  <r>
    <x v="2"/>
    <x v="6"/>
    <x v="2"/>
    <n v="2903.1"/>
    <n v="27.2"/>
    <x v="8"/>
    <s v="Drip"/>
    <x v="2"/>
    <n v="57"/>
    <x v="0"/>
    <n v="51239"/>
    <x v="0"/>
  </r>
  <r>
    <x v="3"/>
    <x v="6"/>
    <x v="3"/>
    <n v="2996.6"/>
    <n v="27.2"/>
    <x v="8"/>
    <s v="Drip"/>
    <x v="3"/>
    <n v="55"/>
    <x v="0"/>
    <n v="216396"/>
    <x v="0"/>
  </r>
  <r>
    <x v="4"/>
    <x v="0"/>
    <x v="4"/>
    <n v="2996.6"/>
    <n v="27.2"/>
    <x v="8"/>
    <s v="Drip"/>
    <x v="4"/>
    <n v="56"/>
    <x v="0"/>
    <n v="2644"/>
    <x v="0"/>
  </r>
  <r>
    <x v="5"/>
    <x v="0"/>
    <x v="5"/>
    <n v="2996.6"/>
    <n v="27"/>
    <x v="8"/>
    <s v="Drip"/>
    <x v="5"/>
    <n v="54"/>
    <x v="0"/>
    <n v="44235"/>
    <x v="0"/>
  </r>
  <r>
    <x v="6"/>
    <x v="0"/>
    <x v="6"/>
    <n v="3522.8"/>
    <n v="27"/>
    <x v="8"/>
    <s v="Drip"/>
    <x v="6"/>
    <n v="58"/>
    <x v="0"/>
    <n v="203317"/>
    <x v="0"/>
  </r>
  <r>
    <x v="15"/>
    <x v="0"/>
    <x v="7"/>
    <n v="3522.8"/>
    <n v="27"/>
    <x v="8"/>
    <s v="Drip"/>
    <x v="7"/>
    <n v="58"/>
    <x v="0"/>
    <n v="2134"/>
    <x v="0"/>
  </r>
  <r>
    <x v="0"/>
    <x v="0"/>
    <x v="8"/>
    <n v="3522.8"/>
    <n v="27"/>
    <x v="8"/>
    <s v="Drip"/>
    <x v="8"/>
    <n v="59"/>
    <x v="0"/>
    <n v="45186"/>
    <x v="0"/>
  </r>
  <r>
    <x v="7"/>
    <x v="0"/>
    <x v="9"/>
    <n v="3729.8"/>
    <n v="27"/>
    <x v="8"/>
    <s v="Drip"/>
    <x v="9"/>
    <n v="50"/>
    <x v="0"/>
    <n v="238542"/>
    <x v="0"/>
  </r>
  <r>
    <x v="8"/>
    <x v="0"/>
    <x v="10"/>
    <n v="3729.8"/>
    <n v="27"/>
    <x v="8"/>
    <s v="Drip"/>
    <x v="10"/>
    <n v="54"/>
    <x v="0"/>
    <n v="1516"/>
    <x v="0"/>
  </r>
  <r>
    <x v="9"/>
    <x v="0"/>
    <x v="11"/>
    <n v="3729.8"/>
    <n v="27.2"/>
    <x v="8"/>
    <s v="Drip"/>
    <x v="11"/>
    <n v="53"/>
    <x v="0"/>
    <n v="57259"/>
    <x v="0"/>
  </r>
  <r>
    <x v="10"/>
    <x v="0"/>
    <x v="12"/>
    <n v="2746.2"/>
    <n v="27.2"/>
    <x v="8"/>
    <s v="Drip"/>
    <x v="12"/>
    <n v="52"/>
    <x v="0"/>
    <n v="234779"/>
    <x v="0"/>
  </r>
  <r>
    <x v="11"/>
    <x v="0"/>
    <x v="13"/>
    <n v="2746.2"/>
    <n v="27.2"/>
    <x v="8"/>
    <s v="Drip"/>
    <x v="13"/>
    <n v="51"/>
    <x v="0"/>
    <n v="1493"/>
    <x v="0"/>
  </r>
  <r>
    <x v="12"/>
    <x v="0"/>
    <x v="14"/>
    <n v="2746.2"/>
    <n v="27.1"/>
    <x v="8"/>
    <s v="Drip"/>
    <x v="14"/>
    <n v="57"/>
    <x v="0"/>
    <n v="64409"/>
    <x v="0"/>
  </r>
  <r>
    <x v="13"/>
    <x v="0"/>
    <x v="15"/>
    <n v="3360"/>
    <n v="27.1"/>
    <x v="8"/>
    <s v="Drip"/>
    <x v="15"/>
    <n v="57"/>
    <x v="0"/>
    <n v="249978"/>
    <x v="0"/>
  </r>
  <r>
    <x v="14"/>
    <x v="0"/>
    <x v="16"/>
    <n v="3360"/>
    <n v="27.1"/>
    <x v="8"/>
    <s v="Drip"/>
    <x v="16"/>
    <n v="60"/>
    <x v="0"/>
    <n v="637"/>
    <x v="0"/>
  </r>
  <r>
    <x v="1"/>
    <x v="0"/>
    <x v="17"/>
    <n v="3360"/>
    <n v="26.8"/>
    <x v="8"/>
    <s v="Drip"/>
    <x v="17"/>
    <n v="57"/>
    <x v="0"/>
    <n v="43311"/>
    <x v="0"/>
  </r>
  <r>
    <x v="2"/>
    <x v="0"/>
    <x v="18"/>
    <n v="3605.4"/>
    <n v="26.8"/>
    <x v="8"/>
    <s v="Drip"/>
    <x v="18"/>
    <n v="57"/>
    <x v="0"/>
    <n v="24848"/>
    <x v="0"/>
  </r>
  <r>
    <x v="3"/>
    <x v="0"/>
    <x v="19"/>
    <n v="3605.4"/>
    <n v="27.1"/>
    <x v="8"/>
    <s v="Drip"/>
    <x v="19"/>
    <n v="54"/>
    <x v="0"/>
    <n v="761"/>
    <x v="0"/>
  </r>
  <r>
    <x v="4"/>
    <x v="0"/>
    <x v="20"/>
    <n v="3605.4"/>
    <n v="27.1"/>
    <x v="8"/>
    <s v="Drip"/>
    <x v="20"/>
    <n v="54.5"/>
    <x v="0"/>
    <n v="45608"/>
    <x v="0"/>
  </r>
  <r>
    <x v="5"/>
    <x v="1"/>
    <x v="0"/>
    <n v="3512.4"/>
    <n v="26.8"/>
    <x v="8"/>
    <s v="Drip"/>
    <x v="21"/>
    <n v="56.6"/>
    <x v="0"/>
    <n v="234581"/>
    <x v="0"/>
  </r>
  <r>
    <x v="6"/>
    <x v="1"/>
    <x v="1"/>
    <n v="3512.4"/>
    <n v="26.8"/>
    <x v="8"/>
    <s v="Drip"/>
    <x v="22"/>
    <n v="55.5"/>
    <x v="0"/>
    <n v="646"/>
    <x v="0"/>
  </r>
  <r>
    <x v="13"/>
    <x v="1"/>
    <x v="2"/>
    <n v="3512.4"/>
    <n v="26.8"/>
    <x v="8"/>
    <s v="Drip"/>
    <x v="23"/>
    <n v="58.5"/>
    <x v="0"/>
    <n v="43562"/>
    <x v="0"/>
  </r>
  <r>
    <x v="14"/>
    <x v="1"/>
    <x v="3"/>
    <n v="3296"/>
    <n v="37"/>
    <x v="8"/>
    <s v="Drip"/>
    <x v="24"/>
    <n v="59.5"/>
    <x v="0"/>
    <n v="200000"/>
    <x v="0"/>
  </r>
  <r>
    <x v="1"/>
    <x v="1"/>
    <x v="4"/>
    <n v="3550"/>
    <n v="37"/>
    <x v="8"/>
    <s v="Drip"/>
    <x v="25"/>
    <n v="55"/>
    <x v="0"/>
    <n v="4847"/>
    <x v="0"/>
  </r>
  <r>
    <x v="2"/>
    <x v="1"/>
    <x v="5"/>
    <n v="3550"/>
    <n v="37"/>
    <x v="8"/>
    <s v="Drip"/>
    <x v="26"/>
    <n v="53"/>
    <x v="0"/>
    <n v="51239"/>
    <x v="0"/>
  </r>
  <r>
    <x v="3"/>
    <x v="1"/>
    <x v="6"/>
    <n v="3550"/>
    <n v="38"/>
    <x v="8"/>
    <s v="Drip"/>
    <x v="27"/>
    <n v="53.5"/>
    <x v="0"/>
    <n v="216396"/>
    <x v="0"/>
  </r>
  <r>
    <x v="4"/>
    <x v="1"/>
    <x v="7"/>
    <n v="3654"/>
    <n v="38"/>
    <x v="8"/>
    <s v="Drip"/>
    <x v="28"/>
    <n v="52.5"/>
    <x v="0"/>
    <n v="2644"/>
    <x v="0"/>
  </r>
  <r>
    <x v="5"/>
    <x v="1"/>
    <x v="8"/>
    <n v="3654"/>
    <n v="38"/>
    <x v="8"/>
    <s v="Drip"/>
    <x v="29"/>
    <n v="56"/>
    <x v="0"/>
    <n v="44235"/>
    <x v="0"/>
  </r>
  <r>
    <x v="6"/>
    <x v="1"/>
    <x v="9"/>
    <n v="3654"/>
    <n v="39"/>
    <x v="8"/>
    <s v="Drip"/>
    <x v="30"/>
    <n v="57"/>
    <x v="0"/>
    <n v="203317"/>
    <x v="0"/>
  </r>
  <r>
    <x v="0"/>
    <x v="1"/>
    <x v="10"/>
    <n v="233"/>
    <n v="39"/>
    <x v="8"/>
    <s v="Drip"/>
    <x v="31"/>
    <n v="57.5"/>
    <x v="0"/>
    <n v="2134"/>
    <x v="0"/>
  </r>
  <r>
    <x v="7"/>
    <x v="1"/>
    <x v="11"/>
    <n v="233"/>
    <n v="39"/>
    <x v="8"/>
    <s v="Drip"/>
    <x v="32"/>
    <n v="57"/>
    <x v="0"/>
    <n v="45186"/>
    <x v="0"/>
  </r>
  <r>
    <x v="8"/>
    <x v="1"/>
    <x v="12"/>
    <n v="233"/>
    <n v="40"/>
    <x v="8"/>
    <s v="Drip"/>
    <x v="33"/>
    <n v="55"/>
    <x v="0"/>
    <n v="238542"/>
    <x v="0"/>
  </r>
  <r>
    <x v="9"/>
    <x v="1"/>
    <x v="13"/>
    <n v="234"/>
    <n v="40"/>
    <x v="8"/>
    <s v="Drip"/>
    <x v="34"/>
    <n v="56"/>
    <x v="0"/>
    <n v="1516"/>
    <x v="0"/>
  </r>
  <r>
    <x v="10"/>
    <x v="1"/>
    <x v="14"/>
    <n v="234"/>
    <n v="40"/>
    <x v="8"/>
    <s v="Drip"/>
    <x v="35"/>
    <n v="54"/>
    <x v="0"/>
    <n v="57259"/>
    <x v="0"/>
  </r>
  <r>
    <x v="11"/>
    <x v="1"/>
    <x v="15"/>
    <n v="234"/>
    <n v="41"/>
    <x v="8"/>
    <s v="Drip"/>
    <x v="36"/>
    <n v="58"/>
    <x v="0"/>
    <n v="234779"/>
    <x v="0"/>
  </r>
  <r>
    <x v="12"/>
    <x v="1"/>
    <x v="16"/>
    <n v="3105"/>
    <n v="41"/>
    <x v="8"/>
    <s v="Drip"/>
    <x v="37"/>
    <n v="58"/>
    <x v="0"/>
    <n v="1493"/>
    <x v="0"/>
  </r>
  <r>
    <x v="13"/>
    <x v="1"/>
    <x v="17"/>
    <n v="3105"/>
    <n v="41"/>
    <x v="8"/>
    <s v="Drip"/>
    <x v="38"/>
    <n v="59"/>
    <x v="0"/>
    <n v="64409"/>
    <x v="0"/>
  </r>
  <r>
    <x v="14"/>
    <x v="1"/>
    <x v="18"/>
    <n v="3105"/>
    <n v="42"/>
    <x v="8"/>
    <s v="Drip"/>
    <x v="39"/>
    <n v="50"/>
    <x v="0"/>
    <n v="249978"/>
    <x v="0"/>
  </r>
  <r>
    <x v="1"/>
    <x v="1"/>
    <x v="19"/>
    <n v="236"/>
    <n v="42"/>
    <x v="8"/>
    <s v="Drip"/>
    <x v="40"/>
    <n v="54"/>
    <x v="0"/>
    <n v="637"/>
    <x v="0"/>
  </r>
  <r>
    <x v="2"/>
    <x v="1"/>
    <x v="20"/>
    <n v="236"/>
    <n v="42"/>
    <x v="8"/>
    <s v="Drip"/>
    <x v="41"/>
    <n v="53"/>
    <x v="0"/>
    <n v="43311"/>
    <x v="0"/>
  </r>
  <r>
    <x v="3"/>
    <x v="1"/>
    <x v="0"/>
    <n v="2903.1"/>
    <n v="43"/>
    <x v="8"/>
    <s v="Drip"/>
    <x v="42"/>
    <n v="52"/>
    <x v="0"/>
    <n v="24848"/>
    <x v="0"/>
  </r>
  <r>
    <x v="4"/>
    <x v="1"/>
    <x v="1"/>
    <n v="2903.1"/>
    <n v="27"/>
    <x v="8"/>
    <s v="Drip"/>
    <x v="43"/>
    <n v="51"/>
    <x v="0"/>
    <n v="761"/>
    <x v="0"/>
  </r>
  <r>
    <x v="5"/>
    <x v="1"/>
    <x v="2"/>
    <n v="2903.1"/>
    <n v="27"/>
    <x v="8"/>
    <s v="Basin"/>
    <x v="44"/>
    <n v="57"/>
    <x v="0"/>
    <n v="45608"/>
    <x v="0"/>
  </r>
  <r>
    <x v="6"/>
    <x v="1"/>
    <x v="3"/>
    <n v="2996.6"/>
    <n v="27"/>
    <x v="8"/>
    <s v="Basin"/>
    <x v="45"/>
    <n v="57"/>
    <x v="0"/>
    <n v="234581"/>
    <x v="0"/>
  </r>
  <r>
    <x v="0"/>
    <x v="1"/>
    <x v="4"/>
    <n v="2996.6"/>
    <n v="27"/>
    <x v="8"/>
    <s v="Basin"/>
    <x v="46"/>
    <n v="60"/>
    <x v="0"/>
    <n v="646"/>
    <x v="0"/>
  </r>
  <r>
    <x v="7"/>
    <x v="1"/>
    <x v="5"/>
    <n v="2996.6"/>
    <n v="27"/>
    <x v="8"/>
    <s v="Basin"/>
    <x v="47"/>
    <n v="57"/>
    <x v="0"/>
    <n v="43562"/>
    <x v="0"/>
  </r>
  <r>
    <x v="14"/>
    <x v="1"/>
    <x v="6"/>
    <n v="3296"/>
    <n v="27"/>
    <x v="8"/>
    <s v="Basin"/>
    <x v="48"/>
    <n v="57"/>
    <x v="0"/>
    <n v="200000"/>
    <x v="0"/>
  </r>
  <r>
    <x v="1"/>
    <x v="1"/>
    <x v="7"/>
    <n v="3550"/>
    <n v="27.2"/>
    <x v="8"/>
    <s v="Basin"/>
    <x v="49"/>
    <n v="54"/>
    <x v="0"/>
    <n v="4847"/>
    <x v="0"/>
  </r>
  <r>
    <x v="2"/>
    <x v="1"/>
    <x v="8"/>
    <n v="3550"/>
    <n v="27.2"/>
    <x v="8"/>
    <s v="Basin"/>
    <x v="50"/>
    <n v="54.5"/>
    <x v="0"/>
    <n v="51239"/>
    <x v="0"/>
  </r>
  <r>
    <x v="3"/>
    <x v="1"/>
    <x v="9"/>
    <n v="3550"/>
    <n v="27.2"/>
    <x v="0"/>
    <s v="Basin"/>
    <x v="51"/>
    <n v="56.6"/>
    <x v="0"/>
    <n v="216396"/>
    <x v="0"/>
  </r>
  <r>
    <x v="4"/>
    <x v="7"/>
    <x v="10"/>
    <n v="3654"/>
    <n v="27"/>
    <x v="0"/>
    <s v="Basin"/>
    <x v="52"/>
    <n v="55.5"/>
    <x v="0"/>
    <n v="2644"/>
    <x v="0"/>
  </r>
  <r>
    <x v="5"/>
    <x v="7"/>
    <x v="11"/>
    <n v="3654"/>
    <n v="27"/>
    <x v="0"/>
    <s v="Basin"/>
    <x v="53"/>
    <n v="58.5"/>
    <x v="0"/>
    <n v="44235"/>
    <x v="0"/>
  </r>
  <r>
    <x v="6"/>
    <x v="7"/>
    <x v="12"/>
    <n v="3654"/>
    <n v="27"/>
    <x v="0"/>
    <s v="Basin"/>
    <x v="54"/>
    <n v="59.5"/>
    <x v="0"/>
    <n v="203317"/>
    <x v="0"/>
  </r>
  <r>
    <x v="0"/>
    <x v="7"/>
    <x v="13"/>
    <n v="233"/>
    <n v="27"/>
    <x v="0"/>
    <s v="Basin"/>
    <x v="55"/>
    <n v="55"/>
    <x v="0"/>
    <n v="2134"/>
    <x v="0"/>
  </r>
  <r>
    <x v="7"/>
    <x v="7"/>
    <x v="14"/>
    <n v="233"/>
    <n v="27"/>
    <x v="0"/>
    <s v="Basin"/>
    <x v="56"/>
    <n v="53"/>
    <x v="0"/>
    <n v="45186"/>
    <x v="0"/>
  </r>
  <r>
    <x v="8"/>
    <x v="7"/>
    <x v="15"/>
    <n v="233"/>
    <n v="27"/>
    <x v="0"/>
    <s v="Basin"/>
    <x v="57"/>
    <n v="53.5"/>
    <x v="0"/>
    <n v="238542"/>
    <x v="0"/>
  </r>
  <r>
    <x v="9"/>
    <x v="7"/>
    <x v="16"/>
    <n v="234"/>
    <n v="27.2"/>
    <x v="0"/>
    <s v="Basin"/>
    <x v="58"/>
    <n v="52.5"/>
    <x v="0"/>
    <n v="1516"/>
    <x v="0"/>
  </r>
  <r>
    <x v="10"/>
    <x v="7"/>
    <x v="17"/>
    <n v="234"/>
    <n v="27.2"/>
    <x v="0"/>
    <s v="Basin"/>
    <x v="59"/>
    <n v="56"/>
    <x v="0"/>
    <n v="57259"/>
    <x v="0"/>
  </r>
  <r>
    <x v="11"/>
    <x v="7"/>
    <x v="18"/>
    <n v="234"/>
    <n v="27.2"/>
    <x v="0"/>
    <s v="Basin"/>
    <x v="60"/>
    <n v="57"/>
    <x v="0"/>
    <n v="234779"/>
    <x v="0"/>
  </r>
  <r>
    <x v="12"/>
    <x v="7"/>
    <x v="19"/>
    <n v="3105"/>
    <n v="27.1"/>
    <x v="3"/>
    <s v="Basin"/>
    <x v="61"/>
    <n v="57.5"/>
    <x v="0"/>
    <n v="1493"/>
    <x v="0"/>
  </r>
  <r>
    <x v="13"/>
    <x v="7"/>
    <x v="20"/>
    <n v="3105"/>
    <n v="27.1"/>
    <x v="3"/>
    <s v="Basin"/>
    <x v="62"/>
    <n v="57"/>
    <x v="0"/>
    <n v="64409"/>
    <x v="0"/>
  </r>
  <r>
    <x v="14"/>
    <x v="7"/>
    <x v="21"/>
    <n v="3105"/>
    <n v="27.1"/>
    <x v="3"/>
    <s v="Basin"/>
    <x v="63"/>
    <n v="55"/>
    <x v="0"/>
    <n v="249978"/>
    <x v="0"/>
  </r>
  <r>
    <x v="1"/>
    <x v="7"/>
    <x v="22"/>
    <n v="236"/>
    <n v="26.8"/>
    <x v="3"/>
    <s v="Basin"/>
    <x v="64"/>
    <n v="56"/>
    <x v="0"/>
    <n v="200000"/>
    <x v="0"/>
  </r>
  <r>
    <x v="2"/>
    <x v="7"/>
    <x v="23"/>
    <n v="236"/>
    <n v="26.8"/>
    <x v="3"/>
    <s v="Basin"/>
    <x v="65"/>
    <n v="54"/>
    <x v="0"/>
    <n v="4847"/>
    <x v="0"/>
  </r>
  <r>
    <x v="3"/>
    <x v="7"/>
    <x v="24"/>
    <n v="2903.1"/>
    <n v="26.8"/>
    <x v="3"/>
    <s v="Basin"/>
    <x v="62"/>
    <n v="58"/>
    <x v="0"/>
    <n v="51239"/>
    <x v="0"/>
  </r>
  <r>
    <x v="4"/>
    <x v="7"/>
    <x v="25"/>
    <n v="2903.1"/>
    <n v="37"/>
    <x v="3"/>
    <s v="Basin"/>
    <x v="66"/>
    <n v="58"/>
    <x v="0"/>
    <n v="216396"/>
    <x v="0"/>
  </r>
  <r>
    <x v="5"/>
    <x v="7"/>
    <x v="26"/>
    <n v="2903.1"/>
    <n v="37"/>
    <x v="3"/>
    <s v="Basin"/>
    <x v="67"/>
    <n v="59"/>
    <x v="0"/>
    <n v="2644"/>
    <x v="0"/>
  </r>
  <r>
    <x v="6"/>
    <x v="7"/>
    <x v="27"/>
    <n v="2996.6"/>
    <n v="37"/>
    <x v="3"/>
    <s v="Basin"/>
    <x v="68"/>
    <n v="50"/>
    <x v="0"/>
    <n v="44235"/>
    <x v="0"/>
  </r>
  <r>
    <x v="15"/>
    <x v="7"/>
    <x v="28"/>
    <n v="2996.6"/>
    <n v="38"/>
    <x v="3"/>
    <s v="Basin"/>
    <x v="69"/>
    <n v="54"/>
    <x v="0"/>
    <n v="203317"/>
    <x v="0"/>
  </r>
  <r>
    <x v="0"/>
    <x v="7"/>
    <x v="29"/>
    <n v="2996.6"/>
    <n v="38"/>
    <x v="9"/>
    <s v="Basin"/>
    <x v="70"/>
    <n v="53"/>
    <x v="0"/>
    <n v="2134"/>
    <x v="0"/>
  </r>
  <r>
    <x v="1"/>
    <x v="7"/>
    <x v="30"/>
    <n v="2903.1"/>
    <n v="38"/>
    <x v="9"/>
    <s v="Basin"/>
    <x v="71"/>
    <n v="52"/>
    <x v="0"/>
    <n v="45186"/>
    <x v="0"/>
  </r>
  <r>
    <x v="2"/>
    <x v="7"/>
    <x v="31"/>
    <n v="2903.1"/>
    <n v="39"/>
    <x v="9"/>
    <s v="Basin"/>
    <x v="72"/>
    <n v="51"/>
    <x v="0"/>
    <n v="238542"/>
    <x v="0"/>
  </r>
  <r>
    <x v="3"/>
    <x v="7"/>
    <x v="32"/>
    <n v="2903.1"/>
    <n v="39"/>
    <x v="9"/>
    <s v="Basin"/>
    <x v="73"/>
    <n v="57"/>
    <x v="0"/>
    <n v="1516"/>
    <x v="0"/>
  </r>
  <r>
    <x v="4"/>
    <x v="7"/>
    <x v="33"/>
    <n v="2996.6"/>
    <n v="39"/>
    <x v="9"/>
    <s v="Basin"/>
    <x v="74"/>
    <n v="57"/>
    <x v="0"/>
    <n v="57259"/>
    <x v="0"/>
  </r>
  <r>
    <x v="5"/>
    <x v="7"/>
    <x v="34"/>
    <n v="2996.6"/>
    <n v="40"/>
    <x v="9"/>
    <s v="Basin"/>
    <x v="75"/>
    <n v="60"/>
    <x v="0"/>
    <n v="234779"/>
    <x v="0"/>
  </r>
  <r>
    <x v="6"/>
    <x v="7"/>
    <x v="35"/>
    <n v="2996.6"/>
    <n v="40"/>
    <x v="9"/>
    <s v="Basin"/>
    <x v="76"/>
    <n v="57"/>
    <x v="0"/>
    <n v="1493"/>
    <x v="0"/>
  </r>
  <r>
    <x v="0"/>
    <x v="7"/>
    <x v="36"/>
    <n v="3522.8"/>
    <n v="40"/>
    <x v="9"/>
    <s v="Basin"/>
    <x v="60"/>
    <n v="57"/>
    <x v="0"/>
    <n v="64409"/>
    <x v="0"/>
  </r>
  <r>
    <x v="7"/>
    <x v="7"/>
    <x v="37"/>
    <n v="3522.8"/>
    <n v="41"/>
    <x v="9"/>
    <s v="Basin"/>
    <x v="77"/>
    <n v="54"/>
    <x v="0"/>
    <n v="249978"/>
    <x v="0"/>
  </r>
  <r>
    <x v="8"/>
    <x v="7"/>
    <x v="38"/>
    <n v="3522.8"/>
    <n v="41"/>
    <x v="9"/>
    <s v="Basin"/>
    <x v="78"/>
    <n v="54.5"/>
    <x v="0"/>
    <n v="637"/>
    <x v="0"/>
  </r>
  <r>
    <x v="9"/>
    <x v="7"/>
    <x v="39"/>
    <n v="3729.8"/>
    <n v="41"/>
    <x v="9"/>
    <s v="Basin"/>
    <x v="79"/>
    <n v="56.6"/>
    <x v="0"/>
    <n v="43311"/>
    <x v="0"/>
  </r>
  <r>
    <x v="10"/>
    <x v="7"/>
    <x v="40"/>
    <n v="3729.8"/>
    <n v="42"/>
    <x v="10"/>
    <s v="Basin"/>
    <x v="80"/>
    <n v="55.5"/>
    <x v="12"/>
    <n v="24848"/>
    <x v="0"/>
  </r>
  <r>
    <x v="11"/>
    <x v="7"/>
    <x v="41"/>
    <n v="3729.8"/>
    <n v="42"/>
    <x v="10"/>
    <s v="Basin"/>
    <x v="81"/>
    <n v="58.5"/>
    <x v="12"/>
    <n v="761"/>
    <x v="0"/>
  </r>
  <r>
    <x v="12"/>
    <x v="7"/>
    <x v="42"/>
    <n v="2746.2"/>
    <n v="42"/>
    <x v="10"/>
    <s v="Basin"/>
    <x v="82"/>
    <n v="59.5"/>
    <x v="12"/>
    <n v="45608"/>
    <x v="0"/>
  </r>
  <r>
    <x v="13"/>
    <x v="7"/>
    <x v="43"/>
    <n v="2746.2"/>
    <n v="43"/>
    <x v="10"/>
    <s v="Basin"/>
    <x v="83"/>
    <n v="55"/>
    <x v="12"/>
    <n v="234581"/>
    <x v="0"/>
  </r>
  <r>
    <x v="14"/>
    <x v="7"/>
    <x v="44"/>
    <n v="2746.2"/>
    <n v="43"/>
    <x v="10"/>
    <s v="Basin"/>
    <x v="84"/>
    <n v="53"/>
    <x v="12"/>
    <n v="646"/>
    <x v="0"/>
  </r>
  <r>
    <x v="1"/>
    <x v="7"/>
    <x v="45"/>
    <n v="3360"/>
    <n v="27"/>
    <x v="10"/>
    <s v="Spray"/>
    <x v="85"/>
    <n v="53.5"/>
    <x v="0"/>
    <n v="43562"/>
    <x v="0"/>
  </r>
  <r>
    <x v="2"/>
    <x v="7"/>
    <x v="46"/>
    <n v="3360"/>
    <n v="27"/>
    <x v="10"/>
    <s v="Spray"/>
    <x v="86"/>
    <n v="52.5"/>
    <x v="0"/>
    <n v="200000"/>
    <x v="0"/>
  </r>
  <r>
    <x v="3"/>
    <x v="7"/>
    <x v="47"/>
    <n v="3360"/>
    <n v="27"/>
    <x v="10"/>
    <s v="Spray"/>
    <x v="87"/>
    <n v="56"/>
    <x v="0"/>
    <n v="4847"/>
    <x v="0"/>
  </r>
  <r>
    <x v="4"/>
    <x v="7"/>
    <x v="48"/>
    <n v="3605.4"/>
    <n v="27"/>
    <x v="10"/>
    <s v="Spray"/>
    <x v="88"/>
    <n v="57"/>
    <x v="0"/>
    <n v="51239"/>
    <x v="0"/>
  </r>
  <r>
    <x v="5"/>
    <x v="7"/>
    <x v="49"/>
    <n v="3605.4"/>
    <n v="27"/>
    <x v="10"/>
    <s v="Spray"/>
    <x v="89"/>
    <n v="57.5"/>
    <x v="0"/>
    <n v="216396"/>
    <x v="0"/>
  </r>
  <r>
    <x v="6"/>
    <x v="7"/>
    <x v="50"/>
    <n v="3605.4"/>
    <n v="27"/>
    <x v="10"/>
    <s v="Spray"/>
    <x v="90"/>
    <n v="57"/>
    <x v="0"/>
    <n v="2644"/>
    <x v="0"/>
  </r>
  <r>
    <x v="1"/>
    <x v="7"/>
    <x v="51"/>
    <n v="3512.4"/>
    <n v="27.2"/>
    <x v="10"/>
    <s v="Spray"/>
    <x v="91"/>
    <n v="55"/>
    <x v="0"/>
    <n v="44235"/>
    <x v="0"/>
  </r>
  <r>
    <x v="2"/>
    <x v="7"/>
    <x v="52"/>
    <n v="3512.4"/>
    <n v="27.2"/>
    <x v="10"/>
    <s v="Spray"/>
    <x v="92"/>
    <n v="56"/>
    <x v="0"/>
    <n v="203317"/>
    <x v="0"/>
  </r>
  <r>
    <x v="3"/>
    <x v="7"/>
    <x v="53"/>
    <n v="3512.4"/>
    <n v="27.2"/>
    <x v="10"/>
    <s v="Spray"/>
    <x v="93"/>
    <n v="54"/>
    <x v="0"/>
    <n v="2134"/>
    <x v="0"/>
  </r>
  <r>
    <x v="4"/>
    <x v="7"/>
    <x v="54"/>
    <n v="3296"/>
    <n v="27"/>
    <x v="10"/>
    <s v="Spray"/>
    <x v="94"/>
    <n v="58"/>
    <x v="0"/>
    <n v="45186"/>
    <x v="0"/>
  </r>
  <r>
    <x v="5"/>
    <x v="7"/>
    <x v="55"/>
    <n v="3296"/>
    <n v="27"/>
    <x v="10"/>
    <s v="Spray"/>
    <x v="95"/>
    <n v="58"/>
    <x v="0"/>
    <n v="238542"/>
    <x v="0"/>
  </r>
  <r>
    <x v="6"/>
    <x v="7"/>
    <x v="56"/>
    <n v="3296"/>
    <n v="27"/>
    <x v="10"/>
    <s v="Spray"/>
    <x v="96"/>
    <n v="59"/>
    <x v="0"/>
    <n v="1516"/>
    <x v="0"/>
  </r>
  <r>
    <x v="0"/>
    <x v="7"/>
    <x v="57"/>
    <n v="3550"/>
    <n v="27"/>
    <x v="10"/>
    <s v="Spray"/>
    <x v="97"/>
    <n v="50"/>
    <x v="0"/>
    <n v="57259"/>
    <x v="0"/>
  </r>
  <r>
    <x v="7"/>
    <x v="7"/>
    <x v="58"/>
    <n v="3550"/>
    <n v="27"/>
    <x v="10"/>
    <s v="Spray"/>
    <x v="98"/>
    <n v="54"/>
    <x v="0"/>
    <n v="234779"/>
    <x v="0"/>
  </r>
  <r>
    <x v="8"/>
    <x v="7"/>
    <x v="59"/>
    <n v="3550"/>
    <n v="27"/>
    <x v="10"/>
    <s v="Spray"/>
    <x v="99"/>
    <n v="53"/>
    <x v="0"/>
    <n v="1493"/>
    <x v="0"/>
  </r>
  <r>
    <x v="9"/>
    <x v="7"/>
    <x v="60"/>
    <n v="3654"/>
    <n v="27.2"/>
    <x v="10"/>
    <s v="Spray"/>
    <x v="100"/>
    <n v="52"/>
    <x v="0"/>
    <n v="64409"/>
    <x v="0"/>
  </r>
  <r>
    <x v="10"/>
    <x v="7"/>
    <x v="61"/>
    <n v="3654"/>
    <n v="27.2"/>
    <x v="10"/>
    <s v="Spray"/>
    <x v="101"/>
    <n v="51"/>
    <x v="0"/>
    <n v="249978"/>
    <x v="0"/>
  </r>
  <r>
    <x v="11"/>
    <x v="7"/>
    <x v="62"/>
    <n v="3654"/>
    <n v="27.2"/>
    <x v="10"/>
    <s v="Spray"/>
    <x v="102"/>
    <n v="57"/>
    <x v="0"/>
    <n v="637"/>
    <x v="0"/>
  </r>
  <r>
    <x v="12"/>
    <x v="7"/>
    <x v="63"/>
    <n v="233"/>
    <n v="27.1"/>
    <x v="10"/>
    <s v="Spray"/>
    <x v="102"/>
    <n v="57"/>
    <x v="0"/>
    <n v="43311"/>
    <x v="0"/>
  </r>
  <r>
    <x v="13"/>
    <x v="7"/>
    <x v="64"/>
    <n v="233"/>
    <n v="27.1"/>
    <x v="10"/>
    <s v="Spray"/>
    <x v="103"/>
    <n v="60"/>
    <x v="0"/>
    <n v="24848"/>
    <x v="0"/>
  </r>
  <r>
    <x v="14"/>
    <x v="2"/>
    <x v="65"/>
    <n v="233"/>
    <n v="27.1"/>
    <x v="10"/>
    <s v="Spray"/>
    <x v="104"/>
    <n v="57"/>
    <x v="0"/>
    <n v="761"/>
    <x v="0"/>
  </r>
  <r>
    <x v="1"/>
    <x v="2"/>
    <x v="62"/>
    <n v="234"/>
    <n v="26.8"/>
    <x v="10"/>
    <s v="Spray"/>
    <x v="105"/>
    <n v="57"/>
    <x v="0"/>
    <n v="45608"/>
    <x v="0"/>
  </r>
  <r>
    <x v="2"/>
    <x v="2"/>
    <x v="66"/>
    <n v="234"/>
    <n v="26.8"/>
    <x v="10"/>
    <s v="Spray"/>
    <x v="106"/>
    <n v="54"/>
    <x v="0"/>
    <n v="234581"/>
    <x v="0"/>
  </r>
  <r>
    <x v="3"/>
    <x v="2"/>
    <x v="67"/>
    <n v="234"/>
    <n v="26.8"/>
    <x v="10"/>
    <s v="Spray"/>
    <x v="107"/>
    <n v="54.5"/>
    <x v="0"/>
    <n v="646"/>
    <x v="0"/>
  </r>
  <r>
    <x v="4"/>
    <x v="2"/>
    <x v="68"/>
    <n v="3105"/>
    <n v="37"/>
    <x v="10"/>
    <s v="Spray"/>
    <x v="108"/>
    <n v="56.6"/>
    <x v="0"/>
    <n v="43562"/>
    <x v="0"/>
  </r>
  <r>
    <x v="5"/>
    <x v="2"/>
    <x v="67"/>
    <n v="3105"/>
    <n v="37"/>
    <x v="10"/>
    <s v="Spray"/>
    <x v="109"/>
    <n v="55.5"/>
    <x v="0"/>
    <n v="200000"/>
    <x v="0"/>
  </r>
  <r>
    <x v="6"/>
    <x v="2"/>
    <x v="69"/>
    <n v="3105"/>
    <n v="37"/>
    <x v="10"/>
    <s v="Spray"/>
    <x v="110"/>
    <n v="58.5"/>
    <x v="0"/>
    <n v="4847"/>
    <x v="0"/>
  </r>
  <r>
    <x v="3"/>
    <x v="2"/>
    <x v="70"/>
    <n v="236"/>
    <n v="38"/>
    <x v="10"/>
    <s v="Spray"/>
    <x v="111"/>
    <n v="59.5"/>
    <x v="0"/>
    <n v="51239"/>
    <x v="0"/>
  </r>
  <r>
    <x v="4"/>
    <x v="2"/>
    <x v="71"/>
    <n v="236"/>
    <n v="38"/>
    <x v="10"/>
    <s v="Spray"/>
    <x v="112"/>
    <n v="55"/>
    <x v="0"/>
    <n v="216396"/>
    <x v="0"/>
  </r>
  <r>
    <x v="5"/>
    <x v="2"/>
    <x v="64"/>
    <n v="2903.1"/>
    <n v="38"/>
    <x v="11"/>
    <s v="Spray"/>
    <x v="113"/>
    <n v="53"/>
    <x v="0"/>
    <n v="2644"/>
    <x v="0"/>
  </r>
  <r>
    <x v="6"/>
    <x v="2"/>
    <x v="63"/>
    <n v="2903.1"/>
    <n v="39"/>
    <x v="11"/>
    <s v="Spray"/>
    <x v="114"/>
    <n v="53.5"/>
    <x v="0"/>
    <n v="44235"/>
    <x v="0"/>
  </r>
  <r>
    <x v="1"/>
    <x v="2"/>
    <x v="72"/>
    <n v="2903.1"/>
    <n v="39"/>
    <x v="11"/>
    <s v="Spray"/>
    <x v="115"/>
    <n v="52.5"/>
    <x v="0"/>
    <n v="203317"/>
    <x v="0"/>
  </r>
  <r>
    <x v="2"/>
    <x v="2"/>
    <x v="73"/>
    <n v="2996.6"/>
    <n v="39"/>
    <x v="11"/>
    <s v="Spray"/>
    <x v="116"/>
    <n v="56"/>
    <x v="0"/>
    <n v="2134"/>
    <x v="0"/>
  </r>
  <r>
    <x v="3"/>
    <x v="2"/>
    <x v="60"/>
    <n v="2996.6"/>
    <n v="41"/>
    <x v="11"/>
    <s v="Spray"/>
    <x v="117"/>
    <n v="57"/>
    <x v="0"/>
    <n v="45186"/>
    <x v="0"/>
  </r>
  <r>
    <x v="4"/>
    <x v="2"/>
    <x v="74"/>
    <n v="2996.6"/>
    <n v="42"/>
    <x v="11"/>
    <s v="Spray"/>
    <x v="118"/>
    <n v="57.5"/>
    <x v="0"/>
    <n v="238542"/>
    <x v="0"/>
  </r>
  <r>
    <x v="5"/>
    <x v="2"/>
    <x v="75"/>
    <n v="3522.8"/>
    <n v="42"/>
    <x v="11"/>
    <s v="Spray"/>
    <x v="119"/>
    <n v="57"/>
    <x v="0"/>
    <n v="1516"/>
    <x v="0"/>
  </r>
  <r>
    <x v="6"/>
    <x v="2"/>
    <x v="76"/>
    <n v="3522.8"/>
    <n v="42"/>
    <x v="11"/>
    <s v="Spray"/>
    <x v="120"/>
    <n v="55"/>
    <x v="0"/>
    <n v="200000"/>
    <x v="0"/>
  </r>
  <r>
    <x v="0"/>
    <x v="2"/>
    <x v="77"/>
    <n v="3522.8"/>
    <n v="43"/>
    <x v="11"/>
    <s v="Spray"/>
    <x v="121"/>
    <n v="56"/>
    <x v="0"/>
    <n v="4847"/>
    <x v="0"/>
  </r>
  <r>
    <x v="7"/>
    <x v="2"/>
    <x v="78"/>
    <n v="3729.8"/>
    <n v="43"/>
    <x v="11"/>
    <s v="Spray"/>
    <x v="122"/>
    <n v="54"/>
    <x v="0"/>
    <n v="51239"/>
    <x v="0"/>
  </r>
  <r>
    <x v="8"/>
    <x v="2"/>
    <x v="79"/>
    <n v="3729.8"/>
    <n v="128"/>
    <x v="11"/>
    <s v="Spray"/>
    <x v="105"/>
    <n v="58"/>
    <x v="0"/>
    <n v="216396"/>
    <x v="0"/>
  </r>
  <r>
    <x v="9"/>
    <x v="2"/>
    <x v="80"/>
    <n v="3729.8"/>
    <n v="129"/>
    <x v="11"/>
    <s v="Spray"/>
    <x v="123"/>
    <n v="58"/>
    <x v="0"/>
    <n v="2644"/>
    <x v="0"/>
  </r>
  <r>
    <x v="10"/>
    <x v="2"/>
    <x v="81"/>
    <n v="2746.2"/>
    <n v="130"/>
    <x v="11"/>
    <s v="Spray"/>
    <x v="124"/>
    <n v="59"/>
    <x v="0"/>
    <n v="44235"/>
    <x v="0"/>
  </r>
  <r>
    <x v="11"/>
    <x v="2"/>
    <x v="82"/>
    <n v="2746.2"/>
    <n v="131"/>
    <x v="11"/>
    <s v="Spray"/>
    <x v="125"/>
    <n v="50"/>
    <x v="0"/>
    <n v="203317"/>
    <x v="0"/>
  </r>
  <r>
    <x v="12"/>
    <x v="2"/>
    <x v="83"/>
    <n v="2746.2"/>
    <n v="132"/>
    <x v="11"/>
    <s v="Spray"/>
    <x v="126"/>
    <n v="54"/>
    <x v="0"/>
    <n v="2134"/>
    <x v="0"/>
  </r>
  <r>
    <x v="13"/>
    <x v="2"/>
    <x v="84"/>
    <n v="3360"/>
    <n v="133"/>
    <x v="11"/>
    <s v="Drip"/>
    <x v="127"/>
    <n v="53"/>
    <x v="1"/>
    <n v="45186"/>
    <x v="0"/>
  </r>
  <r>
    <x v="14"/>
    <x v="2"/>
    <x v="85"/>
    <n v="3360"/>
    <n v="134"/>
    <x v="11"/>
    <s v="Drip"/>
    <x v="128"/>
    <n v="52"/>
    <x v="1"/>
    <n v="238542"/>
    <x v="0"/>
  </r>
  <r>
    <x v="1"/>
    <x v="2"/>
    <x v="86"/>
    <n v="3360"/>
    <n v="135"/>
    <x v="11"/>
    <s v="Drip"/>
    <x v="66"/>
    <n v="51"/>
    <x v="1"/>
    <n v="1516"/>
    <x v="0"/>
  </r>
  <r>
    <x v="2"/>
    <x v="2"/>
    <x v="87"/>
    <n v="3605.4"/>
    <n v="136"/>
    <x v="11"/>
    <s v="Drip"/>
    <x v="129"/>
    <n v="57"/>
    <x v="1"/>
    <n v="57259"/>
    <x v="0"/>
  </r>
  <r>
    <x v="3"/>
    <x v="2"/>
    <x v="88"/>
    <n v="3605.4"/>
    <n v="137"/>
    <x v="12"/>
    <s v="Drip"/>
    <x v="130"/>
    <n v="57"/>
    <x v="1"/>
    <n v="234779"/>
    <x v="0"/>
  </r>
  <r>
    <x v="4"/>
    <x v="2"/>
    <x v="89"/>
    <n v="3605.4"/>
    <n v="138"/>
    <x v="12"/>
    <s v="Drip"/>
    <x v="131"/>
    <n v="60"/>
    <x v="1"/>
    <n v="1493"/>
    <x v="0"/>
  </r>
  <r>
    <x v="5"/>
    <x v="3"/>
    <x v="90"/>
    <n v="3512.4"/>
    <n v="139"/>
    <x v="12"/>
    <s v="Drip"/>
    <x v="132"/>
    <n v="57"/>
    <x v="2"/>
    <n v="64409"/>
    <x v="0"/>
  </r>
  <r>
    <x v="4"/>
    <x v="3"/>
    <x v="91"/>
    <n v="3512.4"/>
    <n v="140"/>
    <x v="12"/>
    <s v="Drip"/>
    <x v="124"/>
    <n v="57"/>
    <x v="2"/>
    <n v="249978"/>
    <x v="0"/>
  </r>
  <r>
    <x v="5"/>
    <x v="3"/>
    <x v="92"/>
    <n v="3512.4"/>
    <n v="141"/>
    <x v="12"/>
    <s v="Drip"/>
    <x v="133"/>
    <n v="54"/>
    <x v="2"/>
    <n v="637"/>
    <x v="0"/>
  </r>
  <r>
    <x v="6"/>
    <x v="3"/>
    <x v="64"/>
    <n v="3296"/>
    <n v="142"/>
    <x v="12"/>
    <s v="Drip"/>
    <x v="134"/>
    <n v="54.5"/>
    <x v="2"/>
    <n v="43311"/>
    <x v="0"/>
  </r>
  <r>
    <x v="1"/>
    <x v="3"/>
    <x v="93"/>
    <n v="3296"/>
    <n v="143"/>
    <x v="12"/>
    <s v="Drip"/>
    <x v="135"/>
    <n v="56.6"/>
    <x v="2"/>
    <n v="24848"/>
    <x v="0"/>
  </r>
  <r>
    <x v="2"/>
    <x v="3"/>
    <x v="94"/>
    <n v="3296"/>
    <n v="144"/>
    <x v="12"/>
    <s v="Drip"/>
    <x v="136"/>
    <n v="55.5"/>
    <x v="2"/>
    <n v="761"/>
    <x v="0"/>
  </r>
  <r>
    <x v="3"/>
    <x v="3"/>
    <x v="95"/>
    <n v="3550"/>
    <n v="145"/>
    <x v="12"/>
    <s v="Drip"/>
    <x v="137"/>
    <n v="58.5"/>
    <x v="2"/>
    <n v="45608"/>
    <x v="0"/>
  </r>
  <r>
    <x v="4"/>
    <x v="3"/>
    <x v="96"/>
    <n v="3550"/>
    <n v="146"/>
    <x v="12"/>
    <s v="Drip"/>
    <x v="138"/>
    <n v="59.5"/>
    <x v="2"/>
    <n v="234581"/>
    <x v="0"/>
  </r>
  <r>
    <x v="5"/>
    <x v="3"/>
    <x v="97"/>
    <n v="3550"/>
    <n v="147"/>
    <x v="12"/>
    <s v="Drip"/>
    <x v="139"/>
    <n v="55"/>
    <x v="2"/>
    <n v="646"/>
    <x v="0"/>
  </r>
  <r>
    <x v="6"/>
    <x v="3"/>
    <x v="98"/>
    <n v="3654"/>
    <n v="148"/>
    <x v="3"/>
    <s v="Drip"/>
    <x v="140"/>
    <n v="53"/>
    <x v="2"/>
    <n v="43562"/>
    <x v="0"/>
  </r>
  <r>
    <x v="0"/>
    <x v="3"/>
    <x v="99"/>
    <n v="3654"/>
    <n v="149"/>
    <x v="3"/>
    <s v="Drip"/>
    <x v="141"/>
    <n v="53.5"/>
    <x v="2"/>
    <n v="200000"/>
    <x v="0"/>
  </r>
  <r>
    <x v="7"/>
    <x v="3"/>
    <x v="100"/>
    <n v="3654"/>
    <n v="150"/>
    <x v="3"/>
    <s v="Drip"/>
    <x v="142"/>
    <n v="52.5"/>
    <x v="2"/>
    <n v="4847"/>
    <x v="0"/>
  </r>
  <r>
    <x v="8"/>
    <x v="3"/>
    <x v="101"/>
    <n v="233"/>
    <n v="151"/>
    <x v="3"/>
    <s v="Drip"/>
    <x v="143"/>
    <n v="56"/>
    <x v="2"/>
    <n v="51239"/>
    <x v="0"/>
  </r>
  <r>
    <x v="9"/>
    <x v="3"/>
    <x v="102"/>
    <n v="233"/>
    <n v="152"/>
    <x v="3"/>
    <s v="Drip"/>
    <x v="144"/>
    <n v="57"/>
    <x v="2"/>
    <n v="216396"/>
    <x v="0"/>
  </r>
  <r>
    <x v="10"/>
    <x v="3"/>
    <x v="103"/>
    <n v="233"/>
    <n v="153"/>
    <x v="3"/>
    <s v="Drip"/>
    <x v="145"/>
    <n v="57.5"/>
    <x v="2"/>
    <n v="2644"/>
    <x v="0"/>
  </r>
  <r>
    <x v="11"/>
    <x v="3"/>
    <x v="104"/>
    <n v="2903.1"/>
    <n v="154"/>
    <x v="3"/>
    <s v="Drip"/>
    <x v="146"/>
    <n v="57"/>
    <x v="3"/>
    <n v="44235"/>
    <x v="0"/>
  </r>
  <r>
    <x v="12"/>
    <x v="3"/>
    <x v="105"/>
    <n v="2903.1"/>
    <n v="155"/>
    <x v="3"/>
    <s v="Drip"/>
    <x v="147"/>
    <n v="55"/>
    <x v="3"/>
    <n v="203317"/>
    <x v="0"/>
  </r>
  <r>
    <x v="13"/>
    <x v="3"/>
    <x v="106"/>
    <n v="2903.1"/>
    <n v="156"/>
    <x v="3"/>
    <s v="Drip"/>
    <x v="148"/>
    <n v="56"/>
    <x v="3"/>
    <n v="2134"/>
    <x v="0"/>
  </r>
  <r>
    <x v="14"/>
    <x v="3"/>
    <x v="107"/>
    <n v="2996.6"/>
    <n v="157"/>
    <x v="3"/>
    <s v="Drip"/>
    <x v="149"/>
    <n v="54"/>
    <x v="3"/>
    <n v="45186"/>
    <x v="0"/>
  </r>
  <r>
    <x v="1"/>
    <x v="3"/>
    <x v="108"/>
    <n v="2996.6"/>
    <n v="158"/>
    <x v="4"/>
    <s v="Drip"/>
    <x v="150"/>
    <n v="58"/>
    <x v="3"/>
    <n v="238542"/>
    <x v="0"/>
  </r>
  <r>
    <x v="2"/>
    <x v="3"/>
    <x v="109"/>
    <n v="2996.6"/>
    <n v="159"/>
    <x v="4"/>
    <s v="Drip"/>
    <x v="151"/>
    <n v="58"/>
    <x v="3"/>
    <n v="1516"/>
    <x v="0"/>
  </r>
  <r>
    <x v="3"/>
    <x v="3"/>
    <x v="110"/>
    <n v="3522.8"/>
    <n v="160"/>
    <x v="4"/>
    <s v="Drip"/>
    <x v="152"/>
    <n v="59"/>
    <x v="3"/>
    <n v="57259"/>
    <x v="0"/>
  </r>
  <r>
    <x v="4"/>
    <x v="3"/>
    <x v="111"/>
    <n v="3522.8"/>
    <n v="161"/>
    <x v="4"/>
    <s v="Drip"/>
    <x v="153"/>
    <n v="50"/>
    <x v="3"/>
    <n v="234779"/>
    <x v="0"/>
  </r>
  <r>
    <x v="5"/>
    <x v="3"/>
    <x v="112"/>
    <n v="3522.8"/>
    <n v="162"/>
    <x v="4"/>
    <s v="Drip"/>
    <x v="154"/>
    <n v="54"/>
    <x v="3"/>
    <n v="1493"/>
    <x v="0"/>
  </r>
  <r>
    <x v="4"/>
    <x v="3"/>
    <x v="113"/>
    <n v="3729.8"/>
    <n v="163"/>
    <x v="4"/>
    <s v="Drip"/>
    <x v="155"/>
    <n v="53"/>
    <x v="3"/>
    <n v="64409"/>
    <x v="0"/>
  </r>
  <r>
    <x v="5"/>
    <x v="3"/>
    <x v="114"/>
    <n v="3729.8"/>
    <n v="164"/>
    <x v="4"/>
    <s v="Drip"/>
    <x v="156"/>
    <n v="52"/>
    <x v="3"/>
    <n v="249978"/>
    <x v="0"/>
  </r>
  <r>
    <x v="4"/>
    <x v="3"/>
    <x v="115"/>
    <n v="3729.8"/>
    <n v="165"/>
    <x v="4"/>
    <s v="Drip"/>
    <x v="157"/>
    <n v="51"/>
    <x v="3"/>
    <n v="637"/>
    <x v="0"/>
  </r>
  <r>
    <x v="5"/>
    <x v="3"/>
    <x v="116"/>
    <n v="2746.2"/>
    <n v="166"/>
    <x v="4"/>
    <s v="Drip"/>
    <x v="158"/>
    <n v="57"/>
    <x v="3"/>
    <n v="43311"/>
    <x v="0"/>
  </r>
  <r>
    <x v="6"/>
    <x v="3"/>
    <x v="117"/>
    <n v="2746.2"/>
    <n v="167"/>
    <x v="4"/>
    <s v="Drip"/>
    <x v="159"/>
    <n v="57"/>
    <x v="3"/>
    <n v="24848"/>
    <x v="0"/>
  </r>
  <r>
    <x v="1"/>
    <x v="3"/>
    <x v="118"/>
    <n v="2746.2"/>
    <n v="168"/>
    <x v="4"/>
    <s v="Drip"/>
    <x v="160"/>
    <n v="60"/>
    <x v="3"/>
    <n v="761"/>
    <x v="0"/>
  </r>
  <r>
    <x v="2"/>
    <x v="4"/>
    <x v="119"/>
    <n v="3360"/>
    <n v="169"/>
    <x v="4"/>
    <s v="Drip"/>
    <x v="161"/>
    <n v="57"/>
    <x v="12"/>
    <n v="45608"/>
    <x v="0"/>
  </r>
  <r>
    <x v="3"/>
    <x v="4"/>
    <x v="120"/>
    <n v="3360"/>
    <n v="170"/>
    <x v="4"/>
    <s v="Drip"/>
    <x v="131"/>
    <n v="57"/>
    <x v="12"/>
    <n v="234581"/>
    <x v="0"/>
  </r>
  <r>
    <x v="4"/>
    <x v="4"/>
    <x v="12"/>
    <n v="3360"/>
    <n v="171"/>
    <x v="4"/>
    <s v="Drip"/>
    <x v="132"/>
    <n v="54"/>
    <x v="12"/>
    <n v="646"/>
    <x v="0"/>
  </r>
  <r>
    <x v="5"/>
    <x v="4"/>
    <x v="121"/>
    <n v="3605.4"/>
    <n v="172"/>
    <x v="4"/>
    <s v="Drip"/>
    <x v="124"/>
    <n v="54.5"/>
    <x v="12"/>
    <n v="43562"/>
    <x v="0"/>
  </r>
  <r>
    <x v="6"/>
    <x v="4"/>
    <x v="122"/>
    <n v="3605.4"/>
    <n v="173"/>
    <x v="4"/>
    <s v="Drip"/>
    <x v="133"/>
    <n v="56.6"/>
    <x v="4"/>
    <n v="200000"/>
    <x v="0"/>
  </r>
  <r>
    <x v="0"/>
    <x v="4"/>
    <x v="123"/>
    <n v="3605.4"/>
    <n v="174"/>
    <x v="4"/>
    <s v="Drip"/>
    <x v="134"/>
    <n v="55.5"/>
    <x v="4"/>
    <n v="4847"/>
    <x v="0"/>
  </r>
  <r>
    <x v="7"/>
    <x v="4"/>
    <x v="9"/>
    <n v="3512.4"/>
    <n v="175"/>
    <x v="4"/>
    <s v="Drip"/>
    <x v="135"/>
    <n v="58.5"/>
    <x v="4"/>
    <n v="51239"/>
    <x v="0"/>
  </r>
  <r>
    <x v="8"/>
    <x v="4"/>
    <x v="124"/>
    <n v="3512.4"/>
    <n v="176"/>
    <x v="4"/>
    <s v="Drip"/>
    <x v="136"/>
    <n v="59.5"/>
    <x v="4"/>
    <n v="216396"/>
    <x v="0"/>
  </r>
  <r>
    <x v="9"/>
    <x v="4"/>
    <x v="125"/>
    <n v="3512.4"/>
    <n v="177"/>
    <x v="4"/>
    <s v="Basin"/>
    <x v="137"/>
    <n v="55"/>
    <x v="4"/>
    <n v="2644"/>
    <x v="0"/>
  </r>
  <r>
    <x v="10"/>
    <x v="4"/>
    <x v="126"/>
    <n v="3296"/>
    <n v="178"/>
    <x v="4"/>
    <s v="Basin"/>
    <x v="138"/>
    <n v="53"/>
    <x v="4"/>
    <n v="44235"/>
    <x v="0"/>
  </r>
  <r>
    <x v="11"/>
    <x v="4"/>
    <x v="127"/>
    <n v="3296"/>
    <n v="179"/>
    <x v="4"/>
    <s v="Basin"/>
    <x v="139"/>
    <n v="53.5"/>
    <x v="4"/>
    <n v="203317"/>
    <x v="0"/>
  </r>
  <r>
    <x v="12"/>
    <x v="4"/>
    <x v="128"/>
    <n v="3296"/>
    <n v="180"/>
    <x v="4"/>
    <s v="Basin"/>
    <x v="140"/>
    <n v="52.5"/>
    <x v="4"/>
    <n v="2134"/>
    <x v="0"/>
  </r>
  <r>
    <x v="13"/>
    <x v="4"/>
    <x v="129"/>
    <n v="3550"/>
    <n v="181"/>
    <x v="4"/>
    <s v="Basin"/>
    <x v="141"/>
    <n v="56"/>
    <x v="4"/>
    <n v="45186"/>
    <x v="0"/>
  </r>
  <r>
    <x v="14"/>
    <x v="4"/>
    <x v="130"/>
    <n v="3550"/>
    <n v="182"/>
    <x v="4"/>
    <s v="Basin"/>
    <x v="142"/>
    <n v="57"/>
    <x v="4"/>
    <n v="238542"/>
    <x v="0"/>
  </r>
  <r>
    <x v="1"/>
    <x v="4"/>
    <x v="131"/>
    <n v="3550"/>
    <n v="183"/>
    <x v="4"/>
    <s v="Basin"/>
    <x v="143"/>
    <n v="57.5"/>
    <x v="4"/>
    <n v="1516"/>
    <x v="0"/>
  </r>
  <r>
    <x v="2"/>
    <x v="4"/>
    <x v="132"/>
    <n v="3654"/>
    <n v="184"/>
    <x v="12"/>
    <s v="Basin"/>
    <x v="144"/>
    <n v="57"/>
    <x v="5"/>
    <n v="200000"/>
    <x v="0"/>
  </r>
  <r>
    <x v="3"/>
    <x v="4"/>
    <x v="133"/>
    <n v="3654"/>
    <n v="185"/>
    <x v="12"/>
    <s v="Basin"/>
    <x v="145"/>
    <n v="55"/>
    <x v="5"/>
    <n v="4847"/>
    <x v="0"/>
  </r>
  <r>
    <x v="4"/>
    <x v="4"/>
    <x v="134"/>
    <n v="3654"/>
    <n v="186"/>
    <x v="12"/>
    <s v="Basin"/>
    <x v="146"/>
    <n v="56"/>
    <x v="5"/>
    <n v="51239"/>
    <x v="0"/>
  </r>
  <r>
    <x v="5"/>
    <x v="4"/>
    <x v="135"/>
    <n v="233"/>
    <n v="187"/>
    <x v="12"/>
    <s v="Basin"/>
    <x v="147"/>
    <n v="54"/>
    <x v="5"/>
    <n v="216396"/>
    <x v="0"/>
  </r>
  <r>
    <x v="5"/>
    <x v="4"/>
    <x v="136"/>
    <n v="233"/>
    <n v="188"/>
    <x v="12"/>
    <s v="Basin"/>
    <x v="148"/>
    <n v="58"/>
    <x v="5"/>
    <n v="2644"/>
    <x v="0"/>
  </r>
  <r>
    <x v="4"/>
    <x v="4"/>
    <x v="137"/>
    <n v="233"/>
    <n v="189"/>
    <x v="12"/>
    <s v="Basin"/>
    <x v="149"/>
    <n v="58"/>
    <x v="5"/>
    <n v="44235"/>
    <x v="0"/>
  </r>
  <r>
    <x v="5"/>
    <x v="4"/>
    <x v="138"/>
    <n v="234"/>
    <n v="190"/>
    <x v="12"/>
    <s v="Basin"/>
    <x v="150"/>
    <n v="59"/>
    <x v="5"/>
    <n v="203317"/>
    <x v="0"/>
  </r>
  <r>
    <x v="6"/>
    <x v="4"/>
    <x v="139"/>
    <n v="234"/>
    <n v="191"/>
    <x v="12"/>
    <s v="Basin"/>
    <x v="151"/>
    <n v="50"/>
    <x v="5"/>
    <n v="2134"/>
    <x v="0"/>
  </r>
  <r>
    <x v="1"/>
    <x v="4"/>
    <x v="140"/>
    <n v="234"/>
    <n v="192"/>
    <x v="12"/>
    <s v="Basin"/>
    <x v="152"/>
    <n v="54"/>
    <x v="5"/>
    <n v="45186"/>
    <x v="0"/>
  </r>
  <r>
    <x v="2"/>
    <x v="4"/>
    <x v="141"/>
    <n v="3105"/>
    <n v="193"/>
    <x v="12"/>
    <s v="Basin"/>
    <x v="153"/>
    <n v="53"/>
    <x v="5"/>
    <n v="238542"/>
    <x v="0"/>
  </r>
  <r>
    <x v="3"/>
    <x v="4"/>
    <x v="142"/>
    <n v="3105"/>
    <n v="194"/>
    <x v="12"/>
    <s v="Basin"/>
    <x v="154"/>
    <n v="52"/>
    <x v="5"/>
    <n v="1516"/>
    <x v="0"/>
  </r>
  <r>
    <x v="4"/>
    <x v="4"/>
    <x v="143"/>
    <n v="3105"/>
    <n v="195"/>
    <x v="12"/>
    <s v="Basin"/>
    <x v="155"/>
    <n v="51"/>
    <x v="5"/>
    <n v="57259"/>
    <x v="0"/>
  </r>
  <r>
    <x v="5"/>
    <x v="4"/>
    <x v="144"/>
    <n v="236"/>
    <n v="196"/>
    <x v="12"/>
    <s v="Basin"/>
    <x v="156"/>
    <n v="57"/>
    <x v="5"/>
    <n v="234779"/>
    <x v="0"/>
  </r>
  <r>
    <x v="6"/>
    <x v="4"/>
    <x v="145"/>
    <n v="236"/>
    <n v="197"/>
    <x v="12"/>
    <s v="Basin"/>
    <x v="157"/>
    <n v="57"/>
    <x v="5"/>
    <n v="1493"/>
    <x v="0"/>
  </r>
  <r>
    <x v="0"/>
    <x v="4"/>
    <x v="146"/>
    <n v="2903.1"/>
    <n v="198"/>
    <x v="12"/>
    <s v="Basin"/>
    <x v="158"/>
    <n v="60"/>
    <x v="5"/>
    <n v="64409"/>
    <x v="0"/>
  </r>
  <r>
    <x v="7"/>
    <x v="4"/>
    <x v="147"/>
    <n v="2903.1"/>
    <n v="199"/>
    <x v="12"/>
    <s v="Basin"/>
    <x v="159"/>
    <n v="57"/>
    <x v="6"/>
    <n v="249978"/>
    <x v="0"/>
  </r>
  <r>
    <x v="8"/>
    <x v="4"/>
    <x v="148"/>
    <n v="2903.1"/>
    <n v="200"/>
    <x v="12"/>
    <s v="Basin"/>
    <x v="160"/>
    <n v="57"/>
    <x v="6"/>
    <n v="637"/>
    <x v="0"/>
  </r>
  <r>
    <x v="9"/>
    <x v="4"/>
    <x v="73"/>
    <n v="2996.6"/>
    <n v="201"/>
    <x v="12"/>
    <s v="Basin"/>
    <x v="161"/>
    <n v="54"/>
    <x v="6"/>
    <n v="43311"/>
    <x v="0"/>
  </r>
  <r>
    <x v="10"/>
    <x v="4"/>
    <x v="71"/>
    <n v="2996.6"/>
    <n v="202"/>
    <x v="12"/>
    <s v="Basin"/>
    <x v="131"/>
    <n v="54.5"/>
    <x v="6"/>
    <n v="24848"/>
    <x v="0"/>
  </r>
  <r>
    <x v="11"/>
    <x v="4"/>
    <x v="149"/>
    <n v="2996.6"/>
    <n v="203"/>
    <x v="12"/>
    <s v="Basin"/>
    <x v="132"/>
    <n v="56.6"/>
    <x v="6"/>
    <n v="761"/>
    <x v="0"/>
  </r>
  <r>
    <x v="12"/>
    <x v="4"/>
    <x v="150"/>
    <n v="3522.8"/>
    <n v="204"/>
    <x v="12"/>
    <s v="Basin"/>
    <x v="124"/>
    <n v="55.5"/>
    <x v="6"/>
    <n v="45608"/>
    <x v="0"/>
  </r>
  <r>
    <x v="13"/>
    <x v="4"/>
    <x v="149"/>
    <n v="3522.8"/>
    <n v="205"/>
    <x v="12"/>
    <s v="Basin"/>
    <x v="133"/>
    <n v="58.5"/>
    <x v="6"/>
    <n v="234581"/>
    <x v="0"/>
  </r>
  <r>
    <x v="14"/>
    <x v="5"/>
    <x v="151"/>
    <n v="3522.8"/>
    <n v="206"/>
    <x v="12"/>
    <s v="Basin"/>
    <x v="134"/>
    <n v="59.5"/>
    <x v="6"/>
    <n v="646"/>
    <x v="0"/>
  </r>
  <r>
    <x v="1"/>
    <x v="5"/>
    <x v="152"/>
    <n v="3729.8"/>
    <n v="207"/>
    <x v="12"/>
    <s v="Basin"/>
    <x v="135"/>
    <n v="55"/>
    <x v="6"/>
    <n v="43562"/>
    <x v="0"/>
  </r>
  <r>
    <x v="2"/>
    <x v="5"/>
    <x v="151"/>
    <n v="3729.8"/>
    <n v="208"/>
    <x v="12"/>
    <s v="Basin"/>
    <x v="136"/>
    <n v="53"/>
    <x v="6"/>
    <n v="200000"/>
    <x v="0"/>
  </r>
  <r>
    <x v="3"/>
    <x v="5"/>
    <x v="153"/>
    <n v="3729.8"/>
    <n v="209"/>
    <x v="12"/>
    <s v="Basin"/>
    <x v="137"/>
    <n v="53.5"/>
    <x v="6"/>
    <n v="4847"/>
    <x v="0"/>
  </r>
  <r>
    <x v="4"/>
    <x v="5"/>
    <x v="154"/>
    <n v="2746.2"/>
    <n v="210"/>
    <x v="12"/>
    <s v="Basin"/>
    <x v="138"/>
    <n v="52.5"/>
    <x v="6"/>
    <n v="51239"/>
    <x v="0"/>
  </r>
  <r>
    <x v="5"/>
    <x v="5"/>
    <x v="155"/>
    <n v="2746.2"/>
    <n v="211"/>
    <x v="12"/>
    <s v="Basin"/>
    <x v="139"/>
    <n v="56"/>
    <x v="6"/>
    <n v="216396"/>
    <x v="0"/>
  </r>
  <r>
    <x v="0"/>
    <x v="5"/>
    <x v="5"/>
    <n v="2746.2"/>
    <n v="212"/>
    <x v="12"/>
    <s v="Basin"/>
    <x v="140"/>
    <n v="57"/>
    <x v="6"/>
    <n v="2644"/>
    <x v="0"/>
  </r>
  <r>
    <x v="0"/>
    <x v="5"/>
    <x v="6"/>
    <n v="3360"/>
    <n v="213"/>
    <x v="12"/>
    <s v="Basin"/>
    <x v="141"/>
    <n v="57.5"/>
    <x v="6"/>
    <n v="44235"/>
    <x v="0"/>
  </r>
  <r>
    <x v="0"/>
    <x v="5"/>
    <x v="7"/>
    <n v="3360"/>
    <n v="214"/>
    <x v="13"/>
    <s v="Basin"/>
    <x v="142"/>
    <n v="57"/>
    <x v="7"/>
    <n v="203317"/>
    <x v="0"/>
  </r>
  <r>
    <x v="0"/>
    <x v="5"/>
    <x v="8"/>
    <n v="3360"/>
    <n v="215"/>
    <x v="13"/>
    <s v="Basin"/>
    <x v="143"/>
    <n v="55"/>
    <x v="7"/>
    <n v="2134"/>
    <x v="0"/>
  </r>
  <r>
    <x v="0"/>
    <x v="5"/>
    <x v="9"/>
    <n v="3605.4"/>
    <n v="216"/>
    <x v="13"/>
    <s v="Basin"/>
    <x v="144"/>
    <n v="56"/>
    <x v="7"/>
    <n v="45186"/>
    <x v="0"/>
  </r>
  <r>
    <x v="0"/>
    <x v="5"/>
    <x v="10"/>
    <n v="3605.4"/>
    <n v="217"/>
    <x v="13"/>
    <s v="Basin"/>
    <x v="145"/>
    <n v="54"/>
    <x v="7"/>
    <n v="238542"/>
    <x v="0"/>
  </r>
  <r>
    <x v="0"/>
    <x v="5"/>
    <x v="11"/>
    <n v="3605.4"/>
    <n v="218"/>
    <x v="13"/>
    <s v="Basin"/>
    <x v="146"/>
    <n v="58"/>
    <x v="7"/>
    <n v="1516"/>
    <x v="0"/>
  </r>
  <r>
    <x v="0"/>
    <x v="5"/>
    <x v="12"/>
    <n v="3512.4"/>
    <n v="219"/>
    <x v="13"/>
    <s v="Basin"/>
    <x v="147"/>
    <n v="58"/>
    <x v="7"/>
    <n v="57259"/>
    <x v="0"/>
  </r>
  <r>
    <x v="0"/>
    <x v="5"/>
    <x v="13"/>
    <n v="3512.4"/>
    <n v="220"/>
    <x v="13"/>
    <s v="Spray"/>
    <x v="148"/>
    <n v="59"/>
    <x v="7"/>
    <n v="234779"/>
    <x v="0"/>
  </r>
  <r>
    <x v="0"/>
    <x v="5"/>
    <x v="14"/>
    <n v="3512.4"/>
    <n v="221"/>
    <x v="13"/>
    <s v="Spray"/>
    <x v="149"/>
    <n v="50"/>
    <x v="7"/>
    <n v="1493"/>
    <x v="0"/>
  </r>
  <r>
    <x v="0"/>
    <x v="5"/>
    <x v="15"/>
    <n v="3296"/>
    <n v="222"/>
    <x v="13"/>
    <s v="Spray"/>
    <x v="150"/>
    <n v="54"/>
    <x v="7"/>
    <n v="64409"/>
    <x v="0"/>
  </r>
  <r>
    <x v="0"/>
    <x v="5"/>
    <x v="16"/>
    <n v="3296"/>
    <n v="27"/>
    <x v="13"/>
    <s v="Spray"/>
    <x v="151"/>
    <n v="53"/>
    <x v="7"/>
    <n v="249978"/>
    <x v="0"/>
  </r>
  <r>
    <x v="0"/>
    <x v="5"/>
    <x v="17"/>
    <n v="3296"/>
    <n v="27"/>
    <x v="13"/>
    <s v="Spray"/>
    <x v="152"/>
    <n v="52"/>
    <x v="7"/>
    <n v="637"/>
    <x v="0"/>
  </r>
  <r>
    <x v="0"/>
    <x v="5"/>
    <x v="18"/>
    <n v="3550"/>
    <n v="27"/>
    <x v="13"/>
    <s v="Spray"/>
    <x v="153"/>
    <n v="51"/>
    <x v="7"/>
    <n v="43311"/>
    <x v="0"/>
  </r>
  <r>
    <x v="0"/>
    <x v="5"/>
    <x v="19"/>
    <n v="3550"/>
    <n v="27"/>
    <x v="13"/>
    <s v="Spray"/>
    <x v="154"/>
    <n v="57"/>
    <x v="7"/>
    <n v="24848"/>
    <x v="0"/>
  </r>
  <r>
    <x v="0"/>
    <x v="5"/>
    <x v="20"/>
    <n v="3550"/>
    <n v="27"/>
    <x v="13"/>
    <s v="Spray"/>
    <x v="155"/>
    <n v="57"/>
    <x v="7"/>
    <n v="761"/>
    <x v="0"/>
  </r>
  <r>
    <x v="0"/>
    <x v="5"/>
    <x v="21"/>
    <n v="3654"/>
    <n v="27.2"/>
    <x v="13"/>
    <s v="Spray"/>
    <x v="156"/>
    <n v="60"/>
    <x v="7"/>
    <n v="45608"/>
    <x v="0"/>
  </r>
  <r>
    <x v="0"/>
    <x v="5"/>
    <x v="22"/>
    <n v="3654"/>
    <n v="27.2"/>
    <x v="13"/>
    <s v="Spray"/>
    <x v="157"/>
    <n v="57"/>
    <x v="8"/>
    <n v="234581"/>
    <x v="0"/>
  </r>
  <r>
    <x v="0"/>
    <x v="5"/>
    <x v="23"/>
    <n v="3654"/>
    <n v="27.2"/>
    <x v="13"/>
    <s v="Spray"/>
    <x v="158"/>
    <n v="57"/>
    <x v="8"/>
    <n v="646"/>
    <x v="0"/>
  </r>
  <r>
    <x v="0"/>
    <x v="5"/>
    <x v="24"/>
    <n v="233"/>
    <n v="27"/>
    <x v="13"/>
    <s v="Spray"/>
    <x v="159"/>
    <n v="54"/>
    <x v="8"/>
    <n v="43562"/>
    <x v="0"/>
  </r>
  <r>
    <x v="0"/>
    <x v="5"/>
    <x v="25"/>
    <n v="233"/>
    <n v="27"/>
    <x v="13"/>
    <s v="Spray"/>
    <x v="160"/>
    <n v="54.5"/>
    <x v="8"/>
    <n v="200000"/>
    <x v="0"/>
  </r>
  <r>
    <x v="0"/>
    <x v="5"/>
    <x v="26"/>
    <n v="233"/>
    <n v="27"/>
    <x v="13"/>
    <s v="Spray"/>
    <x v="161"/>
    <n v="56.6"/>
    <x v="8"/>
    <n v="4847"/>
    <x v="0"/>
  </r>
  <r>
    <x v="0"/>
    <x v="5"/>
    <x v="27"/>
    <n v="2903.1"/>
    <n v="27"/>
    <x v="13"/>
    <s v="Spray"/>
    <x v="91"/>
    <n v="55.5"/>
    <x v="8"/>
    <n v="51239"/>
    <x v="0"/>
  </r>
  <r>
    <x v="0"/>
    <x v="5"/>
    <x v="28"/>
    <n v="2903.1"/>
    <n v="27"/>
    <x v="13"/>
    <s v="Spray"/>
    <x v="92"/>
    <n v="58.5"/>
    <x v="8"/>
    <n v="216396"/>
    <x v="0"/>
  </r>
  <r>
    <x v="0"/>
    <x v="8"/>
    <x v="29"/>
    <n v="2903.1"/>
    <n v="27"/>
    <x v="13"/>
    <s v="Spray"/>
    <x v="93"/>
    <n v="59.5"/>
    <x v="8"/>
    <n v="2644"/>
    <x v="0"/>
  </r>
  <r>
    <x v="0"/>
    <x v="8"/>
    <x v="30"/>
    <n v="2996.6"/>
    <n v="27.2"/>
    <x v="13"/>
    <s v="Spray"/>
    <x v="94"/>
    <n v="55"/>
    <x v="8"/>
    <n v="44235"/>
    <x v="0"/>
  </r>
  <r>
    <x v="0"/>
    <x v="8"/>
    <x v="31"/>
    <n v="2996.6"/>
    <n v="27.2"/>
    <x v="13"/>
    <s v="Spray"/>
    <x v="95"/>
    <n v="53"/>
    <x v="8"/>
    <n v="203317"/>
    <x v="0"/>
  </r>
  <r>
    <x v="0"/>
    <x v="8"/>
    <x v="32"/>
    <n v="2996.6"/>
    <n v="27.2"/>
    <x v="13"/>
    <s v="Spray"/>
    <x v="96"/>
    <n v="53.5"/>
    <x v="8"/>
    <n v="2134"/>
    <x v="0"/>
  </r>
  <r>
    <x v="0"/>
    <x v="8"/>
    <x v="33"/>
    <n v="3522.8"/>
    <n v="27.1"/>
    <x v="13"/>
    <s v="Spray"/>
    <x v="97"/>
    <n v="52.5"/>
    <x v="8"/>
    <n v="45186"/>
    <x v="0"/>
  </r>
  <r>
    <x v="0"/>
    <x v="8"/>
    <x v="34"/>
    <n v="3522.8"/>
    <n v="27.1"/>
    <x v="13"/>
    <s v="Spray"/>
    <x v="98"/>
    <n v="56"/>
    <x v="8"/>
    <n v="238542"/>
    <x v="0"/>
  </r>
  <r>
    <x v="0"/>
    <x v="8"/>
    <x v="35"/>
    <n v="3522.8"/>
    <n v="27.1"/>
    <x v="13"/>
    <s v="Spray"/>
    <x v="99"/>
    <n v="57"/>
    <x v="8"/>
    <n v="1516"/>
    <x v="0"/>
  </r>
  <r>
    <x v="0"/>
    <x v="8"/>
    <x v="36"/>
    <n v="3729.8"/>
    <n v="26.8"/>
    <x v="11"/>
    <s v="Spray"/>
    <x v="100"/>
    <n v="57.5"/>
    <x v="8"/>
    <n v="200000"/>
    <x v="0"/>
  </r>
  <r>
    <x v="0"/>
    <x v="8"/>
    <x v="37"/>
    <n v="3729.8"/>
    <n v="26.8"/>
    <x v="11"/>
    <s v="Spray"/>
    <x v="101"/>
    <n v="57"/>
    <x v="9"/>
    <n v="4847"/>
    <x v="0"/>
  </r>
  <r>
    <x v="0"/>
    <x v="8"/>
    <x v="38"/>
    <n v="3729.8"/>
    <n v="26.8"/>
    <x v="11"/>
    <s v="Spray"/>
    <x v="102"/>
    <n v="55"/>
    <x v="9"/>
    <n v="51239"/>
    <x v="0"/>
  </r>
  <r>
    <x v="0"/>
    <x v="8"/>
    <x v="39"/>
    <n v="2746.2"/>
    <n v="37"/>
    <x v="11"/>
    <s v="Spray"/>
    <x v="102"/>
    <n v="56"/>
    <x v="9"/>
    <n v="216396"/>
    <x v="0"/>
  </r>
  <r>
    <x v="0"/>
    <x v="8"/>
    <x v="40"/>
    <n v="2746.2"/>
    <n v="37"/>
    <x v="11"/>
    <s v="Spray"/>
    <x v="103"/>
    <n v="54"/>
    <x v="12"/>
    <n v="2644"/>
    <x v="0"/>
  </r>
  <r>
    <x v="0"/>
    <x v="8"/>
    <x v="41"/>
    <n v="2746.2"/>
    <n v="37"/>
    <x v="11"/>
    <s v="Spray"/>
    <x v="104"/>
    <n v="58"/>
    <x v="12"/>
    <n v="44235"/>
    <x v="0"/>
  </r>
  <r>
    <x v="0"/>
    <x v="8"/>
    <x v="42"/>
    <n v="3360"/>
    <n v="38"/>
    <x v="11"/>
    <s v="Spray"/>
    <x v="105"/>
    <n v="58"/>
    <x v="12"/>
    <n v="203317"/>
    <x v="0"/>
  </r>
  <r>
    <x v="0"/>
    <x v="8"/>
    <x v="43"/>
    <n v="3360"/>
    <n v="38"/>
    <x v="11"/>
    <s v="Spray"/>
    <x v="106"/>
    <n v="59"/>
    <x v="12"/>
    <n v="2134"/>
    <x v="0"/>
  </r>
  <r>
    <x v="0"/>
    <x v="8"/>
    <x v="44"/>
    <n v="3360"/>
    <n v="38"/>
    <x v="11"/>
    <s v="Spray"/>
    <x v="107"/>
    <n v="50"/>
    <x v="9"/>
    <n v="45186"/>
    <x v="0"/>
  </r>
  <r>
    <x v="0"/>
    <x v="8"/>
    <x v="45"/>
    <n v="3605.4"/>
    <n v="39"/>
    <x v="11"/>
    <s v="Spray"/>
    <x v="108"/>
    <n v="54"/>
    <x v="9"/>
    <n v="238542"/>
    <x v="0"/>
  </r>
  <r>
    <x v="0"/>
    <x v="8"/>
    <x v="46"/>
    <n v="3605.4"/>
    <n v="39"/>
    <x v="11"/>
    <s v="Spray"/>
    <x v="109"/>
    <n v="53"/>
    <x v="9"/>
    <n v="1516"/>
    <x v="0"/>
  </r>
  <r>
    <x v="0"/>
    <x v="8"/>
    <x v="47"/>
    <n v="3605.4"/>
    <n v="39"/>
    <x v="11"/>
    <s v="Spray"/>
    <x v="110"/>
    <n v="52"/>
    <x v="9"/>
    <n v="57259"/>
    <x v="0"/>
  </r>
  <r>
    <x v="0"/>
    <x v="8"/>
    <x v="48"/>
    <n v="3512.4"/>
    <n v="40"/>
    <x v="11"/>
    <s v="Spray"/>
    <x v="111"/>
    <n v="51"/>
    <x v="9"/>
    <n v="234779"/>
    <x v="0"/>
  </r>
  <r>
    <x v="0"/>
    <x v="8"/>
    <x v="49"/>
    <n v="3512.4"/>
    <n v="40"/>
    <x v="11"/>
    <s v="Spray"/>
    <x v="112"/>
    <n v="57"/>
    <x v="9"/>
    <n v="1493"/>
    <x v="0"/>
  </r>
  <r>
    <x v="0"/>
    <x v="8"/>
    <x v="50"/>
    <n v="3512.4"/>
    <n v="40"/>
    <x v="11"/>
    <s v="Spray"/>
    <x v="113"/>
    <n v="57"/>
    <x v="9"/>
    <n v="64409"/>
    <x v="0"/>
  </r>
  <r>
    <x v="0"/>
    <x v="8"/>
    <x v="51"/>
    <n v="3296"/>
    <n v="41"/>
    <x v="11"/>
    <s v="Spray"/>
    <x v="114"/>
    <n v="60"/>
    <x v="9"/>
    <n v="249978"/>
    <x v="0"/>
  </r>
  <r>
    <x v="0"/>
    <x v="8"/>
    <x v="52"/>
    <n v="3296"/>
    <n v="41"/>
    <x v="11"/>
    <s v="Spray"/>
    <x v="115"/>
    <n v="57"/>
    <x v="10"/>
    <n v="637"/>
    <x v="0"/>
  </r>
  <r>
    <x v="0"/>
    <x v="8"/>
    <x v="53"/>
    <n v="3296"/>
    <n v="41"/>
    <x v="11"/>
    <s v="Spray"/>
    <x v="116"/>
    <n v="57"/>
    <x v="10"/>
    <n v="43311"/>
    <x v="0"/>
  </r>
  <r>
    <x v="0"/>
    <x v="8"/>
    <x v="54"/>
    <n v="3550"/>
    <n v="42"/>
    <x v="11"/>
    <s v="Spray"/>
    <x v="117"/>
    <n v="54"/>
    <x v="10"/>
    <n v="24848"/>
    <x v="0"/>
  </r>
  <r>
    <x v="0"/>
    <x v="8"/>
    <x v="55"/>
    <n v="3550"/>
    <n v="42"/>
    <x v="11"/>
    <s v="Spray"/>
    <x v="118"/>
    <n v="54.5"/>
    <x v="10"/>
    <n v="761"/>
    <x v="0"/>
  </r>
  <r>
    <x v="0"/>
    <x v="8"/>
    <x v="56"/>
    <n v="3550"/>
    <n v="42"/>
    <x v="11"/>
    <s v="Spray"/>
    <x v="119"/>
    <n v="56.6"/>
    <x v="10"/>
    <n v="45608"/>
    <x v="0"/>
  </r>
  <r>
    <x v="0"/>
    <x v="8"/>
    <x v="57"/>
    <n v="3654"/>
    <n v="43"/>
    <x v="11"/>
    <s v="Drip"/>
    <x v="120"/>
    <n v="55.5"/>
    <x v="10"/>
    <n v="234581"/>
    <x v="0"/>
  </r>
  <r>
    <x v="0"/>
    <x v="8"/>
    <x v="58"/>
    <n v="3654"/>
    <n v="43"/>
    <x v="11"/>
    <s v="Drip"/>
    <x v="121"/>
    <n v="58.5"/>
    <x v="10"/>
    <n v="646"/>
    <x v="0"/>
  </r>
  <r>
    <x v="0"/>
    <x v="8"/>
    <x v="59"/>
    <n v="3654"/>
    <n v="27"/>
    <x v="11"/>
    <s v="Drip"/>
    <x v="122"/>
    <n v="59.5"/>
    <x v="10"/>
    <n v="43562"/>
    <x v="0"/>
  </r>
  <r>
    <x v="0"/>
    <x v="8"/>
    <x v="60"/>
    <n v="233"/>
    <n v="27"/>
    <x v="11"/>
    <s v="Drip"/>
    <x v="105"/>
    <n v="55"/>
    <x v="10"/>
    <n v="200000"/>
    <x v="0"/>
  </r>
  <r>
    <x v="0"/>
    <x v="8"/>
    <x v="61"/>
    <n v="233"/>
    <n v="27"/>
    <x v="11"/>
    <s v="Drip"/>
    <x v="123"/>
    <n v="53"/>
    <x v="10"/>
    <n v="4847"/>
    <x v="0"/>
  </r>
  <r>
    <x v="0"/>
    <x v="8"/>
    <x v="62"/>
    <n v="233"/>
    <n v="27"/>
    <x v="11"/>
    <s v="Drip"/>
    <x v="91"/>
    <n v="53.5"/>
    <x v="10"/>
    <n v="51239"/>
    <x v="0"/>
  </r>
  <r>
    <x v="0"/>
    <x v="8"/>
    <x v="63"/>
    <n v="234"/>
    <n v="27"/>
    <x v="11"/>
    <s v="Drip"/>
    <x v="92"/>
    <n v="52.5"/>
    <x v="10"/>
    <n v="216396"/>
    <x v="0"/>
  </r>
  <r>
    <x v="0"/>
    <x v="8"/>
    <x v="64"/>
    <n v="234"/>
    <n v="27"/>
    <x v="11"/>
    <s v="Drip"/>
    <x v="93"/>
    <n v="56"/>
    <x v="10"/>
    <n v="2644"/>
    <x v="0"/>
  </r>
  <r>
    <x v="0"/>
    <x v="8"/>
    <x v="65"/>
    <n v="234"/>
    <n v="27.2"/>
    <x v="11"/>
    <s v="Drip"/>
    <x v="94"/>
    <n v="59.5"/>
    <x v="10"/>
    <n v="44235"/>
    <x v="0"/>
  </r>
  <r>
    <x v="0"/>
    <x v="8"/>
    <x v="62"/>
    <n v="3105"/>
    <n v="27.2"/>
    <x v="11"/>
    <s v="Drip"/>
    <x v="95"/>
    <n v="55"/>
    <x v="10"/>
    <n v="203317"/>
    <x v="0"/>
  </r>
  <r>
    <x v="0"/>
    <x v="8"/>
    <x v="66"/>
    <n v="3105"/>
    <n v="27.2"/>
    <x v="11"/>
    <s v="Drip"/>
    <x v="96"/>
    <n v="53"/>
    <x v="11"/>
    <n v="2134"/>
    <x v="0"/>
  </r>
  <r>
    <x v="0"/>
    <x v="8"/>
    <x v="67"/>
    <n v="3105"/>
    <n v="27"/>
    <x v="11"/>
    <s v="Drip"/>
    <x v="97"/>
    <n v="53.5"/>
    <x v="11"/>
    <n v="45186"/>
    <x v="0"/>
  </r>
  <r>
    <x v="0"/>
    <x v="8"/>
    <x v="68"/>
    <n v="236"/>
    <n v="27"/>
    <x v="11"/>
    <s v="Drip"/>
    <x v="98"/>
    <n v="52.5"/>
    <x v="11"/>
    <n v="238542"/>
    <x v="0"/>
  </r>
  <r>
    <x v="0"/>
    <x v="8"/>
    <x v="67"/>
    <n v="236"/>
    <n v="27"/>
    <x v="11"/>
    <s v="Drip"/>
    <x v="99"/>
    <n v="56"/>
    <x v="11"/>
    <n v="1516"/>
    <x v="0"/>
  </r>
  <r>
    <x v="0"/>
    <x v="8"/>
    <x v="69"/>
    <n v="2903.1"/>
    <n v="27"/>
    <x v="11"/>
    <s v="Drip"/>
    <x v="100"/>
    <n v="57"/>
    <x v="11"/>
    <n v="57259"/>
    <x v="1"/>
  </r>
  <r>
    <x v="0"/>
    <x v="8"/>
    <x v="70"/>
    <n v="2903.1"/>
    <n v="27"/>
    <x v="11"/>
    <s v="Drip"/>
    <x v="101"/>
    <n v="57.5"/>
    <x v="11"/>
    <n v="234779"/>
    <x v="1"/>
  </r>
  <r>
    <x v="0"/>
    <x v="8"/>
    <x v="71"/>
    <n v="2903.1"/>
    <n v="27"/>
    <x v="11"/>
    <s v="Drip"/>
    <x v="102"/>
    <n v="57"/>
    <x v="11"/>
    <n v="1493"/>
    <x v="1"/>
  </r>
  <r>
    <x v="0"/>
    <x v="8"/>
    <x v="64"/>
    <n v="2996.6"/>
    <n v="27.2"/>
    <x v="11"/>
    <s v="Drip"/>
    <x v="102"/>
    <n v="55"/>
    <x v="12"/>
    <n v="64409"/>
    <x v="1"/>
  </r>
  <r>
    <x v="0"/>
    <x v="8"/>
    <x v="63"/>
    <n v="2996.6"/>
    <n v="27.2"/>
    <x v="11"/>
    <s v="Drip"/>
    <x v="103"/>
    <n v="56"/>
    <x v="12"/>
    <n v="249978"/>
    <x v="1"/>
  </r>
  <r>
    <x v="0"/>
    <x v="8"/>
    <x v="72"/>
    <n v="2996.6"/>
    <n v="27.2"/>
    <x v="11"/>
    <s v="Drip"/>
    <x v="104"/>
    <n v="54"/>
    <x v="12"/>
    <n v="637"/>
    <x v="1"/>
  </r>
  <r>
    <x v="0"/>
    <x v="8"/>
    <x v="73"/>
    <n v="3522.8"/>
    <n v="27.1"/>
    <x v="0"/>
    <s v="Drip"/>
    <x v="105"/>
    <n v="58"/>
    <x v="12"/>
    <n v="43311"/>
    <x v="1"/>
  </r>
  <r>
    <x v="0"/>
    <x v="8"/>
    <x v="60"/>
    <n v="3522.8"/>
    <n v="27.1"/>
    <x v="0"/>
    <s v="Drip"/>
    <x v="106"/>
    <n v="58"/>
    <x v="11"/>
    <n v="24848"/>
    <x v="1"/>
  </r>
  <r>
    <x v="0"/>
    <x v="8"/>
    <x v="74"/>
    <n v="3522.8"/>
    <n v="27.1"/>
    <x v="0"/>
    <s v="Drip"/>
    <x v="107"/>
    <n v="59"/>
    <x v="11"/>
    <n v="761"/>
    <x v="1"/>
  </r>
  <r>
    <x v="0"/>
    <x v="8"/>
    <x v="75"/>
    <n v="3729.8"/>
    <n v="26.8"/>
    <x v="0"/>
    <s v="Drip"/>
    <x v="108"/>
    <n v="50"/>
    <x v="11"/>
    <n v="45608"/>
    <x v="1"/>
  </r>
  <r>
    <x v="0"/>
    <x v="8"/>
    <x v="76"/>
    <n v="3729.8"/>
    <n v="26.8"/>
    <x v="0"/>
    <s v="Drip"/>
    <x v="109"/>
    <n v="54"/>
    <x v="11"/>
    <n v="234581"/>
    <x v="1"/>
  </r>
  <r>
    <x v="0"/>
    <x v="8"/>
    <x v="77"/>
    <n v="3729.8"/>
    <n v="26.8"/>
    <x v="0"/>
    <s v="Drip"/>
    <x v="110"/>
    <n v="53"/>
    <x v="0"/>
    <n v="646"/>
    <x v="1"/>
  </r>
  <r>
    <x v="0"/>
    <x v="8"/>
    <x v="78"/>
    <n v="2746.2"/>
    <n v="37"/>
    <x v="0"/>
    <s v="Drip"/>
    <x v="111"/>
    <n v="59.5"/>
    <x v="0"/>
    <n v="43562"/>
    <x v="1"/>
  </r>
  <r>
    <x v="0"/>
    <x v="8"/>
    <x v="79"/>
    <n v="2746.2"/>
    <n v="37"/>
    <x v="0"/>
    <s v="Drip"/>
    <x v="112"/>
    <n v="55"/>
    <x v="0"/>
    <n v="200000"/>
    <x v="1"/>
  </r>
  <r>
    <x v="0"/>
    <x v="8"/>
    <x v="80"/>
    <n v="2746.2"/>
    <n v="37"/>
    <x v="0"/>
    <s v="Drip"/>
    <x v="113"/>
    <n v="53"/>
    <x v="0"/>
    <n v="4847"/>
    <x v="1"/>
  </r>
  <r>
    <x v="0"/>
    <x v="8"/>
    <x v="81"/>
    <n v="3360"/>
    <n v="38"/>
    <x v="0"/>
    <s v="Drip"/>
    <x v="114"/>
    <n v="53.5"/>
    <x v="0"/>
    <n v="51239"/>
    <x v="1"/>
  </r>
  <r>
    <x v="0"/>
    <x v="8"/>
    <x v="82"/>
    <n v="3360"/>
    <n v="38"/>
    <x v="0"/>
    <s v="Drip"/>
    <x v="115"/>
    <n v="52.5"/>
    <x v="0"/>
    <n v="216396"/>
    <x v="1"/>
  </r>
  <r>
    <x v="0"/>
    <x v="8"/>
    <x v="83"/>
    <n v="3360"/>
    <n v="38"/>
    <x v="0"/>
    <s v="Drip"/>
    <x v="116"/>
    <n v="56"/>
    <x v="0"/>
    <n v="2644"/>
    <x v="1"/>
  </r>
  <r>
    <x v="0"/>
    <x v="8"/>
    <x v="84"/>
    <n v="3605.4"/>
    <n v="39"/>
    <x v="0"/>
    <s v="Drip"/>
    <x v="117"/>
    <n v="57"/>
    <x v="0"/>
    <n v="44235"/>
    <x v="1"/>
  </r>
  <r>
    <x v="0"/>
    <x v="8"/>
    <x v="85"/>
    <n v="3605.4"/>
    <n v="39"/>
    <x v="0"/>
    <s v="Drip"/>
    <x v="118"/>
    <n v="57.5"/>
    <x v="0"/>
    <n v="203317"/>
    <x v="1"/>
  </r>
  <r>
    <x v="0"/>
    <x v="8"/>
    <x v="86"/>
    <n v="3605.4"/>
    <n v="39"/>
    <x v="0"/>
    <s v="Drip"/>
    <x v="119"/>
    <n v="57"/>
    <x v="0"/>
    <n v="2134"/>
    <x v="1"/>
  </r>
  <r>
    <x v="0"/>
    <x v="8"/>
    <x v="87"/>
    <n v="3512.4"/>
    <n v="40"/>
    <x v="0"/>
    <s v="Drip"/>
    <x v="120"/>
    <n v="55"/>
    <x v="0"/>
    <n v="45186"/>
    <x v="1"/>
  </r>
  <r>
    <x v="0"/>
    <x v="8"/>
    <x v="88"/>
    <n v="3512.4"/>
    <n v="40"/>
    <x v="0"/>
    <s v="Drip"/>
    <x v="121"/>
    <n v="56"/>
    <x v="0"/>
    <n v="238542"/>
    <x v="1"/>
  </r>
  <r>
    <x v="0"/>
    <x v="8"/>
    <x v="89"/>
    <n v="3512.4"/>
    <n v="27"/>
    <x v="0"/>
    <s v="Drip"/>
    <x v="122"/>
    <n v="54"/>
    <x v="0"/>
    <n v="1516"/>
    <x v="1"/>
  </r>
  <r>
    <x v="0"/>
    <x v="8"/>
    <x v="90"/>
    <n v="3296"/>
    <n v="27"/>
    <x v="0"/>
    <s v="Drip"/>
    <x v="105"/>
    <n v="58"/>
    <x v="0"/>
    <n v="200000"/>
    <x v="1"/>
  </r>
  <r>
    <x v="0"/>
    <x v="8"/>
    <x v="91"/>
    <n v="3296"/>
    <n v="27"/>
    <x v="0"/>
    <s v="Drip"/>
    <x v="123"/>
    <n v="58"/>
    <x v="0"/>
    <n v="4847"/>
    <x v="1"/>
  </r>
  <r>
    <x v="0"/>
    <x v="8"/>
    <x v="92"/>
    <n v="3296"/>
    <n v="27"/>
    <x v="0"/>
    <s v="Drip"/>
    <x v="0"/>
    <n v="59"/>
    <x v="0"/>
    <n v="51239"/>
    <x v="1"/>
  </r>
  <r>
    <x v="0"/>
    <x v="8"/>
    <x v="64"/>
    <n v="3550"/>
    <n v="27"/>
    <x v="0"/>
    <s v="Drip"/>
    <x v="1"/>
    <n v="50"/>
    <x v="6"/>
    <n v="216396"/>
    <x v="1"/>
  </r>
  <r>
    <x v="0"/>
    <x v="8"/>
    <x v="93"/>
    <n v="3550"/>
    <n v="27"/>
    <x v="0"/>
    <s v="Drip"/>
    <x v="2"/>
    <n v="54"/>
    <x v="6"/>
    <n v="2644"/>
    <x v="1"/>
  </r>
  <r>
    <x v="0"/>
    <x v="8"/>
    <x v="94"/>
    <n v="3550"/>
    <n v="27.2"/>
    <x v="0"/>
    <s v="Drip"/>
    <x v="3"/>
    <n v="53"/>
    <x v="6"/>
    <n v="44235"/>
    <x v="1"/>
  </r>
  <r>
    <x v="0"/>
    <x v="8"/>
    <x v="95"/>
    <n v="3654"/>
    <n v="27.2"/>
    <x v="0"/>
    <s v="Basin"/>
    <x v="4"/>
    <n v="59.5"/>
    <x v="6"/>
    <n v="203317"/>
    <x v="1"/>
  </r>
  <r>
    <x v="0"/>
    <x v="8"/>
    <x v="96"/>
    <n v="3654"/>
    <n v="27.2"/>
    <x v="0"/>
    <s v="Basin"/>
    <x v="5"/>
    <n v="55"/>
    <x v="6"/>
    <n v="2134"/>
    <x v="1"/>
  </r>
  <r>
    <x v="0"/>
    <x v="8"/>
    <x v="97"/>
    <n v="3654"/>
    <n v="27"/>
    <x v="0"/>
    <s v="Basin"/>
    <x v="6"/>
    <n v="53"/>
    <x v="6"/>
    <n v="45186"/>
    <x v="1"/>
  </r>
  <r>
    <x v="0"/>
    <x v="8"/>
    <x v="98"/>
    <n v="233"/>
    <n v="27"/>
    <x v="0"/>
    <s v="Basin"/>
    <x v="7"/>
    <n v="53.5"/>
    <x v="12"/>
    <n v="238542"/>
    <x v="1"/>
  </r>
  <r>
    <x v="0"/>
    <x v="8"/>
    <x v="99"/>
    <n v="233"/>
    <n v="27"/>
    <x v="0"/>
    <s v="Basin"/>
    <x v="8"/>
    <n v="52.5"/>
    <x v="12"/>
    <n v="1516"/>
    <x v="1"/>
  </r>
  <r>
    <x v="0"/>
    <x v="8"/>
    <x v="100"/>
    <n v="233"/>
    <n v="27"/>
    <x v="0"/>
    <s v="Basin"/>
    <x v="9"/>
    <n v="56"/>
    <x v="12"/>
    <n v="57259"/>
    <x v="1"/>
  </r>
  <r>
    <x v="0"/>
    <x v="6"/>
    <x v="101"/>
    <n v="234"/>
    <n v="27"/>
    <x v="0"/>
    <s v="Basin"/>
    <x v="10"/>
    <n v="57"/>
    <x v="12"/>
    <n v="234779"/>
    <x v="1"/>
  </r>
  <r>
    <x v="0"/>
    <x v="6"/>
    <x v="102"/>
    <n v="234"/>
    <n v="27"/>
    <x v="0"/>
    <s v="Basin"/>
    <x v="11"/>
    <n v="57.5"/>
    <x v="6"/>
    <n v="1493"/>
    <x v="1"/>
  </r>
  <r>
    <x v="0"/>
    <x v="6"/>
    <x v="103"/>
    <n v="234"/>
    <n v="27.2"/>
    <x v="0"/>
    <s v="Basin"/>
    <x v="12"/>
    <n v="57"/>
    <x v="6"/>
    <n v="64409"/>
    <x v="1"/>
  </r>
  <r>
    <x v="0"/>
    <x v="6"/>
    <x v="104"/>
    <n v="3105"/>
    <n v="27.2"/>
    <x v="0"/>
    <s v="Basin"/>
    <x v="13"/>
    <n v="55"/>
    <x v="6"/>
    <n v="249978"/>
    <x v="1"/>
  </r>
  <r>
    <x v="0"/>
    <x v="6"/>
    <x v="105"/>
    <n v="3105"/>
    <n v="27.2"/>
    <x v="0"/>
    <s v="Basin"/>
    <x v="0"/>
    <n v="56"/>
    <x v="6"/>
    <n v="637"/>
    <x v="1"/>
  </r>
  <r>
    <x v="0"/>
    <x v="6"/>
    <x v="106"/>
    <n v="3105"/>
    <n v="27.1"/>
    <x v="0"/>
    <s v="Basin"/>
    <x v="1"/>
    <n v="54"/>
    <x v="6"/>
    <n v="43311"/>
    <x v="1"/>
  </r>
  <r>
    <x v="0"/>
    <x v="6"/>
    <x v="107"/>
    <n v="236"/>
    <n v="27.1"/>
    <x v="0"/>
    <s v="Drip"/>
    <x v="2"/>
    <n v="57"/>
    <x v="0"/>
    <n v="200000"/>
    <x v="1"/>
  </r>
  <r>
    <x v="0"/>
    <x v="6"/>
    <x v="108"/>
    <n v="2903.1"/>
    <n v="27.1"/>
    <x v="0"/>
    <s v="Drip"/>
    <x v="3"/>
    <n v="57.5"/>
    <x v="0"/>
    <n v="4847"/>
    <x v="1"/>
  </r>
  <r>
    <x v="0"/>
    <x v="6"/>
    <x v="109"/>
    <n v="2903.1"/>
    <n v="26.8"/>
    <x v="0"/>
    <s v="Drip"/>
    <x v="4"/>
    <n v="57"/>
    <x v="0"/>
    <n v="51239"/>
    <x v="1"/>
  </r>
  <r>
    <x v="0"/>
    <x v="6"/>
    <x v="110"/>
    <n v="2903.1"/>
    <n v="26.8"/>
    <x v="0"/>
    <s v="Drip"/>
    <x v="5"/>
    <n v="55"/>
    <x v="0"/>
    <n v="216396"/>
    <x v="1"/>
  </r>
  <r>
    <x v="0"/>
    <x v="6"/>
    <x v="111"/>
    <n v="2996.6"/>
    <n v="26.8"/>
    <x v="0"/>
    <s v="Drip"/>
    <x v="6"/>
    <n v="56"/>
    <x v="0"/>
    <n v="2644"/>
    <x v="1"/>
  </r>
  <r>
    <x v="0"/>
    <x v="6"/>
    <x v="112"/>
    <n v="2996.6"/>
    <n v="37"/>
    <x v="0"/>
    <s v="Drip"/>
    <x v="7"/>
    <n v="54"/>
    <x v="0"/>
    <n v="44235"/>
    <x v="1"/>
  </r>
  <r>
    <x v="0"/>
    <x v="6"/>
    <x v="113"/>
    <n v="2996.6"/>
    <n v="37"/>
    <x v="0"/>
    <s v="Drip"/>
    <x v="8"/>
    <n v="58"/>
    <x v="0"/>
    <n v="203317"/>
    <x v="1"/>
  </r>
  <r>
    <x v="0"/>
    <x v="6"/>
    <x v="114"/>
    <n v="3522.8"/>
    <n v="37"/>
    <x v="0"/>
    <s v="Drip"/>
    <x v="9"/>
    <n v="58"/>
    <x v="0"/>
    <n v="2134"/>
    <x v="1"/>
  </r>
  <r>
    <x v="0"/>
    <x v="6"/>
    <x v="115"/>
    <n v="3522.8"/>
    <n v="38"/>
    <x v="0"/>
    <s v="Drip"/>
    <x v="10"/>
    <n v="59"/>
    <x v="0"/>
    <n v="45186"/>
    <x v="1"/>
  </r>
  <r>
    <x v="0"/>
    <x v="6"/>
    <x v="116"/>
    <n v="3522.8"/>
    <n v="38"/>
    <x v="0"/>
    <s v="Drip"/>
    <x v="11"/>
    <n v="50"/>
    <x v="0"/>
    <n v="238542"/>
    <x v="1"/>
  </r>
  <r>
    <x v="0"/>
    <x v="6"/>
    <x v="117"/>
    <n v="3729.8"/>
    <n v="38"/>
    <x v="0"/>
    <s v="Drip"/>
    <x v="12"/>
    <n v="54"/>
    <x v="0"/>
    <n v="1516"/>
    <x v="1"/>
  </r>
  <r>
    <x v="0"/>
    <x v="6"/>
    <x v="118"/>
    <n v="3729.8"/>
    <n v="39"/>
    <x v="0"/>
    <s v="Drip"/>
    <x v="13"/>
    <n v="53"/>
    <x v="0"/>
    <n v="57259"/>
    <x v="1"/>
  </r>
  <r>
    <x v="0"/>
    <x v="6"/>
    <x v="119"/>
    <n v="3729.8"/>
    <n v="39"/>
    <x v="0"/>
    <s v="Drip"/>
    <x v="14"/>
    <n v="52"/>
    <x v="0"/>
    <n v="234779"/>
    <x v="1"/>
  </r>
  <r>
    <x v="0"/>
    <x v="6"/>
    <x v="120"/>
    <n v="2746.2"/>
    <n v="39"/>
    <x v="0"/>
    <s v="Drip"/>
    <x v="15"/>
    <n v="51"/>
    <x v="0"/>
    <n v="1493"/>
    <x v="1"/>
  </r>
  <r>
    <x v="0"/>
    <x v="6"/>
    <x v="12"/>
    <n v="2746.2"/>
    <n v="40"/>
    <x v="4"/>
    <s v="Drip"/>
    <x v="16"/>
    <n v="57"/>
    <x v="0"/>
    <n v="64409"/>
    <x v="1"/>
  </r>
  <r>
    <x v="0"/>
    <x v="6"/>
    <x v="121"/>
    <n v="2746.2"/>
    <n v="40"/>
    <x v="4"/>
    <s v="Drip"/>
    <x v="17"/>
    <n v="57"/>
    <x v="0"/>
    <n v="249978"/>
    <x v="1"/>
  </r>
  <r>
    <x v="0"/>
    <x v="6"/>
    <x v="122"/>
    <n v="3360"/>
    <n v="40"/>
    <x v="4"/>
    <s v="Drip"/>
    <x v="18"/>
    <n v="60"/>
    <x v="0"/>
    <n v="637"/>
    <x v="1"/>
  </r>
  <r>
    <x v="0"/>
    <x v="6"/>
    <x v="123"/>
    <n v="3360"/>
    <n v="41"/>
    <x v="4"/>
    <s v="Drip"/>
    <x v="19"/>
    <n v="57"/>
    <x v="0"/>
    <n v="43311"/>
    <x v="1"/>
  </r>
  <r>
    <x v="0"/>
    <x v="6"/>
    <x v="9"/>
    <n v="3360"/>
    <n v="41"/>
    <x v="4"/>
    <s v="Drip"/>
    <x v="20"/>
    <n v="57"/>
    <x v="0"/>
    <n v="24848"/>
    <x v="1"/>
  </r>
  <r>
    <x v="0"/>
    <x v="6"/>
    <x v="124"/>
    <n v="3605.4"/>
    <n v="41"/>
    <x v="4"/>
    <s v="Drip"/>
    <x v="21"/>
    <n v="54"/>
    <x v="0"/>
    <n v="761"/>
    <x v="1"/>
  </r>
  <r>
    <x v="0"/>
    <x v="6"/>
    <x v="125"/>
    <n v="3605.4"/>
    <n v="42"/>
    <x v="4"/>
    <s v="Drip"/>
    <x v="22"/>
    <n v="54.5"/>
    <x v="0"/>
    <n v="45608"/>
    <x v="1"/>
  </r>
  <r>
    <x v="1"/>
    <x v="6"/>
    <x v="126"/>
    <n v="3605.4"/>
    <n v="42"/>
    <x v="4"/>
    <s v="Drip"/>
    <x v="23"/>
    <n v="56.6"/>
    <x v="0"/>
    <n v="234581"/>
    <x v="1"/>
  </r>
  <r>
    <x v="2"/>
    <x v="6"/>
    <x v="127"/>
    <n v="3512.4"/>
    <n v="42"/>
    <x v="4"/>
    <s v="Drip"/>
    <x v="24"/>
    <n v="55.5"/>
    <x v="0"/>
    <n v="646"/>
    <x v="1"/>
  </r>
  <r>
    <x v="3"/>
    <x v="6"/>
    <x v="128"/>
    <n v="3512.4"/>
    <n v="43"/>
    <x v="4"/>
    <s v="Drip"/>
    <x v="25"/>
    <n v="58.5"/>
    <x v="0"/>
    <n v="43562"/>
    <x v="1"/>
  </r>
  <r>
    <x v="4"/>
    <x v="6"/>
    <x v="129"/>
    <n v="3512.4"/>
    <n v="43"/>
    <x v="4"/>
    <s v="Drip"/>
    <x v="26"/>
    <n v="59.5"/>
    <x v="0"/>
    <n v="200000"/>
    <x v="1"/>
  </r>
  <r>
    <x v="5"/>
    <x v="6"/>
    <x v="130"/>
    <n v="3296"/>
    <n v="27"/>
    <x v="4"/>
    <s v="Drip"/>
    <x v="27"/>
    <n v="55"/>
    <x v="0"/>
    <n v="4847"/>
    <x v="1"/>
  </r>
  <r>
    <x v="6"/>
    <x v="6"/>
    <x v="131"/>
    <n v="3296"/>
    <n v="27"/>
    <x v="4"/>
    <s v="Drip"/>
    <x v="28"/>
    <n v="53"/>
    <x v="0"/>
    <n v="51239"/>
    <x v="1"/>
  </r>
  <r>
    <x v="0"/>
    <x v="6"/>
    <x v="132"/>
    <n v="3296"/>
    <n v="27"/>
    <x v="4"/>
    <s v="Drip"/>
    <x v="29"/>
    <n v="53.5"/>
    <x v="0"/>
    <n v="216396"/>
    <x v="1"/>
  </r>
  <r>
    <x v="7"/>
    <x v="6"/>
    <x v="133"/>
    <n v="3550"/>
    <n v="27"/>
    <x v="4"/>
    <s v="Drip"/>
    <x v="30"/>
    <n v="52.5"/>
    <x v="0"/>
    <n v="2644"/>
    <x v="1"/>
  </r>
  <r>
    <x v="8"/>
    <x v="6"/>
    <x v="134"/>
    <n v="3550"/>
    <n v="27"/>
    <x v="4"/>
    <s v="Drip"/>
    <x v="31"/>
    <n v="56"/>
    <x v="0"/>
    <n v="44235"/>
    <x v="1"/>
  </r>
  <r>
    <x v="9"/>
    <x v="6"/>
    <x v="135"/>
    <n v="3550"/>
    <n v="27"/>
    <x v="4"/>
    <s v="Drip"/>
    <x v="32"/>
    <n v="57"/>
    <x v="0"/>
    <n v="203317"/>
    <x v="1"/>
  </r>
  <r>
    <x v="10"/>
    <x v="6"/>
    <x v="136"/>
    <n v="3654"/>
    <n v="27.2"/>
    <x v="4"/>
    <s v="Drip"/>
    <x v="33"/>
    <n v="57.5"/>
    <x v="0"/>
    <n v="2134"/>
    <x v="1"/>
  </r>
  <r>
    <x v="11"/>
    <x v="6"/>
    <x v="137"/>
    <n v="3654"/>
    <n v="27.2"/>
    <x v="4"/>
    <s v="Drip"/>
    <x v="34"/>
    <n v="57"/>
    <x v="0"/>
    <n v="45186"/>
    <x v="1"/>
  </r>
  <r>
    <x v="12"/>
    <x v="6"/>
    <x v="138"/>
    <n v="3654"/>
    <n v="27.2"/>
    <x v="4"/>
    <s v="Drip"/>
    <x v="35"/>
    <n v="55"/>
    <x v="0"/>
    <n v="238542"/>
    <x v="1"/>
  </r>
  <r>
    <x v="13"/>
    <x v="6"/>
    <x v="139"/>
    <n v="233"/>
    <n v="27"/>
    <x v="4"/>
    <s v="Drip"/>
    <x v="36"/>
    <n v="56"/>
    <x v="0"/>
    <n v="1516"/>
    <x v="1"/>
  </r>
  <r>
    <x v="14"/>
    <x v="6"/>
    <x v="140"/>
    <n v="233"/>
    <n v="27"/>
    <x v="4"/>
    <s v="Drip"/>
    <x v="37"/>
    <n v="54"/>
    <x v="0"/>
    <n v="57259"/>
    <x v="1"/>
  </r>
  <r>
    <x v="1"/>
    <x v="6"/>
    <x v="141"/>
    <n v="233"/>
    <n v="27"/>
    <x v="4"/>
    <s v="Drip"/>
    <x v="38"/>
    <n v="58"/>
    <x v="0"/>
    <n v="234779"/>
    <x v="1"/>
  </r>
  <r>
    <x v="2"/>
    <x v="6"/>
    <x v="142"/>
    <n v="234"/>
    <n v="27"/>
    <x v="4"/>
    <s v="Drip"/>
    <x v="39"/>
    <n v="58"/>
    <x v="0"/>
    <n v="1493"/>
    <x v="1"/>
  </r>
  <r>
    <x v="3"/>
    <x v="6"/>
    <x v="143"/>
    <n v="234"/>
    <n v="27"/>
    <x v="4"/>
    <s v="Drip"/>
    <x v="40"/>
    <n v="59"/>
    <x v="0"/>
    <n v="64409"/>
    <x v="1"/>
  </r>
  <r>
    <x v="4"/>
    <x v="6"/>
    <x v="144"/>
    <n v="234"/>
    <n v="27"/>
    <x v="4"/>
    <s v="Drip"/>
    <x v="41"/>
    <n v="50"/>
    <x v="0"/>
    <n v="249978"/>
    <x v="1"/>
  </r>
  <r>
    <x v="5"/>
    <x v="6"/>
    <x v="145"/>
    <n v="3105"/>
    <n v="27.2"/>
    <x v="4"/>
    <s v="Drip"/>
    <x v="42"/>
    <n v="54"/>
    <x v="0"/>
    <n v="637"/>
    <x v="1"/>
  </r>
  <r>
    <x v="6"/>
    <x v="6"/>
    <x v="146"/>
    <n v="3105"/>
    <n v="27.2"/>
    <x v="4"/>
    <s v="Drip"/>
    <x v="43"/>
    <n v="53"/>
    <x v="0"/>
    <n v="43311"/>
    <x v="1"/>
  </r>
  <r>
    <x v="0"/>
    <x v="6"/>
    <x v="0"/>
    <n v="3105"/>
    <n v="27.2"/>
    <x v="4"/>
    <s v="Drip"/>
    <x v="44"/>
    <n v="52"/>
    <x v="0"/>
    <n v="24848"/>
    <x v="1"/>
  </r>
  <r>
    <x v="7"/>
    <x v="6"/>
    <x v="1"/>
    <n v="236"/>
    <n v="27.1"/>
    <x v="4"/>
    <s v="Drip"/>
    <x v="45"/>
    <n v="51"/>
    <x v="0"/>
    <n v="761"/>
    <x v="1"/>
  </r>
  <r>
    <x v="8"/>
    <x v="6"/>
    <x v="2"/>
    <n v="236"/>
    <n v="27.1"/>
    <x v="4"/>
    <s v="Basin"/>
    <x v="46"/>
    <n v="57"/>
    <x v="0"/>
    <n v="45608"/>
    <x v="1"/>
  </r>
  <r>
    <x v="9"/>
    <x v="6"/>
    <x v="3"/>
    <n v="321"/>
    <n v="27.1"/>
    <x v="4"/>
    <s v="Basin"/>
    <x v="47"/>
    <n v="57"/>
    <x v="0"/>
    <n v="234581"/>
    <x v="1"/>
  </r>
  <r>
    <x v="10"/>
    <x v="6"/>
    <x v="4"/>
    <n v="3654"/>
    <n v="26.8"/>
    <x v="4"/>
    <s v="Basin"/>
    <x v="48"/>
    <n v="60"/>
    <x v="0"/>
    <n v="646"/>
    <x v="1"/>
  </r>
  <r>
    <x v="11"/>
    <x v="6"/>
    <x v="5"/>
    <n v="323"/>
    <n v="26.8"/>
    <x v="4"/>
    <s v="Basin"/>
    <x v="49"/>
    <n v="57"/>
    <x v="0"/>
    <n v="43562"/>
    <x v="1"/>
  </r>
  <r>
    <x v="12"/>
    <x v="6"/>
    <x v="6"/>
    <n v="324"/>
    <n v="26.8"/>
    <x v="4"/>
    <s v="Basin"/>
    <x v="50"/>
    <n v="57"/>
    <x v="0"/>
    <n v="200000"/>
    <x v="1"/>
  </r>
  <r>
    <x v="13"/>
    <x v="6"/>
    <x v="7"/>
    <n v="3105"/>
    <n v="37"/>
    <x v="4"/>
    <s v="Basin"/>
    <x v="51"/>
    <n v="54"/>
    <x v="0"/>
    <n v="4847"/>
    <x v="1"/>
  </r>
  <r>
    <x v="14"/>
    <x v="6"/>
    <x v="8"/>
    <n v="326"/>
    <n v="37"/>
    <x v="4"/>
    <s v="Basin"/>
    <x v="52"/>
    <n v="54.5"/>
    <x v="0"/>
    <n v="51239"/>
    <x v="1"/>
  </r>
  <r>
    <x v="1"/>
    <x v="6"/>
    <x v="9"/>
    <n v="327"/>
    <n v="37"/>
    <x v="4"/>
    <s v="Basin"/>
    <x v="53"/>
    <n v="56.6"/>
    <x v="0"/>
    <n v="216396"/>
    <x v="1"/>
  </r>
  <r>
    <x v="2"/>
    <x v="6"/>
    <x v="10"/>
    <n v="328"/>
    <n v="38"/>
    <x v="4"/>
    <s v="Basin"/>
    <x v="54"/>
    <n v="55.5"/>
    <x v="0"/>
    <n v="2644"/>
    <x v="1"/>
  </r>
  <r>
    <x v="3"/>
    <x v="6"/>
    <x v="11"/>
    <n v="2903.1"/>
    <n v="38"/>
    <x v="4"/>
    <s v="Basin"/>
    <x v="55"/>
    <n v="58.5"/>
    <x v="0"/>
    <n v="44235"/>
    <x v="1"/>
  </r>
  <r>
    <x v="4"/>
    <x v="6"/>
    <x v="12"/>
    <n v="2903.1"/>
    <n v="38"/>
    <x v="4"/>
    <s v="Basin"/>
    <x v="56"/>
    <n v="59.5"/>
    <x v="0"/>
    <n v="203317"/>
    <x v="1"/>
  </r>
  <r>
    <x v="5"/>
    <x v="6"/>
    <x v="13"/>
    <n v="2903.1"/>
    <n v="39"/>
    <x v="4"/>
    <s v="Basin"/>
    <x v="57"/>
    <n v="55"/>
    <x v="0"/>
    <n v="2134"/>
    <x v="1"/>
  </r>
  <r>
    <x v="6"/>
    <x v="6"/>
    <x v="14"/>
    <n v="2996.6"/>
    <n v="39"/>
    <x v="4"/>
    <s v="Basin"/>
    <x v="58"/>
    <n v="53"/>
    <x v="0"/>
    <n v="45186"/>
    <x v="1"/>
  </r>
  <r>
    <x v="0"/>
    <x v="6"/>
    <x v="15"/>
    <n v="2996.6"/>
    <n v="39"/>
    <x v="4"/>
    <s v="Basin"/>
    <x v="59"/>
    <n v="53.5"/>
    <x v="0"/>
    <n v="238542"/>
    <x v="1"/>
  </r>
  <r>
    <x v="7"/>
    <x v="6"/>
    <x v="16"/>
    <n v="2996.6"/>
    <n v="40"/>
    <x v="4"/>
    <s v="Basin"/>
    <x v="60"/>
    <n v="52.5"/>
    <x v="0"/>
    <n v="1516"/>
    <x v="1"/>
  </r>
  <r>
    <x v="8"/>
    <x v="6"/>
    <x v="17"/>
    <n v="3522.8"/>
    <n v="40"/>
    <x v="4"/>
    <s v="Basin"/>
    <x v="61"/>
    <n v="56"/>
    <x v="0"/>
    <n v="57259"/>
    <x v="1"/>
  </r>
  <r>
    <x v="9"/>
    <x v="6"/>
    <x v="18"/>
    <n v="3522.8"/>
    <n v="40"/>
    <x v="4"/>
    <s v="Basin"/>
    <x v="62"/>
    <n v="57"/>
    <x v="0"/>
    <n v="234779"/>
    <x v="1"/>
  </r>
  <r>
    <x v="10"/>
    <x v="6"/>
    <x v="19"/>
    <n v="3522.8"/>
    <n v="41"/>
    <x v="4"/>
    <s v="Basin"/>
    <x v="63"/>
    <n v="57.5"/>
    <x v="0"/>
    <n v="1493"/>
    <x v="1"/>
  </r>
  <r>
    <x v="11"/>
    <x v="6"/>
    <x v="20"/>
    <n v="3729.8"/>
    <n v="41"/>
    <x v="4"/>
    <s v="Basin"/>
    <x v="64"/>
    <n v="57"/>
    <x v="0"/>
    <n v="64409"/>
    <x v="1"/>
  </r>
  <r>
    <x v="12"/>
    <x v="6"/>
    <x v="0"/>
    <n v="3729.8"/>
    <n v="41"/>
    <x v="4"/>
    <s v="Basin"/>
    <x v="65"/>
    <n v="55"/>
    <x v="0"/>
    <n v="249978"/>
    <x v="1"/>
  </r>
  <r>
    <x v="13"/>
    <x v="6"/>
    <x v="1"/>
    <n v="3729.8"/>
    <n v="42"/>
    <x v="14"/>
    <s v="Basin"/>
    <x v="62"/>
    <n v="56"/>
    <x v="0"/>
    <n v="200000"/>
    <x v="1"/>
  </r>
  <r>
    <x v="14"/>
    <x v="6"/>
    <x v="2"/>
    <n v="2746.2"/>
    <n v="42"/>
    <x v="14"/>
    <s v="Basin"/>
    <x v="66"/>
    <n v="54"/>
    <x v="0"/>
    <n v="4847"/>
    <x v="1"/>
  </r>
  <r>
    <x v="1"/>
    <x v="6"/>
    <x v="3"/>
    <n v="2746.2"/>
    <n v="42"/>
    <x v="14"/>
    <s v="Basin"/>
    <x v="67"/>
    <n v="58"/>
    <x v="0"/>
    <n v="51239"/>
    <x v="1"/>
  </r>
  <r>
    <x v="2"/>
    <x v="6"/>
    <x v="4"/>
    <n v="2746.2"/>
    <n v="43"/>
    <x v="14"/>
    <s v="Basin"/>
    <x v="68"/>
    <n v="58"/>
    <x v="0"/>
    <n v="216396"/>
    <x v="1"/>
  </r>
  <r>
    <x v="3"/>
    <x v="6"/>
    <x v="5"/>
    <n v="3360"/>
    <n v="27"/>
    <x v="14"/>
    <s v="Basin"/>
    <x v="69"/>
    <n v="59"/>
    <x v="0"/>
    <n v="2644"/>
    <x v="1"/>
  </r>
  <r>
    <x v="4"/>
    <x v="6"/>
    <x v="6"/>
    <n v="3360"/>
    <n v="27"/>
    <x v="14"/>
    <s v="Basin"/>
    <x v="70"/>
    <n v="50"/>
    <x v="0"/>
    <n v="44235"/>
    <x v="1"/>
  </r>
  <r>
    <x v="5"/>
    <x v="6"/>
    <x v="7"/>
    <n v="3360"/>
    <n v="27"/>
    <x v="14"/>
    <s v="Basin"/>
    <x v="71"/>
    <n v="54"/>
    <x v="0"/>
    <n v="203317"/>
    <x v="1"/>
  </r>
  <r>
    <x v="6"/>
    <x v="6"/>
    <x v="8"/>
    <n v="3605.4"/>
    <n v="27"/>
    <x v="14"/>
    <s v="Basin"/>
    <x v="72"/>
    <n v="53"/>
    <x v="0"/>
    <n v="2134"/>
    <x v="1"/>
  </r>
  <r>
    <x v="0"/>
    <x v="6"/>
    <x v="9"/>
    <n v="3605.4"/>
    <n v="27"/>
    <x v="14"/>
    <s v="Basin"/>
    <x v="73"/>
    <n v="52"/>
    <x v="0"/>
    <n v="45186"/>
    <x v="1"/>
  </r>
  <r>
    <x v="7"/>
    <x v="6"/>
    <x v="10"/>
    <n v="3605.4"/>
    <n v="27"/>
    <x v="14"/>
    <s v="Basin"/>
    <x v="74"/>
    <n v="51"/>
    <x v="0"/>
    <n v="238542"/>
    <x v="1"/>
  </r>
  <r>
    <x v="8"/>
    <x v="6"/>
    <x v="11"/>
    <n v="3512.4"/>
    <n v="27.2"/>
    <x v="14"/>
    <s v="Basin"/>
    <x v="75"/>
    <n v="57"/>
    <x v="0"/>
    <n v="1516"/>
    <x v="1"/>
  </r>
  <r>
    <x v="9"/>
    <x v="6"/>
    <x v="12"/>
    <n v="3512.4"/>
    <n v="27.2"/>
    <x v="14"/>
    <s v="Basin"/>
    <x v="76"/>
    <n v="57"/>
    <x v="0"/>
    <n v="57259"/>
    <x v="1"/>
  </r>
  <r>
    <x v="10"/>
    <x v="6"/>
    <x v="13"/>
    <n v="3512.4"/>
    <n v="27.2"/>
    <x v="14"/>
    <s v="Basin"/>
    <x v="60"/>
    <n v="60"/>
    <x v="0"/>
    <n v="234779"/>
    <x v="1"/>
  </r>
  <r>
    <x v="11"/>
    <x v="6"/>
    <x v="14"/>
    <n v="3296"/>
    <n v="27"/>
    <x v="14"/>
    <s v="Basin"/>
    <x v="77"/>
    <n v="57"/>
    <x v="0"/>
    <n v="1493"/>
    <x v="1"/>
  </r>
  <r>
    <x v="12"/>
    <x v="6"/>
    <x v="15"/>
    <n v="3296"/>
    <n v="27"/>
    <x v="14"/>
    <s v="Basin"/>
    <x v="78"/>
    <n v="57"/>
    <x v="0"/>
    <n v="64409"/>
    <x v="1"/>
  </r>
  <r>
    <x v="13"/>
    <x v="6"/>
    <x v="16"/>
    <n v="3296"/>
    <n v="27"/>
    <x v="14"/>
    <s v="Basin"/>
    <x v="79"/>
    <n v="54"/>
    <x v="0"/>
    <n v="249978"/>
    <x v="1"/>
  </r>
  <r>
    <x v="14"/>
    <x v="6"/>
    <x v="17"/>
    <n v="3550"/>
    <n v="27"/>
    <x v="14"/>
    <s v="Basin"/>
    <x v="80"/>
    <n v="54.5"/>
    <x v="0"/>
    <n v="637"/>
    <x v="1"/>
  </r>
  <r>
    <x v="1"/>
    <x v="6"/>
    <x v="18"/>
    <n v="3550"/>
    <n v="27"/>
    <x v="14"/>
    <s v="Basin"/>
    <x v="81"/>
    <n v="56.6"/>
    <x v="0"/>
    <n v="43311"/>
    <x v="1"/>
  </r>
  <r>
    <x v="2"/>
    <x v="6"/>
    <x v="19"/>
    <n v="3550"/>
    <n v="27"/>
    <x v="14"/>
    <s v="Basin"/>
    <x v="82"/>
    <n v="55.5"/>
    <x v="0"/>
    <n v="24848"/>
    <x v="1"/>
  </r>
  <r>
    <x v="3"/>
    <x v="6"/>
    <x v="20"/>
    <n v="3654"/>
    <n v="27.2"/>
    <x v="14"/>
    <s v="Basin"/>
    <x v="83"/>
    <n v="58.5"/>
    <x v="0"/>
    <n v="761"/>
    <x v="1"/>
  </r>
  <r>
    <x v="4"/>
    <x v="6"/>
    <x v="0"/>
    <n v="3654"/>
    <n v="27.2"/>
    <x v="14"/>
    <s v="Basin"/>
    <x v="84"/>
    <n v="59.5"/>
    <x v="0"/>
    <n v="45608"/>
    <x v="1"/>
  </r>
  <r>
    <x v="5"/>
    <x v="6"/>
    <x v="1"/>
    <n v="3654"/>
    <n v="27.2"/>
    <x v="14"/>
    <s v="Basin"/>
    <x v="85"/>
    <n v="55"/>
    <x v="0"/>
    <n v="234581"/>
    <x v="1"/>
  </r>
  <r>
    <x v="6"/>
    <x v="6"/>
    <x v="2"/>
    <n v="233"/>
    <n v="27.1"/>
    <x v="14"/>
    <s v="Basin"/>
    <x v="86"/>
    <n v="53"/>
    <x v="0"/>
    <n v="646"/>
    <x v="1"/>
  </r>
  <r>
    <x v="0"/>
    <x v="6"/>
    <x v="3"/>
    <n v="233"/>
    <n v="27.1"/>
    <x v="14"/>
    <s v="Spray"/>
    <x v="87"/>
    <n v="53.5"/>
    <x v="0"/>
    <n v="43562"/>
    <x v="1"/>
  </r>
  <r>
    <x v="7"/>
    <x v="6"/>
    <x v="4"/>
    <n v="233"/>
    <n v="27.1"/>
    <x v="14"/>
    <s v="Spray"/>
    <x v="88"/>
    <n v="52.5"/>
    <x v="0"/>
    <n v="200000"/>
    <x v="1"/>
  </r>
  <r>
    <x v="8"/>
    <x v="6"/>
    <x v="5"/>
    <n v="234"/>
    <n v="26.8"/>
    <x v="14"/>
    <s v="Spray"/>
    <x v="89"/>
    <n v="56"/>
    <x v="0"/>
    <n v="4847"/>
    <x v="1"/>
  </r>
  <r>
    <x v="9"/>
    <x v="6"/>
    <x v="6"/>
    <n v="234"/>
    <n v="26.8"/>
    <x v="14"/>
    <s v="Spray"/>
    <x v="90"/>
    <n v="57"/>
    <x v="0"/>
    <n v="51239"/>
    <x v="1"/>
  </r>
  <r>
    <x v="10"/>
    <x v="6"/>
    <x v="7"/>
    <n v="234"/>
    <n v="26.8"/>
    <x v="14"/>
    <s v="Spray"/>
    <x v="91"/>
    <n v="57.5"/>
    <x v="0"/>
    <n v="216396"/>
    <x v="1"/>
  </r>
  <r>
    <x v="11"/>
    <x v="6"/>
    <x v="8"/>
    <n v="3105"/>
    <n v="37"/>
    <x v="14"/>
    <s v="Spray"/>
    <x v="92"/>
    <n v="57"/>
    <x v="0"/>
    <n v="2644"/>
    <x v="1"/>
  </r>
  <r>
    <x v="12"/>
    <x v="6"/>
    <x v="9"/>
    <n v="3105"/>
    <n v="37"/>
    <x v="14"/>
    <s v="Spray"/>
    <x v="93"/>
    <n v="55"/>
    <x v="0"/>
    <n v="44235"/>
    <x v="1"/>
  </r>
  <r>
    <x v="13"/>
    <x v="6"/>
    <x v="10"/>
    <n v="3105"/>
    <n v="37"/>
    <x v="0"/>
    <s v="Spray"/>
    <x v="94"/>
    <n v="56"/>
    <x v="0"/>
    <n v="203317"/>
    <x v="1"/>
  </r>
  <r>
    <x v="14"/>
    <x v="6"/>
    <x v="11"/>
    <n v="236"/>
    <n v="38"/>
    <x v="0"/>
    <s v="Spray"/>
    <x v="95"/>
    <n v="54"/>
    <x v="0"/>
    <n v="2134"/>
    <x v="1"/>
  </r>
  <r>
    <x v="1"/>
    <x v="6"/>
    <x v="12"/>
    <n v="236"/>
    <n v="38"/>
    <x v="0"/>
    <s v="Spray"/>
    <x v="96"/>
    <n v="58"/>
    <x v="0"/>
    <n v="45186"/>
    <x v="1"/>
  </r>
  <r>
    <x v="2"/>
    <x v="6"/>
    <x v="13"/>
    <n v="2903.1"/>
    <n v="38"/>
    <x v="0"/>
    <s v="Spray"/>
    <x v="97"/>
    <n v="58"/>
    <x v="0"/>
    <n v="238542"/>
    <x v="1"/>
  </r>
  <r>
    <x v="3"/>
    <x v="6"/>
    <x v="14"/>
    <n v="2903.1"/>
    <n v="39"/>
    <x v="0"/>
    <s v="Spray"/>
    <x v="98"/>
    <n v="59"/>
    <x v="0"/>
    <n v="1516"/>
    <x v="1"/>
  </r>
  <r>
    <x v="4"/>
    <x v="0"/>
    <x v="15"/>
    <n v="2903.1"/>
    <n v="39"/>
    <x v="0"/>
    <s v="Spray"/>
    <x v="99"/>
    <n v="50"/>
    <x v="0"/>
    <n v="57259"/>
    <x v="1"/>
  </r>
  <r>
    <x v="5"/>
    <x v="0"/>
    <x v="16"/>
    <n v="2996.6"/>
    <n v="39"/>
    <x v="0"/>
    <s v="Spray"/>
    <x v="100"/>
    <n v="54"/>
    <x v="0"/>
    <n v="234779"/>
    <x v="1"/>
  </r>
  <r>
    <x v="6"/>
    <x v="0"/>
    <x v="17"/>
    <n v="2996.6"/>
    <n v="40"/>
    <x v="0"/>
    <s v="Spray"/>
    <x v="101"/>
    <n v="53"/>
    <x v="0"/>
    <n v="1493"/>
    <x v="1"/>
  </r>
  <r>
    <x v="0"/>
    <x v="0"/>
    <x v="18"/>
    <n v="2996.6"/>
    <n v="40"/>
    <x v="0"/>
    <s v="Spray"/>
    <x v="102"/>
    <n v="52"/>
    <x v="0"/>
    <n v="64409"/>
    <x v="1"/>
  </r>
  <r>
    <x v="7"/>
    <x v="0"/>
    <x v="19"/>
    <n v="3522.8"/>
    <n v="40"/>
    <x v="0"/>
    <s v="Spray"/>
    <x v="102"/>
    <n v="51"/>
    <x v="0"/>
    <n v="249978"/>
    <x v="1"/>
  </r>
  <r>
    <x v="8"/>
    <x v="0"/>
    <x v="20"/>
    <n v="3522.8"/>
    <n v="41"/>
    <x v="0"/>
    <s v="Spray"/>
    <x v="103"/>
    <n v="57"/>
    <x v="0"/>
    <n v="637"/>
    <x v="1"/>
  </r>
  <r>
    <x v="9"/>
    <x v="0"/>
    <x v="21"/>
    <n v="3522.8"/>
    <n v="41"/>
    <x v="0"/>
    <s v="Spray"/>
    <x v="104"/>
    <n v="57"/>
    <x v="0"/>
    <n v="43311"/>
    <x v="1"/>
  </r>
  <r>
    <x v="10"/>
    <x v="0"/>
    <x v="22"/>
    <n v="2903.1"/>
    <n v="41"/>
    <x v="0"/>
    <s v="Spray"/>
    <x v="105"/>
    <n v="60"/>
    <x v="0"/>
    <n v="24848"/>
    <x v="1"/>
  </r>
  <r>
    <x v="11"/>
    <x v="0"/>
    <x v="23"/>
    <n v="2903.1"/>
    <n v="42"/>
    <x v="0"/>
    <s v="Spray"/>
    <x v="106"/>
    <n v="57"/>
    <x v="0"/>
    <n v="761"/>
    <x v="1"/>
  </r>
  <r>
    <x v="12"/>
    <x v="0"/>
    <x v="24"/>
    <n v="2903.1"/>
    <n v="42"/>
    <x v="0"/>
    <s v="Spray"/>
    <x v="107"/>
    <n v="57"/>
    <x v="0"/>
    <n v="45608"/>
    <x v="1"/>
  </r>
  <r>
    <x v="13"/>
    <x v="0"/>
    <x v="25"/>
    <n v="2996.6"/>
    <n v="42"/>
    <x v="0"/>
    <s v="Spray"/>
    <x v="108"/>
    <n v="54"/>
    <x v="0"/>
    <n v="234581"/>
    <x v="1"/>
  </r>
  <r>
    <x v="14"/>
    <x v="0"/>
    <x v="26"/>
    <n v="2996.6"/>
    <n v="43"/>
    <x v="0"/>
    <s v="Spray"/>
    <x v="109"/>
    <n v="54.5"/>
    <x v="0"/>
    <n v="646"/>
    <x v="1"/>
  </r>
  <r>
    <x v="1"/>
    <x v="0"/>
    <x v="27"/>
    <n v="2996.6"/>
    <n v="43"/>
    <x v="0"/>
    <s v="Spray"/>
    <x v="110"/>
    <n v="56.6"/>
    <x v="0"/>
    <n v="43562"/>
    <x v="1"/>
  </r>
  <r>
    <x v="2"/>
    <x v="0"/>
    <x v="28"/>
    <n v="3522.8"/>
    <n v="128"/>
    <x v="0"/>
    <s v="Spray"/>
    <x v="111"/>
    <n v="55.5"/>
    <x v="0"/>
    <n v="200000"/>
    <x v="1"/>
  </r>
  <r>
    <x v="3"/>
    <x v="0"/>
    <x v="29"/>
    <n v="3522.8"/>
    <n v="129"/>
    <x v="0"/>
    <s v="Spray"/>
    <x v="112"/>
    <n v="58.5"/>
    <x v="0"/>
    <n v="4847"/>
    <x v="1"/>
  </r>
  <r>
    <x v="4"/>
    <x v="0"/>
    <x v="30"/>
    <n v="3522.8"/>
    <n v="130"/>
    <x v="0"/>
    <s v="Spray"/>
    <x v="113"/>
    <n v="59.5"/>
    <x v="0"/>
    <n v="51239"/>
    <x v="1"/>
  </r>
  <r>
    <x v="5"/>
    <x v="0"/>
    <x v="31"/>
    <n v="3729.8"/>
    <n v="131"/>
    <x v="0"/>
    <s v="Spray"/>
    <x v="114"/>
    <n v="55"/>
    <x v="0"/>
    <n v="216396"/>
    <x v="1"/>
  </r>
  <r>
    <x v="6"/>
    <x v="0"/>
    <x v="32"/>
    <n v="3729.8"/>
    <n v="132"/>
    <x v="0"/>
    <s v="Spray"/>
    <x v="115"/>
    <n v="53"/>
    <x v="0"/>
    <n v="2644"/>
    <x v="1"/>
  </r>
  <r>
    <x v="0"/>
    <x v="0"/>
    <x v="33"/>
    <n v="3729.8"/>
    <n v="133"/>
    <x v="0"/>
    <s v="Spray"/>
    <x v="116"/>
    <n v="53.5"/>
    <x v="0"/>
    <n v="44235"/>
    <x v="1"/>
  </r>
  <r>
    <x v="7"/>
    <x v="0"/>
    <x v="34"/>
    <n v="2746.2"/>
    <n v="134"/>
    <x v="0"/>
    <s v="Spray"/>
    <x v="117"/>
    <n v="52.5"/>
    <x v="0"/>
    <n v="203317"/>
    <x v="1"/>
  </r>
  <r>
    <x v="8"/>
    <x v="0"/>
    <x v="35"/>
    <n v="2746.2"/>
    <n v="135"/>
    <x v="0"/>
    <s v="Spray"/>
    <x v="118"/>
    <n v="56"/>
    <x v="0"/>
    <n v="2134"/>
    <x v="1"/>
  </r>
  <r>
    <x v="9"/>
    <x v="0"/>
    <x v="36"/>
    <n v="2746.2"/>
    <n v="136"/>
    <x v="0"/>
    <s v="Spray"/>
    <x v="119"/>
    <n v="57"/>
    <x v="0"/>
    <n v="45186"/>
    <x v="1"/>
  </r>
  <r>
    <x v="10"/>
    <x v="0"/>
    <x v="37"/>
    <n v="3360"/>
    <n v="137"/>
    <x v="0"/>
    <s v="Spray"/>
    <x v="120"/>
    <n v="57.5"/>
    <x v="0"/>
    <n v="238542"/>
    <x v="1"/>
  </r>
  <r>
    <x v="11"/>
    <x v="0"/>
    <x v="38"/>
    <n v="3360"/>
    <n v="138"/>
    <x v="0"/>
    <s v="Spray"/>
    <x v="121"/>
    <n v="57"/>
    <x v="0"/>
    <n v="1516"/>
    <x v="1"/>
  </r>
  <r>
    <x v="12"/>
    <x v="0"/>
    <x v="39"/>
    <n v="3360"/>
    <n v="139"/>
    <x v="0"/>
    <s v="Spray"/>
    <x v="122"/>
    <n v="55"/>
    <x v="0"/>
    <n v="200000"/>
    <x v="1"/>
  </r>
  <r>
    <x v="13"/>
    <x v="0"/>
    <x v="40"/>
    <n v="3605.4"/>
    <n v="140"/>
    <x v="3"/>
    <s v="Spray"/>
    <x v="105"/>
    <n v="56"/>
    <x v="0"/>
    <n v="4847"/>
    <x v="1"/>
  </r>
  <r>
    <x v="14"/>
    <x v="0"/>
    <x v="41"/>
    <n v="3605.4"/>
    <n v="141"/>
    <x v="3"/>
    <s v="Spray"/>
    <x v="123"/>
    <n v="54"/>
    <x v="0"/>
    <n v="51239"/>
    <x v="1"/>
  </r>
  <r>
    <x v="1"/>
    <x v="0"/>
    <x v="42"/>
    <n v="3605.4"/>
    <n v="142"/>
    <x v="3"/>
    <s v="Spray"/>
    <x v="124"/>
    <n v="58"/>
    <x v="0"/>
    <n v="216396"/>
    <x v="1"/>
  </r>
  <r>
    <x v="2"/>
    <x v="0"/>
    <x v="43"/>
    <n v="3512.4"/>
    <n v="143"/>
    <x v="3"/>
    <s v="Spray"/>
    <x v="125"/>
    <n v="58"/>
    <x v="0"/>
    <n v="2644"/>
    <x v="1"/>
  </r>
  <r>
    <x v="3"/>
    <x v="0"/>
    <x v="44"/>
    <n v="3512.4"/>
    <n v="144"/>
    <x v="3"/>
    <s v="Spray"/>
    <x v="126"/>
    <n v="59"/>
    <x v="0"/>
    <n v="44235"/>
    <x v="1"/>
  </r>
  <r>
    <x v="4"/>
    <x v="0"/>
    <x v="45"/>
    <n v="3512.4"/>
    <n v="27"/>
    <x v="3"/>
    <s v="Spray"/>
    <x v="127"/>
    <n v="50"/>
    <x v="0"/>
    <n v="203317"/>
    <x v="1"/>
  </r>
  <r>
    <x v="5"/>
    <x v="0"/>
    <x v="46"/>
    <n v="3296"/>
    <n v="27"/>
    <x v="3"/>
    <s v="Spray"/>
    <x v="128"/>
    <n v="54"/>
    <x v="0"/>
    <n v="2134"/>
    <x v="1"/>
  </r>
  <r>
    <x v="6"/>
    <x v="0"/>
    <x v="47"/>
    <n v="3296"/>
    <n v="27"/>
    <x v="3"/>
    <s v="Drip"/>
    <x v="66"/>
    <n v="53"/>
    <x v="1"/>
    <n v="45186"/>
    <x v="1"/>
  </r>
  <r>
    <x v="0"/>
    <x v="0"/>
    <x v="48"/>
    <n v="3296"/>
    <n v="27"/>
    <x v="3"/>
    <s v="Drip"/>
    <x v="129"/>
    <n v="52"/>
    <x v="1"/>
    <n v="238542"/>
    <x v="1"/>
  </r>
  <r>
    <x v="7"/>
    <x v="0"/>
    <x v="49"/>
    <n v="3550"/>
    <n v="27"/>
    <x v="3"/>
    <s v="Drip"/>
    <x v="130"/>
    <n v="51"/>
    <x v="1"/>
    <n v="1516"/>
    <x v="1"/>
  </r>
  <r>
    <x v="8"/>
    <x v="0"/>
    <x v="50"/>
    <n v="3550"/>
    <n v="27"/>
    <x v="3"/>
    <s v="Drip"/>
    <x v="131"/>
    <n v="57"/>
    <x v="1"/>
    <n v="57259"/>
    <x v="1"/>
  </r>
  <r>
    <x v="9"/>
    <x v="0"/>
    <x v="51"/>
    <n v="3550"/>
    <n v="27.2"/>
    <x v="3"/>
    <s v="Drip"/>
    <x v="132"/>
    <n v="57"/>
    <x v="1"/>
    <n v="234779"/>
    <x v="1"/>
  </r>
  <r>
    <x v="10"/>
    <x v="0"/>
    <x v="52"/>
    <n v="3654"/>
    <n v="27.2"/>
    <x v="3"/>
    <s v="Drip"/>
    <x v="124"/>
    <n v="60"/>
    <x v="1"/>
    <n v="1493"/>
    <x v="1"/>
  </r>
  <r>
    <x v="11"/>
    <x v="0"/>
    <x v="53"/>
    <n v="3654"/>
    <n v="27.2"/>
    <x v="3"/>
    <s v="Drip"/>
    <x v="133"/>
    <n v="57"/>
    <x v="2"/>
    <n v="64409"/>
    <x v="1"/>
  </r>
  <r>
    <x v="12"/>
    <x v="0"/>
    <x v="54"/>
    <n v="3654"/>
    <n v="27"/>
    <x v="3"/>
    <s v="Drip"/>
    <x v="134"/>
    <n v="57"/>
    <x v="2"/>
    <n v="249978"/>
    <x v="1"/>
  </r>
  <r>
    <x v="13"/>
    <x v="0"/>
    <x v="55"/>
    <n v="233"/>
    <n v="27"/>
    <x v="3"/>
    <s v="Drip"/>
    <x v="135"/>
    <n v="54"/>
    <x v="2"/>
    <n v="637"/>
    <x v="1"/>
  </r>
  <r>
    <x v="14"/>
    <x v="0"/>
    <x v="56"/>
    <n v="233"/>
    <n v="27"/>
    <x v="3"/>
    <s v="Drip"/>
    <x v="136"/>
    <n v="54.5"/>
    <x v="2"/>
    <n v="43311"/>
    <x v="1"/>
  </r>
  <r>
    <x v="1"/>
    <x v="0"/>
    <x v="57"/>
    <n v="233"/>
    <n v="27"/>
    <x v="3"/>
    <s v="Drip"/>
    <x v="137"/>
    <n v="56.6"/>
    <x v="2"/>
    <n v="24848"/>
    <x v="1"/>
  </r>
  <r>
    <x v="2"/>
    <x v="0"/>
    <x v="58"/>
    <n v="234"/>
    <n v="27"/>
    <x v="3"/>
    <s v="Drip"/>
    <x v="138"/>
    <n v="55.5"/>
    <x v="2"/>
    <n v="761"/>
    <x v="1"/>
  </r>
  <r>
    <x v="3"/>
    <x v="0"/>
    <x v="59"/>
    <n v="234"/>
    <n v="27"/>
    <x v="3"/>
    <s v="Drip"/>
    <x v="139"/>
    <n v="58.5"/>
    <x v="2"/>
    <n v="45608"/>
    <x v="1"/>
  </r>
  <r>
    <x v="4"/>
    <x v="0"/>
    <x v="60"/>
    <n v="234"/>
    <n v="27.2"/>
    <x v="3"/>
    <s v="Drip"/>
    <x v="140"/>
    <n v="59.5"/>
    <x v="2"/>
    <n v="234581"/>
    <x v="1"/>
  </r>
  <r>
    <x v="5"/>
    <x v="0"/>
    <x v="61"/>
    <n v="3105"/>
    <n v="27.2"/>
    <x v="3"/>
    <s v="Drip"/>
    <x v="141"/>
    <n v="55"/>
    <x v="2"/>
    <n v="646"/>
    <x v="1"/>
  </r>
  <r>
    <x v="6"/>
    <x v="0"/>
    <x v="62"/>
    <n v="3105"/>
    <n v="27.2"/>
    <x v="3"/>
    <s v="Drip"/>
    <x v="142"/>
    <n v="53"/>
    <x v="2"/>
    <n v="43562"/>
    <x v="1"/>
  </r>
  <r>
    <x v="0"/>
    <x v="0"/>
    <x v="63"/>
    <n v="3105"/>
    <n v="27.1"/>
    <x v="3"/>
    <s v="Drip"/>
    <x v="143"/>
    <n v="53.5"/>
    <x v="2"/>
    <n v="200000"/>
    <x v="1"/>
  </r>
  <r>
    <x v="7"/>
    <x v="0"/>
    <x v="64"/>
    <n v="236"/>
    <n v="27.1"/>
    <x v="3"/>
    <s v="Drip"/>
    <x v="144"/>
    <n v="52.5"/>
    <x v="2"/>
    <n v="4847"/>
    <x v="1"/>
  </r>
  <r>
    <x v="8"/>
    <x v="0"/>
    <x v="65"/>
    <n v="236"/>
    <n v="27.1"/>
    <x v="3"/>
    <s v="Drip"/>
    <x v="145"/>
    <n v="56"/>
    <x v="2"/>
    <n v="51239"/>
    <x v="1"/>
  </r>
  <r>
    <x v="9"/>
    <x v="0"/>
    <x v="62"/>
    <n v="2903.1"/>
    <n v="26.8"/>
    <x v="3"/>
    <s v="Drip"/>
    <x v="146"/>
    <n v="57"/>
    <x v="2"/>
    <n v="216396"/>
    <x v="1"/>
  </r>
  <r>
    <x v="10"/>
    <x v="0"/>
    <x v="66"/>
    <n v="2903.1"/>
    <n v="26.8"/>
    <x v="3"/>
    <s v="Drip"/>
    <x v="147"/>
    <n v="57.5"/>
    <x v="2"/>
    <n v="2644"/>
    <x v="1"/>
  </r>
  <r>
    <x v="11"/>
    <x v="0"/>
    <x v="67"/>
    <n v="2903.1"/>
    <n v="26.8"/>
    <x v="3"/>
    <s v="Drip"/>
    <x v="148"/>
    <n v="57"/>
    <x v="3"/>
    <n v="44235"/>
    <x v="1"/>
  </r>
  <r>
    <x v="12"/>
    <x v="0"/>
    <x v="68"/>
    <n v="2996.6"/>
    <n v="37"/>
    <x v="4"/>
    <s v="Drip"/>
    <x v="149"/>
    <n v="55"/>
    <x v="3"/>
    <n v="203317"/>
    <x v="1"/>
  </r>
  <r>
    <x v="13"/>
    <x v="0"/>
    <x v="67"/>
    <n v="2996.6"/>
    <n v="37"/>
    <x v="4"/>
    <s v="Drip"/>
    <x v="150"/>
    <n v="56"/>
    <x v="3"/>
    <n v="2134"/>
    <x v="1"/>
  </r>
  <r>
    <x v="14"/>
    <x v="0"/>
    <x v="69"/>
    <n v="2996.6"/>
    <n v="37"/>
    <x v="4"/>
    <s v="Drip"/>
    <x v="151"/>
    <n v="54"/>
    <x v="3"/>
    <n v="45186"/>
    <x v="1"/>
  </r>
  <r>
    <x v="1"/>
    <x v="0"/>
    <x v="70"/>
    <n v="3522.8"/>
    <n v="38"/>
    <x v="4"/>
    <s v="Drip"/>
    <x v="152"/>
    <n v="58"/>
    <x v="3"/>
    <n v="238542"/>
    <x v="1"/>
  </r>
  <r>
    <x v="2"/>
    <x v="0"/>
    <x v="71"/>
    <n v="3522.8"/>
    <n v="38"/>
    <x v="4"/>
    <s v="Drip"/>
    <x v="153"/>
    <n v="58"/>
    <x v="3"/>
    <n v="1516"/>
    <x v="1"/>
  </r>
  <r>
    <x v="3"/>
    <x v="0"/>
    <x v="64"/>
    <n v="3522.8"/>
    <n v="38"/>
    <x v="11"/>
    <s v="Drip"/>
    <x v="154"/>
    <n v="59"/>
    <x v="3"/>
    <n v="57259"/>
    <x v="1"/>
  </r>
  <r>
    <x v="4"/>
    <x v="0"/>
    <x v="63"/>
    <n v="2903.1"/>
    <n v="39"/>
    <x v="11"/>
    <s v="Drip"/>
    <x v="155"/>
    <n v="50"/>
    <x v="3"/>
    <n v="234779"/>
    <x v="1"/>
  </r>
  <r>
    <x v="5"/>
    <x v="0"/>
    <x v="72"/>
    <n v="2903.1"/>
    <n v="39"/>
    <x v="11"/>
    <s v="Drip"/>
    <x v="156"/>
    <n v="54"/>
    <x v="3"/>
    <n v="1493"/>
    <x v="1"/>
  </r>
  <r>
    <x v="6"/>
    <x v="0"/>
    <x v="73"/>
    <n v="2903.1"/>
    <n v="39"/>
    <x v="11"/>
    <s v="Drip"/>
    <x v="157"/>
    <n v="53"/>
    <x v="3"/>
    <n v="64409"/>
    <x v="1"/>
  </r>
  <r>
    <x v="0"/>
    <x v="0"/>
    <x v="60"/>
    <n v="2996.6"/>
    <n v="40"/>
    <x v="11"/>
    <s v="Drip"/>
    <x v="158"/>
    <n v="52"/>
    <x v="3"/>
    <n v="249978"/>
    <x v="1"/>
  </r>
  <r>
    <x v="7"/>
    <x v="0"/>
    <x v="74"/>
    <n v="2996.6"/>
    <n v="40"/>
    <x v="11"/>
    <s v="Drip"/>
    <x v="159"/>
    <n v="51"/>
    <x v="3"/>
    <n v="637"/>
    <x v="1"/>
  </r>
  <r>
    <x v="8"/>
    <x v="0"/>
    <x v="75"/>
    <n v="2996.6"/>
    <n v="40"/>
    <x v="8"/>
    <s v="Drip"/>
    <x v="160"/>
    <n v="57"/>
    <x v="3"/>
    <n v="43311"/>
    <x v="1"/>
  </r>
  <r>
    <x v="9"/>
    <x v="0"/>
    <x v="76"/>
    <n v="3522.8"/>
    <n v="41"/>
    <x v="8"/>
    <s v="Drip"/>
    <x v="161"/>
    <n v="57"/>
    <x v="3"/>
    <n v="24848"/>
    <x v="1"/>
  </r>
  <r>
    <x v="10"/>
    <x v="0"/>
    <x v="77"/>
    <n v="3522.8"/>
    <n v="41"/>
    <x v="8"/>
    <s v="Drip"/>
    <x v="131"/>
    <n v="60"/>
    <x v="3"/>
    <n v="761"/>
    <x v="1"/>
  </r>
  <r>
    <x v="11"/>
    <x v="0"/>
    <x v="78"/>
    <n v="3522.8"/>
    <n v="41"/>
    <x v="8"/>
    <s v="Drip"/>
    <x v="132"/>
    <n v="57"/>
    <x v="4"/>
    <n v="45608"/>
    <x v="1"/>
  </r>
  <r>
    <x v="12"/>
    <x v="0"/>
    <x v="79"/>
    <n v="3729.8"/>
    <n v="42"/>
    <x v="8"/>
    <s v="Drip"/>
    <x v="124"/>
    <n v="57"/>
    <x v="4"/>
    <n v="234581"/>
    <x v="1"/>
  </r>
  <r>
    <x v="13"/>
    <x v="0"/>
    <x v="80"/>
    <n v="3729.8"/>
    <n v="42"/>
    <x v="8"/>
    <s v="Drip"/>
    <x v="133"/>
    <n v="54"/>
    <x v="4"/>
    <n v="646"/>
    <x v="1"/>
  </r>
  <r>
    <x v="14"/>
    <x v="0"/>
    <x v="81"/>
    <n v="3729.8"/>
    <n v="42"/>
    <x v="8"/>
    <s v="Drip"/>
    <x v="134"/>
    <n v="54.5"/>
    <x v="4"/>
    <n v="43562"/>
    <x v="1"/>
  </r>
  <r>
    <x v="1"/>
    <x v="0"/>
    <x v="82"/>
    <n v="2746.2"/>
    <n v="43"/>
    <x v="8"/>
    <s v="Drip"/>
    <x v="135"/>
    <n v="56.6"/>
    <x v="4"/>
    <n v="200000"/>
    <x v="1"/>
  </r>
  <r>
    <x v="2"/>
    <x v="0"/>
    <x v="83"/>
    <n v="2746.2"/>
    <n v="43"/>
    <x v="8"/>
    <s v="Drip"/>
    <x v="136"/>
    <n v="55.5"/>
    <x v="4"/>
    <n v="4847"/>
    <x v="1"/>
  </r>
  <r>
    <x v="3"/>
    <x v="0"/>
    <x v="84"/>
    <n v="2746.2"/>
    <n v="27"/>
    <x v="8"/>
    <s v="Drip"/>
    <x v="137"/>
    <n v="58.5"/>
    <x v="4"/>
    <n v="51239"/>
    <x v="1"/>
  </r>
  <r>
    <x v="4"/>
    <x v="0"/>
    <x v="85"/>
    <n v="3360"/>
    <n v="27"/>
    <x v="8"/>
    <s v="Drip"/>
    <x v="138"/>
    <n v="59.5"/>
    <x v="4"/>
    <n v="216396"/>
    <x v="1"/>
  </r>
  <r>
    <x v="5"/>
    <x v="0"/>
    <x v="86"/>
    <n v="3360"/>
    <n v="27"/>
    <x v="8"/>
    <s v="Basin"/>
    <x v="139"/>
    <n v="55"/>
    <x v="4"/>
    <n v="2644"/>
    <x v="1"/>
  </r>
  <r>
    <x v="6"/>
    <x v="0"/>
    <x v="87"/>
    <n v="3360"/>
    <n v="27"/>
    <x v="8"/>
    <s v="Basin"/>
    <x v="140"/>
    <n v="53"/>
    <x v="4"/>
    <n v="44235"/>
    <x v="1"/>
  </r>
  <r>
    <x v="0"/>
    <x v="0"/>
    <x v="88"/>
    <n v="3605.4"/>
    <n v="27"/>
    <x v="8"/>
    <s v="Basin"/>
    <x v="141"/>
    <n v="53.5"/>
    <x v="4"/>
    <n v="203317"/>
    <x v="1"/>
  </r>
  <r>
    <x v="7"/>
    <x v="0"/>
    <x v="89"/>
    <n v="3605.4"/>
    <n v="27"/>
    <x v="8"/>
    <s v="Basin"/>
    <x v="142"/>
    <n v="52.5"/>
    <x v="4"/>
    <n v="2134"/>
    <x v="1"/>
  </r>
  <r>
    <x v="8"/>
    <x v="0"/>
    <x v="90"/>
    <n v="3605.4"/>
    <n v="27.2"/>
    <x v="8"/>
    <s v="Basin"/>
    <x v="143"/>
    <n v="56"/>
    <x v="4"/>
    <n v="45186"/>
    <x v="1"/>
  </r>
  <r>
    <x v="9"/>
    <x v="0"/>
    <x v="91"/>
    <n v="3512.4"/>
    <n v="27.2"/>
    <x v="8"/>
    <s v="Basin"/>
    <x v="144"/>
    <n v="57"/>
    <x v="4"/>
    <n v="238542"/>
    <x v="1"/>
  </r>
  <r>
    <x v="10"/>
    <x v="0"/>
    <x v="92"/>
    <n v="3512.4"/>
    <n v="27.2"/>
    <x v="8"/>
    <s v="Basin"/>
    <x v="145"/>
    <n v="57.5"/>
    <x v="4"/>
    <n v="1516"/>
    <x v="1"/>
  </r>
  <r>
    <x v="11"/>
    <x v="1"/>
    <x v="64"/>
    <n v="3512.4"/>
    <n v="27"/>
    <x v="8"/>
    <s v="Basin"/>
    <x v="146"/>
    <n v="57"/>
    <x v="5"/>
    <n v="200000"/>
    <x v="1"/>
  </r>
  <r>
    <x v="12"/>
    <x v="1"/>
    <x v="93"/>
    <n v="3296"/>
    <n v="27"/>
    <x v="8"/>
    <s v="Basin"/>
    <x v="147"/>
    <n v="55"/>
    <x v="5"/>
    <n v="4847"/>
    <x v="1"/>
  </r>
  <r>
    <x v="13"/>
    <x v="1"/>
    <x v="94"/>
    <n v="3296"/>
    <n v="27"/>
    <x v="8"/>
    <s v="Basin"/>
    <x v="148"/>
    <n v="56"/>
    <x v="5"/>
    <n v="51239"/>
    <x v="1"/>
  </r>
  <r>
    <x v="14"/>
    <x v="1"/>
    <x v="95"/>
    <n v="3296"/>
    <n v="27"/>
    <x v="8"/>
    <s v="Basin"/>
    <x v="149"/>
    <n v="54"/>
    <x v="5"/>
    <n v="216396"/>
    <x v="1"/>
  </r>
  <r>
    <x v="1"/>
    <x v="1"/>
    <x v="96"/>
    <n v="3550"/>
    <n v="27"/>
    <x v="8"/>
    <s v="Basin"/>
    <x v="150"/>
    <n v="58"/>
    <x v="5"/>
    <n v="2644"/>
    <x v="1"/>
  </r>
  <r>
    <x v="2"/>
    <x v="1"/>
    <x v="97"/>
    <n v="3550"/>
    <n v="27"/>
    <x v="8"/>
    <s v="Basin"/>
    <x v="151"/>
    <n v="58"/>
    <x v="5"/>
    <n v="44235"/>
    <x v="1"/>
  </r>
  <r>
    <x v="3"/>
    <x v="1"/>
    <x v="98"/>
    <n v="3550"/>
    <n v="27.2"/>
    <x v="8"/>
    <s v="Basin"/>
    <x v="152"/>
    <n v="59"/>
    <x v="5"/>
    <n v="203317"/>
    <x v="1"/>
  </r>
  <r>
    <x v="4"/>
    <x v="1"/>
    <x v="99"/>
    <n v="3654"/>
    <n v="27.2"/>
    <x v="8"/>
    <s v="Basin"/>
    <x v="153"/>
    <n v="50"/>
    <x v="5"/>
    <n v="2134"/>
    <x v="1"/>
  </r>
  <r>
    <x v="5"/>
    <x v="1"/>
    <x v="100"/>
    <n v="3654"/>
    <n v="27.2"/>
    <x v="8"/>
    <s v="Basin"/>
    <x v="154"/>
    <n v="54"/>
    <x v="5"/>
    <n v="45186"/>
    <x v="1"/>
  </r>
  <r>
    <x v="6"/>
    <x v="1"/>
    <x v="101"/>
    <n v="3654"/>
    <n v="27.1"/>
    <x v="8"/>
    <s v="Basin"/>
    <x v="155"/>
    <n v="53"/>
    <x v="5"/>
    <n v="238542"/>
    <x v="1"/>
  </r>
  <r>
    <x v="15"/>
    <x v="1"/>
    <x v="102"/>
    <n v="233"/>
    <n v="27.1"/>
    <x v="8"/>
    <s v="Basin"/>
    <x v="156"/>
    <n v="52"/>
    <x v="5"/>
    <n v="1516"/>
    <x v="1"/>
  </r>
  <r>
    <x v="0"/>
    <x v="1"/>
    <x v="103"/>
    <n v="233"/>
    <n v="27.1"/>
    <x v="8"/>
    <s v="Basin"/>
    <x v="157"/>
    <n v="51"/>
    <x v="5"/>
    <n v="57259"/>
    <x v="1"/>
  </r>
  <r>
    <x v="7"/>
    <x v="1"/>
    <x v="104"/>
    <n v="233"/>
    <n v="26.8"/>
    <x v="8"/>
    <s v="Basin"/>
    <x v="158"/>
    <n v="57"/>
    <x v="5"/>
    <n v="234779"/>
    <x v="1"/>
  </r>
  <r>
    <x v="8"/>
    <x v="1"/>
    <x v="105"/>
    <n v="234"/>
    <n v="26.8"/>
    <x v="8"/>
    <s v="Basin"/>
    <x v="159"/>
    <n v="57"/>
    <x v="5"/>
    <n v="1493"/>
    <x v="1"/>
  </r>
  <r>
    <x v="9"/>
    <x v="1"/>
    <x v="106"/>
    <n v="234"/>
    <n v="26.8"/>
    <x v="8"/>
    <s v="Basin"/>
    <x v="160"/>
    <n v="60"/>
    <x v="5"/>
    <n v="64409"/>
    <x v="1"/>
  </r>
  <r>
    <x v="10"/>
    <x v="1"/>
    <x v="107"/>
    <n v="234"/>
    <n v="37"/>
    <x v="8"/>
    <s v="Basin"/>
    <x v="161"/>
    <n v="57"/>
    <x v="6"/>
    <n v="249978"/>
    <x v="1"/>
  </r>
  <r>
    <x v="11"/>
    <x v="1"/>
    <x v="108"/>
    <n v="3105"/>
    <n v="37"/>
    <x v="8"/>
    <s v="Basin"/>
    <x v="131"/>
    <n v="57"/>
    <x v="6"/>
    <n v="637"/>
    <x v="1"/>
  </r>
  <r>
    <x v="12"/>
    <x v="1"/>
    <x v="109"/>
    <n v="3105"/>
    <n v="37"/>
    <x v="8"/>
    <s v="Basin"/>
    <x v="132"/>
    <n v="54"/>
    <x v="6"/>
    <n v="43311"/>
    <x v="1"/>
  </r>
  <r>
    <x v="13"/>
    <x v="1"/>
    <x v="110"/>
    <n v="3105"/>
    <n v="38"/>
    <x v="8"/>
    <s v="Basin"/>
    <x v="124"/>
    <n v="54.5"/>
    <x v="6"/>
    <n v="24848"/>
    <x v="1"/>
  </r>
  <r>
    <x v="14"/>
    <x v="1"/>
    <x v="111"/>
    <n v="236"/>
    <n v="38"/>
    <x v="8"/>
    <s v="Basin"/>
    <x v="133"/>
    <n v="56.6"/>
    <x v="6"/>
    <n v="761"/>
    <x v="1"/>
  </r>
  <r>
    <x v="1"/>
    <x v="7"/>
    <x v="112"/>
    <n v="236"/>
    <n v="38"/>
    <x v="8"/>
    <s v="Basin"/>
    <x v="134"/>
    <n v="55.5"/>
    <x v="6"/>
    <n v="45608"/>
    <x v="1"/>
  </r>
  <r>
    <x v="2"/>
    <x v="7"/>
    <x v="113"/>
    <n v="2903.1"/>
    <n v="39"/>
    <x v="8"/>
    <s v="Basin"/>
    <x v="135"/>
    <n v="58.5"/>
    <x v="6"/>
    <n v="234581"/>
    <x v="1"/>
  </r>
  <r>
    <x v="3"/>
    <x v="7"/>
    <x v="114"/>
    <n v="2903.1"/>
    <n v="39"/>
    <x v="8"/>
    <s v="Basin"/>
    <x v="136"/>
    <n v="59.5"/>
    <x v="6"/>
    <n v="646"/>
    <x v="1"/>
  </r>
  <r>
    <x v="4"/>
    <x v="7"/>
    <x v="115"/>
    <n v="2903.1"/>
    <n v="39"/>
    <x v="8"/>
    <s v="Basin"/>
    <x v="137"/>
    <n v="55"/>
    <x v="6"/>
    <n v="43562"/>
    <x v="1"/>
  </r>
  <r>
    <x v="5"/>
    <x v="7"/>
    <x v="116"/>
    <n v="2996.6"/>
    <n v="40"/>
    <x v="8"/>
    <s v="Basin"/>
    <x v="138"/>
    <n v="53"/>
    <x v="6"/>
    <n v="200000"/>
    <x v="1"/>
  </r>
  <r>
    <x v="6"/>
    <x v="7"/>
    <x v="117"/>
    <n v="2996.6"/>
    <n v="40"/>
    <x v="8"/>
    <s v="Basin"/>
    <x v="139"/>
    <n v="53.5"/>
    <x v="6"/>
    <n v="4847"/>
    <x v="1"/>
  </r>
  <r>
    <x v="14"/>
    <x v="7"/>
    <x v="118"/>
    <n v="2996.6"/>
    <n v="40"/>
    <x v="8"/>
    <s v="Basin"/>
    <x v="140"/>
    <n v="52.5"/>
    <x v="6"/>
    <n v="51239"/>
    <x v="1"/>
  </r>
  <r>
    <x v="1"/>
    <x v="7"/>
    <x v="119"/>
    <n v="3522.8"/>
    <n v="41"/>
    <x v="8"/>
    <s v="Basin"/>
    <x v="141"/>
    <n v="56"/>
    <x v="6"/>
    <n v="216396"/>
    <x v="1"/>
  </r>
  <r>
    <x v="2"/>
    <x v="7"/>
    <x v="120"/>
    <n v="3522.8"/>
    <n v="41"/>
    <x v="8"/>
    <s v="Basin"/>
    <x v="142"/>
    <n v="57"/>
    <x v="6"/>
    <n v="2644"/>
    <x v="1"/>
  </r>
  <r>
    <x v="3"/>
    <x v="7"/>
    <x v="12"/>
    <n v="3522.8"/>
    <n v="41"/>
    <x v="8"/>
    <s v="Basin"/>
    <x v="143"/>
    <n v="57.5"/>
    <x v="6"/>
    <n v="44235"/>
    <x v="1"/>
  </r>
  <r>
    <x v="4"/>
    <x v="7"/>
    <x v="121"/>
    <n v="2903.1"/>
    <n v="42"/>
    <x v="8"/>
    <s v="Basin"/>
    <x v="144"/>
    <n v="57"/>
    <x v="7"/>
    <n v="203317"/>
    <x v="1"/>
  </r>
  <r>
    <x v="5"/>
    <x v="7"/>
    <x v="122"/>
    <n v="2903.1"/>
    <n v="42"/>
    <x v="4"/>
    <s v="Basin"/>
    <x v="145"/>
    <n v="55"/>
    <x v="7"/>
    <n v="2134"/>
    <x v="1"/>
  </r>
  <r>
    <x v="6"/>
    <x v="7"/>
    <x v="123"/>
    <n v="2903.1"/>
    <n v="42"/>
    <x v="4"/>
    <s v="Basin"/>
    <x v="146"/>
    <n v="56"/>
    <x v="7"/>
    <n v="45186"/>
    <x v="1"/>
  </r>
  <r>
    <x v="15"/>
    <x v="7"/>
    <x v="9"/>
    <n v="2996.6"/>
    <n v="43"/>
    <x v="4"/>
    <s v="Basin"/>
    <x v="147"/>
    <n v="54"/>
    <x v="7"/>
    <n v="238542"/>
    <x v="1"/>
  </r>
  <r>
    <x v="0"/>
    <x v="7"/>
    <x v="124"/>
    <n v="2996.6"/>
    <n v="27"/>
    <x v="4"/>
    <s v="Basin"/>
    <x v="148"/>
    <n v="58"/>
    <x v="7"/>
    <n v="1516"/>
    <x v="1"/>
  </r>
  <r>
    <x v="7"/>
    <x v="7"/>
    <x v="125"/>
    <n v="2996.6"/>
    <n v="27"/>
    <x v="4"/>
    <s v="Basin"/>
    <x v="149"/>
    <n v="58"/>
    <x v="7"/>
    <n v="57259"/>
    <x v="1"/>
  </r>
  <r>
    <x v="8"/>
    <x v="7"/>
    <x v="126"/>
    <n v="3522.8"/>
    <n v="27"/>
    <x v="4"/>
    <s v="Spray"/>
    <x v="150"/>
    <n v="59"/>
    <x v="7"/>
    <n v="234779"/>
    <x v="1"/>
  </r>
  <r>
    <x v="9"/>
    <x v="7"/>
    <x v="127"/>
    <n v="3522.8"/>
    <n v="27"/>
    <x v="4"/>
    <s v="Spray"/>
    <x v="151"/>
    <n v="50"/>
    <x v="7"/>
    <n v="1493"/>
    <x v="1"/>
  </r>
  <r>
    <x v="10"/>
    <x v="7"/>
    <x v="128"/>
    <n v="3522.8"/>
    <n v="27"/>
    <x v="4"/>
    <s v="Spray"/>
    <x v="152"/>
    <n v="54"/>
    <x v="7"/>
    <n v="64409"/>
    <x v="1"/>
  </r>
  <r>
    <x v="11"/>
    <x v="2"/>
    <x v="129"/>
    <n v="3729.8"/>
    <n v="27"/>
    <x v="4"/>
    <s v="Spray"/>
    <x v="153"/>
    <n v="53"/>
    <x v="7"/>
    <n v="249978"/>
    <x v="1"/>
  </r>
  <r>
    <x v="12"/>
    <x v="2"/>
    <x v="130"/>
    <n v="3729.8"/>
    <n v="27.2"/>
    <x v="4"/>
    <s v="Spray"/>
    <x v="154"/>
    <n v="52"/>
    <x v="7"/>
    <n v="637"/>
    <x v="1"/>
  </r>
  <r>
    <x v="13"/>
    <x v="2"/>
    <x v="131"/>
    <n v="3729.8"/>
    <n v="27.2"/>
    <x v="4"/>
    <s v="Spray"/>
    <x v="155"/>
    <n v="51"/>
    <x v="7"/>
    <n v="43311"/>
    <x v="1"/>
  </r>
  <r>
    <x v="14"/>
    <x v="2"/>
    <x v="132"/>
    <n v="2746.2"/>
    <n v="27.2"/>
    <x v="4"/>
    <s v="Spray"/>
    <x v="156"/>
    <n v="57"/>
    <x v="7"/>
    <n v="24848"/>
    <x v="1"/>
  </r>
  <r>
    <x v="1"/>
    <x v="2"/>
    <x v="133"/>
    <n v="2746.2"/>
    <n v="27"/>
    <x v="4"/>
    <s v="Spray"/>
    <x v="157"/>
    <n v="57"/>
    <x v="7"/>
    <n v="761"/>
    <x v="1"/>
  </r>
  <r>
    <x v="2"/>
    <x v="2"/>
    <x v="134"/>
    <n v="2746.2"/>
    <n v="27"/>
    <x v="4"/>
    <s v="Spray"/>
    <x v="158"/>
    <n v="60"/>
    <x v="7"/>
    <n v="45608"/>
    <x v="1"/>
  </r>
  <r>
    <x v="3"/>
    <x v="2"/>
    <x v="135"/>
    <n v="3360"/>
    <n v="27"/>
    <x v="4"/>
    <s v="Spray"/>
    <x v="159"/>
    <n v="57"/>
    <x v="8"/>
    <n v="234581"/>
    <x v="1"/>
  </r>
  <r>
    <x v="4"/>
    <x v="2"/>
    <x v="136"/>
    <n v="3360"/>
    <n v="27"/>
    <x v="4"/>
    <s v="Spray"/>
    <x v="160"/>
    <n v="57"/>
    <x v="8"/>
    <n v="646"/>
    <x v="1"/>
  </r>
  <r>
    <x v="5"/>
    <x v="2"/>
    <x v="137"/>
    <n v="3360"/>
    <n v="27"/>
    <x v="4"/>
    <s v="Spray"/>
    <x v="161"/>
    <n v="54"/>
    <x v="8"/>
    <n v="43562"/>
    <x v="1"/>
  </r>
  <r>
    <x v="6"/>
    <x v="2"/>
    <x v="138"/>
    <n v="3605.4"/>
    <n v="27"/>
    <x v="4"/>
    <s v="Spray"/>
    <x v="91"/>
    <n v="54.5"/>
    <x v="8"/>
    <n v="200000"/>
    <x v="1"/>
  </r>
  <r>
    <x v="13"/>
    <x v="2"/>
    <x v="139"/>
    <n v="3605.4"/>
    <n v="27.2"/>
    <x v="4"/>
    <s v="Spray"/>
    <x v="92"/>
    <n v="56.6"/>
    <x v="8"/>
    <n v="4847"/>
    <x v="1"/>
  </r>
  <r>
    <x v="14"/>
    <x v="2"/>
    <x v="140"/>
    <n v="2903.1"/>
    <n v="27.2"/>
    <x v="4"/>
    <s v="Spray"/>
    <x v="93"/>
    <n v="55.5"/>
    <x v="8"/>
    <n v="51239"/>
    <x v="1"/>
  </r>
  <r>
    <x v="1"/>
    <x v="2"/>
    <x v="141"/>
    <n v="2903.1"/>
    <n v="27.2"/>
    <x v="4"/>
    <s v="Spray"/>
    <x v="94"/>
    <n v="58.5"/>
    <x v="8"/>
    <n v="216396"/>
    <x v="1"/>
  </r>
  <r>
    <x v="2"/>
    <x v="2"/>
    <x v="142"/>
    <n v="2903.1"/>
    <n v="27.1"/>
    <x v="4"/>
    <s v="Spray"/>
    <x v="95"/>
    <n v="59.5"/>
    <x v="8"/>
    <n v="2644"/>
    <x v="1"/>
  </r>
  <r>
    <x v="3"/>
    <x v="2"/>
    <x v="143"/>
    <n v="2996.6"/>
    <n v="27.1"/>
    <x v="4"/>
    <s v="Spray"/>
    <x v="96"/>
    <n v="55"/>
    <x v="8"/>
    <n v="44235"/>
    <x v="1"/>
  </r>
  <r>
    <x v="4"/>
    <x v="2"/>
    <x v="144"/>
    <n v="2996.6"/>
    <n v="27.1"/>
    <x v="4"/>
    <s v="Spray"/>
    <x v="97"/>
    <n v="53"/>
    <x v="8"/>
    <n v="203317"/>
    <x v="1"/>
  </r>
  <r>
    <x v="5"/>
    <x v="2"/>
    <x v="145"/>
    <n v="2996.6"/>
    <n v="26.8"/>
    <x v="4"/>
    <s v="Spray"/>
    <x v="98"/>
    <n v="53.5"/>
    <x v="8"/>
    <n v="2134"/>
    <x v="1"/>
  </r>
  <r>
    <x v="6"/>
    <x v="2"/>
    <x v="146"/>
    <n v="3522.8"/>
    <n v="26.8"/>
    <x v="4"/>
    <s v="Spray"/>
    <x v="99"/>
    <n v="52.5"/>
    <x v="8"/>
    <n v="45186"/>
    <x v="1"/>
  </r>
  <r>
    <x v="0"/>
    <x v="2"/>
    <x v="147"/>
    <n v="3522.8"/>
    <n v="26.8"/>
    <x v="4"/>
    <s v="Spray"/>
    <x v="100"/>
    <n v="56"/>
    <x v="8"/>
    <n v="238542"/>
    <x v="1"/>
  </r>
  <r>
    <x v="7"/>
    <x v="2"/>
    <x v="148"/>
    <n v="3522.8"/>
    <n v="37"/>
    <x v="4"/>
    <s v="Spray"/>
    <x v="101"/>
    <n v="57"/>
    <x v="8"/>
    <n v="1516"/>
    <x v="1"/>
  </r>
  <r>
    <x v="8"/>
    <x v="2"/>
    <x v="73"/>
    <n v="3729.8"/>
    <n v="37"/>
    <x v="4"/>
    <s v="Spray"/>
    <x v="102"/>
    <n v="57.5"/>
    <x v="8"/>
    <n v="200000"/>
    <x v="1"/>
  </r>
  <r>
    <x v="9"/>
    <x v="2"/>
    <x v="71"/>
    <n v="2903.1"/>
    <n v="37"/>
    <x v="4"/>
    <s v="Spray"/>
    <x v="102"/>
    <n v="57"/>
    <x v="9"/>
    <n v="4847"/>
    <x v="1"/>
  </r>
  <r>
    <x v="10"/>
    <x v="2"/>
    <x v="149"/>
    <n v="2903.1"/>
    <n v="38"/>
    <x v="4"/>
    <s v="Spray"/>
    <x v="103"/>
    <n v="55"/>
    <x v="9"/>
    <n v="51239"/>
    <x v="1"/>
  </r>
  <r>
    <x v="11"/>
    <x v="2"/>
    <x v="150"/>
    <n v="2903.1"/>
    <n v="38"/>
    <x v="4"/>
    <s v="Spray"/>
    <x v="104"/>
    <n v="56"/>
    <x v="9"/>
    <n v="216396"/>
    <x v="1"/>
  </r>
  <r>
    <x v="12"/>
    <x v="2"/>
    <x v="149"/>
    <n v="2996.6"/>
    <n v="38"/>
    <x v="4"/>
    <s v="Spray"/>
    <x v="105"/>
    <n v="54"/>
    <x v="9"/>
    <n v="2644"/>
    <x v="1"/>
  </r>
  <r>
    <x v="13"/>
    <x v="2"/>
    <x v="151"/>
    <n v="2996.6"/>
    <n v="39"/>
    <x v="4"/>
    <s v="Spray"/>
    <x v="106"/>
    <n v="58"/>
    <x v="9"/>
    <n v="44235"/>
    <x v="1"/>
  </r>
  <r>
    <x v="14"/>
    <x v="2"/>
    <x v="152"/>
    <n v="2996.6"/>
    <n v="39"/>
    <x v="4"/>
    <s v="Spray"/>
    <x v="107"/>
    <n v="58"/>
    <x v="9"/>
    <n v="203317"/>
    <x v="1"/>
  </r>
  <r>
    <x v="1"/>
    <x v="2"/>
    <x v="151"/>
    <n v="3522.8"/>
    <n v="39"/>
    <x v="4"/>
    <s v="Spray"/>
    <x v="108"/>
    <n v="59"/>
    <x v="9"/>
    <n v="2134"/>
    <x v="1"/>
  </r>
  <r>
    <x v="2"/>
    <x v="2"/>
    <x v="153"/>
    <n v="3522.8"/>
    <n v="40"/>
    <x v="4"/>
    <s v="Spray"/>
    <x v="109"/>
    <n v="50"/>
    <x v="9"/>
    <n v="45186"/>
    <x v="1"/>
  </r>
  <r>
    <x v="3"/>
    <x v="2"/>
    <x v="154"/>
    <n v="3522.8"/>
    <n v="40"/>
    <x v="4"/>
    <s v="Spray"/>
    <x v="110"/>
    <n v="54"/>
    <x v="9"/>
    <n v="238542"/>
    <x v="1"/>
  </r>
  <r>
    <x v="4"/>
    <x v="2"/>
    <x v="155"/>
    <n v="3729.8"/>
    <n v="40"/>
    <x v="4"/>
    <s v="Spray"/>
    <x v="111"/>
    <n v="53"/>
    <x v="9"/>
    <n v="1516"/>
    <x v="1"/>
  </r>
  <r>
    <x v="5"/>
    <x v="2"/>
    <x v="5"/>
    <n v="3729.8"/>
    <n v="41"/>
    <x v="4"/>
    <s v="Spray"/>
    <x v="112"/>
    <n v="52"/>
    <x v="9"/>
    <n v="57259"/>
    <x v="1"/>
  </r>
  <r>
    <x v="6"/>
    <x v="3"/>
    <x v="6"/>
    <n v="3729.8"/>
    <n v="41"/>
    <x v="4"/>
    <s v="Spray"/>
    <x v="113"/>
    <n v="51"/>
    <x v="9"/>
    <n v="234779"/>
    <x v="1"/>
  </r>
  <r>
    <x v="0"/>
    <x v="3"/>
    <x v="7"/>
    <n v="2746.2"/>
    <n v="41"/>
    <x v="4"/>
    <s v="Spray"/>
    <x v="114"/>
    <n v="57"/>
    <x v="9"/>
    <n v="1493"/>
    <x v="1"/>
  </r>
  <r>
    <x v="7"/>
    <x v="3"/>
    <x v="8"/>
    <n v="2746.2"/>
    <n v="42"/>
    <x v="4"/>
    <s v="Spray"/>
    <x v="115"/>
    <n v="57"/>
    <x v="9"/>
    <n v="64409"/>
    <x v="1"/>
  </r>
  <r>
    <x v="14"/>
    <x v="3"/>
    <x v="9"/>
    <n v="2746.2"/>
    <n v="42"/>
    <x v="4"/>
    <s v="Spray"/>
    <x v="116"/>
    <n v="60"/>
    <x v="9"/>
    <n v="249978"/>
    <x v="1"/>
  </r>
  <r>
    <x v="1"/>
    <x v="3"/>
    <x v="10"/>
    <n v="3360"/>
    <n v="42"/>
    <x v="4"/>
    <s v="Spray"/>
    <x v="117"/>
    <n v="57"/>
    <x v="10"/>
    <n v="637"/>
    <x v="1"/>
  </r>
  <r>
    <x v="2"/>
    <x v="3"/>
    <x v="11"/>
    <n v="3360"/>
    <n v="43"/>
    <x v="4"/>
    <s v="Spray"/>
    <x v="118"/>
    <n v="57"/>
    <x v="10"/>
    <n v="43311"/>
    <x v="1"/>
  </r>
  <r>
    <x v="3"/>
    <x v="3"/>
    <x v="12"/>
    <n v="3360"/>
    <n v="43"/>
    <x v="4"/>
    <s v="Spray"/>
    <x v="119"/>
    <n v="54"/>
    <x v="10"/>
    <n v="24848"/>
    <x v="1"/>
  </r>
  <r>
    <x v="4"/>
    <x v="3"/>
    <x v="13"/>
    <n v="3605.4"/>
    <n v="128"/>
    <x v="4"/>
    <s v="Spray"/>
    <x v="120"/>
    <n v="54.5"/>
    <x v="10"/>
    <n v="761"/>
    <x v="1"/>
  </r>
  <r>
    <x v="5"/>
    <x v="3"/>
    <x v="14"/>
    <n v="3605.4"/>
    <n v="129"/>
    <x v="4"/>
    <s v="Spray"/>
    <x v="121"/>
    <n v="56.6"/>
    <x v="10"/>
    <n v="45608"/>
    <x v="1"/>
  </r>
  <r>
    <x v="6"/>
    <x v="3"/>
    <x v="15"/>
    <n v="3605.4"/>
    <n v="130"/>
    <x v="4"/>
    <s v="Drip"/>
    <x v="122"/>
    <n v="55.5"/>
    <x v="10"/>
    <n v="234581"/>
    <x v="1"/>
  </r>
  <r>
    <x v="0"/>
    <x v="3"/>
    <x v="16"/>
    <n v="3512.4"/>
    <n v="131"/>
    <x v="4"/>
    <s v="Drip"/>
    <x v="105"/>
    <n v="58.5"/>
    <x v="10"/>
    <n v="646"/>
    <x v="1"/>
  </r>
  <r>
    <x v="7"/>
    <x v="3"/>
    <x v="17"/>
    <n v="3512.4"/>
    <n v="132"/>
    <x v="2"/>
    <s v="Drip"/>
    <x v="123"/>
    <n v="59.5"/>
    <x v="10"/>
    <n v="43562"/>
    <x v="1"/>
  </r>
  <r>
    <x v="8"/>
    <x v="3"/>
    <x v="18"/>
    <n v="3512.4"/>
    <n v="133"/>
    <x v="2"/>
    <s v="Drip"/>
    <x v="91"/>
    <n v="55"/>
    <x v="10"/>
    <n v="200000"/>
    <x v="1"/>
  </r>
  <r>
    <x v="9"/>
    <x v="3"/>
    <x v="19"/>
    <n v="3296"/>
    <n v="134"/>
    <x v="2"/>
    <s v="Drip"/>
    <x v="92"/>
    <n v="53"/>
    <x v="10"/>
    <n v="4847"/>
    <x v="1"/>
  </r>
  <r>
    <x v="10"/>
    <x v="3"/>
    <x v="20"/>
    <n v="3296"/>
    <n v="135"/>
    <x v="2"/>
    <s v="Drip"/>
    <x v="93"/>
    <n v="53.5"/>
    <x v="10"/>
    <n v="51239"/>
    <x v="1"/>
  </r>
  <r>
    <x v="11"/>
    <x v="3"/>
    <x v="21"/>
    <n v="3296"/>
    <n v="136"/>
    <x v="2"/>
    <s v="Drip"/>
    <x v="94"/>
    <n v="52.5"/>
    <x v="10"/>
    <n v="216396"/>
    <x v="1"/>
  </r>
  <r>
    <x v="12"/>
    <x v="3"/>
    <x v="22"/>
    <n v="3550"/>
    <n v="137"/>
    <x v="2"/>
    <s v="Drip"/>
    <x v="95"/>
    <n v="56"/>
    <x v="10"/>
    <n v="2644"/>
    <x v="1"/>
  </r>
  <r>
    <x v="13"/>
    <x v="3"/>
    <x v="23"/>
    <n v="3550"/>
    <n v="138"/>
    <x v="2"/>
    <s v="Drip"/>
    <x v="96"/>
    <n v="59.5"/>
    <x v="10"/>
    <n v="44235"/>
    <x v="1"/>
  </r>
  <r>
    <x v="14"/>
    <x v="3"/>
    <x v="24"/>
    <n v="3550"/>
    <n v="139"/>
    <x v="2"/>
    <s v="Drip"/>
    <x v="97"/>
    <n v="55"/>
    <x v="10"/>
    <n v="203317"/>
    <x v="1"/>
  </r>
  <r>
    <x v="1"/>
    <x v="3"/>
    <x v="25"/>
    <n v="3654"/>
    <n v="140"/>
    <x v="2"/>
    <s v="Drip"/>
    <x v="98"/>
    <n v="53"/>
    <x v="11"/>
    <n v="2134"/>
    <x v="1"/>
  </r>
  <r>
    <x v="2"/>
    <x v="3"/>
    <x v="26"/>
    <n v="3654"/>
    <n v="141"/>
    <x v="2"/>
    <s v="Drip"/>
    <x v="99"/>
    <n v="53.5"/>
    <x v="11"/>
    <n v="45186"/>
    <x v="1"/>
  </r>
  <r>
    <x v="3"/>
    <x v="3"/>
    <x v="27"/>
    <n v="3654"/>
    <n v="142"/>
    <x v="2"/>
    <s v="Drip"/>
    <x v="100"/>
    <n v="52.5"/>
    <x v="11"/>
    <n v="238542"/>
    <x v="1"/>
  </r>
  <r>
    <x v="4"/>
    <x v="3"/>
    <x v="28"/>
    <n v="233"/>
    <n v="143"/>
    <x v="2"/>
    <s v="Drip"/>
    <x v="101"/>
    <n v="56"/>
    <x v="11"/>
    <n v="1516"/>
    <x v="1"/>
  </r>
  <r>
    <x v="5"/>
    <x v="3"/>
    <x v="29"/>
    <n v="233"/>
    <n v="144"/>
    <x v="2"/>
    <s v="Drip"/>
    <x v="102"/>
    <n v="57"/>
    <x v="11"/>
    <n v="57259"/>
    <x v="1"/>
  </r>
  <r>
    <x v="6"/>
    <x v="3"/>
    <x v="30"/>
    <n v="233"/>
    <n v="27"/>
    <x v="2"/>
    <s v="Drip"/>
    <x v="102"/>
    <n v="57.5"/>
    <x v="11"/>
    <n v="234779"/>
    <x v="1"/>
  </r>
  <r>
    <x v="15"/>
    <x v="3"/>
    <x v="31"/>
    <n v="234"/>
    <n v="27"/>
    <x v="2"/>
    <s v="Drip"/>
    <x v="103"/>
    <n v="57"/>
    <x v="11"/>
    <n v="1493"/>
    <x v="1"/>
  </r>
  <r>
    <x v="0"/>
    <x v="3"/>
    <x v="32"/>
    <n v="234"/>
    <n v="27"/>
    <x v="2"/>
    <s v="Drip"/>
    <x v="104"/>
    <n v="55"/>
    <x v="11"/>
    <n v="64409"/>
    <x v="1"/>
  </r>
  <r>
    <x v="1"/>
    <x v="4"/>
    <x v="33"/>
    <n v="234"/>
    <n v="27"/>
    <x v="2"/>
    <s v="Drip"/>
    <x v="105"/>
    <n v="56"/>
    <x v="11"/>
    <n v="249978"/>
    <x v="1"/>
  </r>
  <r>
    <x v="2"/>
    <x v="4"/>
    <x v="34"/>
    <n v="3105"/>
    <n v="27"/>
    <x v="2"/>
    <s v="Drip"/>
    <x v="106"/>
    <n v="54"/>
    <x v="11"/>
    <n v="637"/>
    <x v="1"/>
  </r>
  <r>
    <x v="3"/>
    <x v="4"/>
    <x v="35"/>
    <n v="3105"/>
    <n v="27"/>
    <x v="2"/>
    <s v="Drip"/>
    <x v="107"/>
    <n v="58"/>
    <x v="11"/>
    <n v="43311"/>
    <x v="1"/>
  </r>
  <r>
    <x v="4"/>
    <x v="4"/>
    <x v="36"/>
    <n v="3105"/>
    <n v="27.2"/>
    <x v="2"/>
    <s v="Drip"/>
    <x v="108"/>
    <n v="58"/>
    <x v="11"/>
    <n v="24848"/>
    <x v="1"/>
  </r>
  <r>
    <x v="5"/>
    <x v="4"/>
    <x v="37"/>
    <n v="236"/>
    <n v="27.2"/>
    <x v="2"/>
    <s v="Drip"/>
    <x v="109"/>
    <n v="59"/>
    <x v="11"/>
    <n v="761"/>
    <x v="1"/>
  </r>
  <r>
    <x v="6"/>
    <x v="4"/>
    <x v="38"/>
    <n v="236"/>
    <n v="27.2"/>
    <x v="2"/>
    <s v="Drip"/>
    <x v="110"/>
    <n v="50"/>
    <x v="11"/>
    <n v="45608"/>
    <x v="1"/>
  </r>
  <r>
    <x v="0"/>
    <x v="4"/>
    <x v="39"/>
    <n v="2903.1"/>
    <n v="27"/>
    <x v="2"/>
    <s v="Drip"/>
    <x v="111"/>
    <n v="54"/>
    <x v="11"/>
    <n v="234581"/>
    <x v="1"/>
  </r>
  <r>
    <x v="7"/>
    <x v="4"/>
    <x v="40"/>
    <n v="2903.1"/>
    <n v="27"/>
    <x v="2"/>
    <s v="Drip"/>
    <x v="112"/>
    <n v="53"/>
    <x v="0"/>
    <n v="646"/>
    <x v="1"/>
  </r>
  <r>
    <x v="8"/>
    <x v="4"/>
    <x v="41"/>
    <n v="2903.1"/>
    <n v="27"/>
    <x v="2"/>
    <s v="Drip"/>
    <x v="113"/>
    <n v="59.5"/>
    <x v="0"/>
    <n v="43562"/>
    <x v="1"/>
  </r>
  <r>
    <x v="9"/>
    <x v="4"/>
    <x v="42"/>
    <n v="2996.6"/>
    <n v="27"/>
    <x v="1"/>
    <s v="Drip"/>
    <x v="114"/>
    <n v="55"/>
    <x v="0"/>
    <n v="200000"/>
    <x v="1"/>
  </r>
  <r>
    <x v="10"/>
    <x v="4"/>
    <x v="43"/>
    <n v="2996.6"/>
    <n v="27"/>
    <x v="1"/>
    <s v="Drip"/>
    <x v="115"/>
    <n v="53"/>
    <x v="0"/>
    <n v="4847"/>
    <x v="1"/>
  </r>
  <r>
    <x v="11"/>
    <x v="4"/>
    <x v="44"/>
    <n v="2996.6"/>
    <n v="27"/>
    <x v="1"/>
    <s v="Drip"/>
    <x v="116"/>
    <n v="53.5"/>
    <x v="0"/>
    <n v="51239"/>
    <x v="1"/>
  </r>
  <r>
    <x v="12"/>
    <x v="4"/>
    <x v="45"/>
    <n v="3522.8"/>
    <n v="27.2"/>
    <x v="1"/>
    <s v="Drip"/>
    <x v="117"/>
    <n v="52.5"/>
    <x v="0"/>
    <n v="216396"/>
    <x v="1"/>
  </r>
  <r>
    <x v="13"/>
    <x v="4"/>
    <x v="46"/>
    <n v="3522.8"/>
    <n v="27.2"/>
    <x v="1"/>
    <s v="Drip"/>
    <x v="118"/>
    <n v="56"/>
    <x v="0"/>
    <n v="2644"/>
    <x v="1"/>
  </r>
  <r>
    <x v="14"/>
    <x v="4"/>
    <x v="47"/>
    <n v="3522.8"/>
    <n v="27.2"/>
    <x v="1"/>
    <s v="Drip"/>
    <x v="119"/>
    <n v="57"/>
    <x v="0"/>
    <n v="44235"/>
    <x v="1"/>
  </r>
  <r>
    <x v="1"/>
    <x v="4"/>
    <x v="48"/>
    <n v="3729.8"/>
    <n v="27.1"/>
    <x v="1"/>
    <s v="Drip"/>
    <x v="120"/>
    <n v="57.5"/>
    <x v="0"/>
    <n v="203317"/>
    <x v="1"/>
  </r>
  <r>
    <x v="2"/>
    <x v="4"/>
    <x v="49"/>
    <n v="3729.8"/>
    <n v="27.1"/>
    <x v="1"/>
    <s v="Drip"/>
    <x v="121"/>
    <n v="57"/>
    <x v="0"/>
    <n v="2134"/>
    <x v="1"/>
  </r>
  <r>
    <x v="3"/>
    <x v="4"/>
    <x v="50"/>
    <n v="3729.8"/>
    <n v="27.1"/>
    <x v="1"/>
    <s v="Drip"/>
    <x v="122"/>
    <n v="55"/>
    <x v="0"/>
    <n v="45186"/>
    <x v="1"/>
  </r>
  <r>
    <x v="4"/>
    <x v="4"/>
    <x v="51"/>
    <n v="2746.2"/>
    <n v="26.8"/>
    <x v="1"/>
    <s v="Drip"/>
    <x v="105"/>
    <n v="56"/>
    <x v="0"/>
    <n v="238542"/>
    <x v="1"/>
  </r>
  <r>
    <x v="5"/>
    <x v="4"/>
    <x v="52"/>
    <n v="2746.2"/>
    <n v="26.8"/>
    <x v="1"/>
    <s v="Drip"/>
    <x v="123"/>
    <n v="54"/>
    <x v="0"/>
    <n v="1516"/>
    <x v="1"/>
  </r>
  <r>
    <x v="6"/>
    <x v="4"/>
    <x v="53"/>
    <n v="2746.2"/>
    <n v="26.8"/>
    <x v="1"/>
    <s v="Drip"/>
    <x v="0"/>
    <n v="58"/>
    <x v="0"/>
    <n v="200000"/>
    <x v="1"/>
  </r>
  <r>
    <x v="1"/>
    <x v="4"/>
    <x v="54"/>
    <n v="3360"/>
    <n v="37"/>
    <x v="1"/>
    <s v="Drip"/>
    <x v="1"/>
    <n v="58"/>
    <x v="0"/>
    <n v="4847"/>
    <x v="1"/>
  </r>
  <r>
    <x v="2"/>
    <x v="4"/>
    <x v="55"/>
    <n v="3360"/>
    <n v="37"/>
    <x v="1"/>
    <s v="Drip"/>
    <x v="2"/>
    <n v="59"/>
    <x v="0"/>
    <n v="51239"/>
    <x v="1"/>
  </r>
  <r>
    <x v="3"/>
    <x v="4"/>
    <x v="56"/>
    <n v="3360"/>
    <n v="37"/>
    <x v="1"/>
    <s v="Drip"/>
    <x v="3"/>
    <n v="50"/>
    <x v="6"/>
    <n v="216396"/>
    <x v="1"/>
  </r>
  <r>
    <x v="4"/>
    <x v="4"/>
    <x v="57"/>
    <n v="3605.4"/>
    <n v="38"/>
    <x v="1"/>
    <s v="Drip"/>
    <x v="4"/>
    <n v="54"/>
    <x v="6"/>
    <n v="2644"/>
    <x v="1"/>
  </r>
  <r>
    <x v="5"/>
    <x v="4"/>
    <x v="58"/>
    <n v="3605.4"/>
    <n v="38"/>
    <x v="1"/>
    <s v="Drip"/>
    <x v="5"/>
    <n v="53"/>
    <x v="6"/>
    <n v="44235"/>
    <x v="1"/>
  </r>
  <r>
    <x v="6"/>
    <x v="4"/>
    <x v="59"/>
    <n v="3605.4"/>
    <n v="38"/>
    <x v="1"/>
    <s v="Basin"/>
    <x v="6"/>
    <n v="59.5"/>
    <x v="6"/>
    <n v="203317"/>
    <x v="1"/>
  </r>
  <r>
    <x v="0"/>
    <x v="4"/>
    <x v="60"/>
    <n v="3512.4"/>
    <n v="39"/>
    <x v="1"/>
    <s v="Basin"/>
    <x v="7"/>
    <n v="55"/>
    <x v="6"/>
    <n v="2134"/>
    <x v="1"/>
  </r>
  <r>
    <x v="7"/>
    <x v="4"/>
    <x v="61"/>
    <n v="3512.4"/>
    <n v="39"/>
    <x v="1"/>
    <s v="Basin"/>
    <x v="8"/>
    <n v="53"/>
    <x v="6"/>
    <n v="45186"/>
    <x v="1"/>
  </r>
  <r>
    <x v="8"/>
    <x v="4"/>
    <x v="62"/>
    <n v="3512.4"/>
    <n v="39"/>
    <x v="1"/>
    <s v="Basin"/>
    <x v="9"/>
    <n v="53.5"/>
    <x v="6"/>
    <n v="238542"/>
    <x v="1"/>
  </r>
  <r>
    <x v="9"/>
    <x v="4"/>
    <x v="63"/>
    <n v="3296"/>
    <n v="40"/>
    <x v="1"/>
    <s v="Basin"/>
    <x v="10"/>
    <n v="52.5"/>
    <x v="6"/>
    <n v="1516"/>
    <x v="1"/>
  </r>
  <r>
    <x v="10"/>
    <x v="4"/>
    <x v="64"/>
    <n v="3296"/>
    <n v="40"/>
    <x v="1"/>
    <s v="Basin"/>
    <x v="11"/>
    <n v="56"/>
    <x v="6"/>
    <n v="57259"/>
    <x v="1"/>
  </r>
  <r>
    <x v="11"/>
    <x v="4"/>
    <x v="65"/>
    <n v="3296"/>
    <n v="40"/>
    <x v="1"/>
    <s v="Basin"/>
    <x v="12"/>
    <n v="57"/>
    <x v="6"/>
    <n v="234779"/>
    <x v="1"/>
  </r>
  <r>
    <x v="12"/>
    <x v="4"/>
    <x v="62"/>
    <n v="3550"/>
    <n v="41"/>
    <x v="1"/>
    <s v="Basin"/>
    <x v="13"/>
    <n v="57.5"/>
    <x v="6"/>
    <n v="1493"/>
    <x v="1"/>
  </r>
  <r>
    <x v="13"/>
    <x v="4"/>
    <x v="66"/>
    <n v="3550"/>
    <n v="41"/>
    <x v="0"/>
    <s v="Basin"/>
    <x v="0"/>
    <n v="57"/>
    <x v="6"/>
    <n v="64409"/>
    <x v="1"/>
  </r>
  <r>
    <x v="14"/>
    <x v="4"/>
    <x v="67"/>
    <n v="3550"/>
    <n v="41"/>
    <x v="0"/>
    <s v="Basin"/>
    <x v="1"/>
    <n v="55"/>
    <x v="6"/>
    <n v="249978"/>
    <x v="1"/>
  </r>
  <r>
    <x v="1"/>
    <x v="4"/>
    <x v="68"/>
    <n v="3654"/>
    <n v="42"/>
    <x v="0"/>
    <s v="Basin"/>
    <x v="2"/>
    <n v="56"/>
    <x v="6"/>
    <n v="637"/>
    <x v="1"/>
  </r>
  <r>
    <x v="2"/>
    <x v="4"/>
    <x v="67"/>
    <n v="3654"/>
    <n v="42"/>
    <x v="0"/>
    <s v="Basin"/>
    <x v="3"/>
    <n v="54"/>
    <x v="6"/>
    <n v="43311"/>
    <x v="1"/>
  </r>
  <r>
    <x v="3"/>
    <x v="4"/>
    <x v="69"/>
    <n v="3654"/>
    <n v="42"/>
    <x v="0"/>
    <s v="Drip"/>
    <x v="4"/>
    <n v="57"/>
    <x v="0"/>
    <n v="200000"/>
    <x v="1"/>
  </r>
  <r>
    <x v="4"/>
    <x v="5"/>
    <x v="70"/>
    <n v="233"/>
    <n v="43"/>
    <x v="0"/>
    <s v="Drip"/>
    <x v="5"/>
    <n v="57.5"/>
    <x v="0"/>
    <n v="4847"/>
    <x v="1"/>
  </r>
  <r>
    <x v="5"/>
    <x v="5"/>
    <x v="71"/>
    <n v="233"/>
    <n v="43"/>
    <x v="0"/>
    <s v="Drip"/>
    <x v="6"/>
    <n v="57"/>
    <x v="0"/>
    <n v="51239"/>
    <x v="1"/>
  </r>
  <r>
    <x v="6"/>
    <x v="5"/>
    <x v="64"/>
    <n v="233"/>
    <n v="27"/>
    <x v="0"/>
    <s v="Drip"/>
    <x v="7"/>
    <n v="55"/>
    <x v="0"/>
    <n v="216396"/>
    <x v="1"/>
  </r>
  <r>
    <x v="3"/>
    <x v="5"/>
    <x v="63"/>
    <n v="234"/>
    <n v="27"/>
    <x v="0"/>
    <s v="Drip"/>
    <x v="8"/>
    <n v="56"/>
    <x v="0"/>
    <n v="2644"/>
    <x v="1"/>
  </r>
  <r>
    <x v="4"/>
    <x v="5"/>
    <x v="72"/>
    <n v="234"/>
    <n v="27"/>
    <x v="0"/>
    <s v="Drip"/>
    <x v="9"/>
    <n v="54"/>
    <x v="0"/>
    <n v="44235"/>
    <x v="1"/>
  </r>
  <r>
    <x v="5"/>
    <x v="5"/>
    <x v="73"/>
    <n v="234"/>
    <n v="27"/>
    <x v="0"/>
    <s v="Drip"/>
    <x v="10"/>
    <n v="58"/>
    <x v="0"/>
    <n v="203317"/>
    <x v="1"/>
  </r>
  <r>
    <x v="6"/>
    <x v="5"/>
    <x v="60"/>
    <n v="3105"/>
    <n v="27"/>
    <x v="0"/>
    <s v="Drip"/>
    <x v="11"/>
    <n v="58"/>
    <x v="0"/>
    <n v="2134"/>
    <x v="1"/>
  </r>
  <r>
    <x v="1"/>
    <x v="5"/>
    <x v="74"/>
    <n v="3105"/>
    <n v="27"/>
    <x v="0"/>
    <s v="Drip"/>
    <x v="12"/>
    <n v="59"/>
    <x v="0"/>
    <n v="45186"/>
    <x v="1"/>
  </r>
  <r>
    <x v="2"/>
    <x v="5"/>
    <x v="75"/>
    <n v="3105"/>
    <n v="27.2"/>
    <x v="0"/>
    <s v="Drip"/>
    <x v="13"/>
    <n v="50"/>
    <x v="0"/>
    <n v="238542"/>
    <x v="1"/>
  </r>
  <r>
    <x v="3"/>
    <x v="5"/>
    <x v="76"/>
    <n v="236"/>
    <n v="27.2"/>
    <x v="0"/>
    <s v="Drip"/>
    <x v="14"/>
    <n v="54"/>
    <x v="0"/>
    <n v="1516"/>
    <x v="1"/>
  </r>
  <r>
    <x v="4"/>
    <x v="5"/>
    <x v="77"/>
    <n v="2903.1"/>
    <n v="27.2"/>
    <x v="0"/>
    <s v="Drip"/>
    <x v="15"/>
    <n v="53"/>
    <x v="0"/>
    <n v="57259"/>
    <x v="1"/>
  </r>
  <r>
    <x v="5"/>
    <x v="5"/>
    <x v="78"/>
    <n v="2903.1"/>
    <n v="27"/>
    <x v="0"/>
    <s v="Drip"/>
    <x v="16"/>
    <n v="52"/>
    <x v="0"/>
    <n v="234779"/>
    <x v="1"/>
  </r>
  <r>
    <x v="6"/>
    <x v="5"/>
    <x v="79"/>
    <n v="2903.1"/>
    <n v="27"/>
    <x v="0"/>
    <s v="Drip"/>
    <x v="17"/>
    <n v="51"/>
    <x v="0"/>
    <n v="1493"/>
    <x v="1"/>
  </r>
  <r>
    <x v="0"/>
    <x v="5"/>
    <x v="80"/>
    <n v="2996.6"/>
    <n v="27"/>
    <x v="0"/>
    <s v="Drip"/>
    <x v="18"/>
    <n v="57"/>
    <x v="0"/>
    <n v="64409"/>
    <x v="1"/>
  </r>
  <r>
    <x v="7"/>
    <x v="5"/>
    <x v="81"/>
    <n v="2996.6"/>
    <n v="27"/>
    <x v="0"/>
    <s v="Drip"/>
    <x v="19"/>
    <n v="57"/>
    <x v="0"/>
    <n v="249978"/>
    <x v="1"/>
  </r>
  <r>
    <x v="8"/>
    <x v="5"/>
    <x v="82"/>
    <n v="2996.6"/>
    <n v="27"/>
    <x v="0"/>
    <s v="Drip"/>
    <x v="20"/>
    <n v="60"/>
    <x v="0"/>
    <n v="637"/>
    <x v="1"/>
  </r>
  <r>
    <x v="9"/>
    <x v="5"/>
    <x v="83"/>
    <n v="3522.8"/>
    <n v="27"/>
    <x v="0"/>
    <s v="Drip"/>
    <x v="21"/>
    <n v="57"/>
    <x v="0"/>
    <n v="43311"/>
    <x v="1"/>
  </r>
  <r>
    <x v="10"/>
    <x v="5"/>
    <x v="84"/>
    <n v="3522.8"/>
    <n v="27.2"/>
    <x v="0"/>
    <s v="Drip"/>
    <x v="22"/>
    <n v="57"/>
    <x v="0"/>
    <n v="24848"/>
    <x v="1"/>
  </r>
  <r>
    <x v="11"/>
    <x v="5"/>
    <x v="85"/>
    <n v="3522.8"/>
    <n v="27.2"/>
    <x v="0"/>
    <s v="Drip"/>
    <x v="23"/>
    <n v="54"/>
    <x v="0"/>
    <n v="761"/>
    <x v="1"/>
  </r>
  <r>
    <x v="12"/>
    <x v="5"/>
    <x v="86"/>
    <n v="3729.8"/>
    <n v="27.2"/>
    <x v="0"/>
    <s v="Drip"/>
    <x v="24"/>
    <n v="54.5"/>
    <x v="0"/>
    <n v="45608"/>
    <x v="1"/>
  </r>
  <r>
    <x v="13"/>
    <x v="5"/>
    <x v="87"/>
    <n v="3729.8"/>
    <n v="27.1"/>
    <x v="12"/>
    <s v="Drip"/>
    <x v="25"/>
    <n v="56.6"/>
    <x v="0"/>
    <n v="234581"/>
    <x v="1"/>
  </r>
  <r>
    <x v="14"/>
    <x v="5"/>
    <x v="88"/>
    <n v="3729.8"/>
    <n v="27.1"/>
    <x v="12"/>
    <s v="Drip"/>
    <x v="26"/>
    <n v="55.5"/>
    <x v="0"/>
    <n v="646"/>
    <x v="1"/>
  </r>
  <r>
    <x v="1"/>
    <x v="5"/>
    <x v="89"/>
    <n v="2746.2"/>
    <n v="27.1"/>
    <x v="12"/>
    <s v="Drip"/>
    <x v="27"/>
    <n v="58.5"/>
    <x v="0"/>
    <n v="43562"/>
    <x v="1"/>
  </r>
  <r>
    <x v="2"/>
    <x v="5"/>
    <x v="90"/>
    <n v="2746.2"/>
    <n v="26.8"/>
    <x v="12"/>
    <s v="Drip"/>
    <x v="28"/>
    <n v="59.5"/>
    <x v="0"/>
    <n v="200000"/>
    <x v="1"/>
  </r>
  <r>
    <x v="3"/>
    <x v="5"/>
    <x v="91"/>
    <n v="2746.2"/>
    <n v="26.8"/>
    <x v="12"/>
    <s v="Drip"/>
    <x v="29"/>
    <n v="55"/>
    <x v="0"/>
    <n v="4847"/>
    <x v="1"/>
  </r>
  <r>
    <x v="4"/>
    <x v="5"/>
    <x v="92"/>
    <n v="3360"/>
    <n v="26.8"/>
    <x v="12"/>
    <s v="Drip"/>
    <x v="30"/>
    <n v="53"/>
    <x v="0"/>
    <n v="51239"/>
    <x v="1"/>
  </r>
  <r>
    <x v="5"/>
    <x v="5"/>
    <x v="64"/>
    <n v="3360"/>
    <n v="37"/>
    <x v="12"/>
    <s v="Drip"/>
    <x v="31"/>
    <n v="53.5"/>
    <x v="0"/>
    <n v="216396"/>
    <x v="1"/>
  </r>
  <r>
    <x v="4"/>
    <x v="5"/>
    <x v="93"/>
    <n v="3360"/>
    <n v="37"/>
    <x v="12"/>
    <s v="Drip"/>
    <x v="32"/>
    <n v="52.5"/>
    <x v="0"/>
    <n v="2644"/>
    <x v="1"/>
  </r>
  <r>
    <x v="5"/>
    <x v="5"/>
    <x v="94"/>
    <n v="3605.4"/>
    <n v="37"/>
    <x v="12"/>
    <s v="Drip"/>
    <x v="33"/>
    <n v="56"/>
    <x v="0"/>
    <n v="44235"/>
    <x v="1"/>
  </r>
  <r>
    <x v="6"/>
    <x v="5"/>
    <x v="95"/>
    <n v="3605.4"/>
    <n v="38"/>
    <x v="12"/>
    <s v="Drip"/>
    <x v="34"/>
    <n v="57"/>
    <x v="0"/>
    <n v="203317"/>
    <x v="1"/>
  </r>
  <r>
    <x v="1"/>
    <x v="5"/>
    <x v="96"/>
    <n v="3605.4"/>
    <n v="38"/>
    <x v="12"/>
    <s v="Drip"/>
    <x v="35"/>
    <n v="57.5"/>
    <x v="0"/>
    <n v="2134"/>
    <x v="1"/>
  </r>
  <r>
    <x v="2"/>
    <x v="5"/>
    <x v="97"/>
    <n v="3512.4"/>
    <n v="38"/>
    <x v="12"/>
    <s v="Drip"/>
    <x v="36"/>
    <n v="57"/>
    <x v="0"/>
    <n v="45186"/>
    <x v="1"/>
  </r>
  <r>
    <x v="3"/>
    <x v="5"/>
    <x v="98"/>
    <n v="3512.4"/>
    <n v="39"/>
    <x v="12"/>
    <s v="Drip"/>
    <x v="37"/>
    <n v="55"/>
    <x v="0"/>
    <n v="238542"/>
    <x v="1"/>
  </r>
  <r>
    <x v="4"/>
    <x v="8"/>
    <x v="99"/>
    <n v="3512.4"/>
    <n v="39"/>
    <x v="12"/>
    <s v="Drip"/>
    <x v="38"/>
    <n v="56"/>
    <x v="0"/>
    <n v="1516"/>
    <x v="1"/>
  </r>
  <r>
    <x v="5"/>
    <x v="8"/>
    <x v="100"/>
    <n v="3296"/>
    <n v="39"/>
    <x v="12"/>
    <s v="Drip"/>
    <x v="39"/>
    <n v="54"/>
    <x v="0"/>
    <n v="57259"/>
    <x v="1"/>
  </r>
  <r>
    <x v="6"/>
    <x v="8"/>
    <x v="101"/>
    <n v="3296"/>
    <n v="40"/>
    <x v="12"/>
    <s v="Drip"/>
    <x v="40"/>
    <n v="58"/>
    <x v="0"/>
    <n v="234779"/>
    <x v="1"/>
  </r>
  <r>
    <x v="0"/>
    <x v="8"/>
    <x v="102"/>
    <n v="3296"/>
    <n v="40"/>
    <x v="12"/>
    <s v="Drip"/>
    <x v="41"/>
    <n v="58"/>
    <x v="0"/>
    <n v="1493"/>
    <x v="1"/>
  </r>
  <r>
    <x v="7"/>
    <x v="8"/>
    <x v="103"/>
    <n v="3550"/>
    <n v="40"/>
    <x v="12"/>
    <s v="Drip"/>
    <x v="42"/>
    <n v="59"/>
    <x v="0"/>
    <n v="64409"/>
    <x v="1"/>
  </r>
  <r>
    <x v="8"/>
    <x v="8"/>
    <x v="104"/>
    <n v="3550"/>
    <n v="41"/>
    <x v="12"/>
    <s v="Drip"/>
    <x v="43"/>
    <n v="50"/>
    <x v="0"/>
    <n v="249978"/>
    <x v="1"/>
  </r>
  <r>
    <x v="9"/>
    <x v="8"/>
    <x v="105"/>
    <n v="3550"/>
    <n v="41"/>
    <x v="12"/>
    <s v="Drip"/>
    <x v="44"/>
    <n v="54"/>
    <x v="0"/>
    <n v="637"/>
    <x v="1"/>
  </r>
  <r>
    <x v="10"/>
    <x v="8"/>
    <x v="106"/>
    <n v="3654"/>
    <n v="41"/>
    <x v="12"/>
    <s v="Drip"/>
    <x v="45"/>
    <n v="53"/>
    <x v="0"/>
    <n v="43311"/>
    <x v="1"/>
  </r>
  <r>
    <x v="11"/>
    <x v="8"/>
    <x v="107"/>
    <n v="3654"/>
    <n v="42"/>
    <x v="12"/>
    <s v="Drip"/>
    <x v="46"/>
    <n v="52"/>
    <x v="0"/>
    <n v="24848"/>
    <x v="1"/>
  </r>
  <r>
    <x v="12"/>
    <x v="8"/>
    <x v="108"/>
    <n v="3654"/>
    <n v="42"/>
    <x v="12"/>
    <s v="Drip"/>
    <x v="47"/>
    <n v="51"/>
    <x v="0"/>
    <n v="761"/>
    <x v="1"/>
  </r>
  <r>
    <x v="13"/>
    <x v="8"/>
    <x v="109"/>
    <n v="233"/>
    <n v="42"/>
    <x v="12"/>
    <s v="Basin"/>
    <x v="48"/>
    <n v="57"/>
    <x v="0"/>
    <n v="45608"/>
    <x v="1"/>
  </r>
  <r>
    <x v="14"/>
    <x v="8"/>
    <x v="110"/>
    <n v="233"/>
    <n v="43"/>
    <x v="12"/>
    <s v="Basin"/>
    <x v="49"/>
    <n v="57"/>
    <x v="0"/>
    <n v="234581"/>
    <x v="1"/>
  </r>
  <r>
    <x v="1"/>
    <x v="8"/>
    <x v="111"/>
    <n v="233"/>
    <n v="27"/>
    <x v="2"/>
    <s v="Basin"/>
    <x v="50"/>
    <n v="60"/>
    <x v="0"/>
    <n v="646"/>
    <x v="1"/>
  </r>
  <r>
    <x v="2"/>
    <x v="8"/>
    <x v="112"/>
    <n v="234"/>
    <n v="27"/>
    <x v="2"/>
    <s v="Basin"/>
    <x v="51"/>
    <n v="57"/>
    <x v="0"/>
    <n v="43562"/>
    <x v="1"/>
  </r>
  <r>
    <x v="3"/>
    <x v="8"/>
    <x v="113"/>
    <n v="234"/>
    <n v="27"/>
    <x v="2"/>
    <s v="Basin"/>
    <x v="52"/>
    <n v="57"/>
    <x v="0"/>
    <n v="200000"/>
    <x v="1"/>
  </r>
  <r>
    <x v="4"/>
    <x v="8"/>
    <x v="114"/>
    <n v="234"/>
    <n v="27"/>
    <x v="2"/>
    <s v="Basin"/>
    <x v="53"/>
    <n v="54"/>
    <x v="0"/>
    <n v="4847"/>
    <x v="1"/>
  </r>
  <r>
    <x v="5"/>
    <x v="8"/>
    <x v="115"/>
    <n v="3105"/>
    <n v="27"/>
    <x v="2"/>
    <s v="Basin"/>
    <x v="54"/>
    <n v="54.5"/>
    <x v="0"/>
    <n v="51239"/>
    <x v="1"/>
  </r>
  <r>
    <x v="4"/>
    <x v="8"/>
    <x v="116"/>
    <n v="3105"/>
    <n v="27"/>
    <x v="2"/>
    <s v="Basin"/>
    <x v="55"/>
    <n v="56.6"/>
    <x v="0"/>
    <n v="216396"/>
    <x v="1"/>
  </r>
  <r>
    <x v="5"/>
    <x v="8"/>
    <x v="117"/>
    <n v="3105"/>
    <n v="27.2"/>
    <x v="2"/>
    <s v="Basin"/>
    <x v="56"/>
    <n v="55.5"/>
    <x v="0"/>
    <n v="2644"/>
    <x v="1"/>
  </r>
  <r>
    <x v="4"/>
    <x v="8"/>
    <x v="118"/>
    <n v="236"/>
    <n v="27.2"/>
    <x v="2"/>
    <s v="Basin"/>
    <x v="57"/>
    <n v="58.5"/>
    <x v="0"/>
    <n v="44235"/>
    <x v="1"/>
  </r>
  <r>
    <x v="5"/>
    <x v="8"/>
    <x v="119"/>
    <n v="236"/>
    <n v="27.2"/>
    <x v="2"/>
    <s v="Basin"/>
    <x v="58"/>
    <n v="59.5"/>
    <x v="0"/>
    <n v="203317"/>
    <x v="1"/>
  </r>
  <r>
    <x v="6"/>
    <x v="8"/>
    <x v="120"/>
    <n v="321"/>
    <n v="27"/>
    <x v="2"/>
    <s v="Basin"/>
    <x v="59"/>
    <n v="55"/>
    <x v="0"/>
    <n v="2134"/>
    <x v="1"/>
  </r>
  <r>
    <x v="1"/>
    <x v="8"/>
    <x v="12"/>
    <n v="3654"/>
    <n v="27"/>
    <x v="2"/>
    <s v="Basin"/>
    <x v="60"/>
    <n v="53"/>
    <x v="0"/>
    <n v="45186"/>
    <x v="1"/>
  </r>
  <r>
    <x v="2"/>
    <x v="8"/>
    <x v="121"/>
    <n v="323"/>
    <n v="27"/>
    <x v="2"/>
    <s v="Basin"/>
    <x v="61"/>
    <n v="53.5"/>
    <x v="0"/>
    <n v="238542"/>
    <x v="1"/>
  </r>
  <r>
    <x v="3"/>
    <x v="8"/>
    <x v="122"/>
    <n v="324"/>
    <n v="27"/>
    <x v="2"/>
    <s v="Basin"/>
    <x v="62"/>
    <n v="52.5"/>
    <x v="0"/>
    <n v="1516"/>
    <x v="1"/>
  </r>
  <r>
    <x v="4"/>
    <x v="8"/>
    <x v="123"/>
    <n v="3105"/>
    <n v="27"/>
    <x v="2"/>
    <s v="Basin"/>
    <x v="63"/>
    <n v="56"/>
    <x v="0"/>
    <n v="57259"/>
    <x v="1"/>
  </r>
  <r>
    <x v="5"/>
    <x v="8"/>
    <x v="9"/>
    <n v="326"/>
    <n v="27"/>
    <x v="2"/>
    <s v="Basin"/>
    <x v="64"/>
    <n v="57"/>
    <x v="0"/>
    <n v="234779"/>
    <x v="1"/>
  </r>
  <r>
    <x v="6"/>
    <x v="8"/>
    <x v="124"/>
    <n v="327"/>
    <n v="27.2"/>
    <x v="2"/>
    <s v="Basin"/>
    <x v="65"/>
    <n v="57.5"/>
    <x v="0"/>
    <n v="1493"/>
    <x v="1"/>
  </r>
  <r>
    <x v="0"/>
    <x v="8"/>
    <x v="125"/>
    <n v="328"/>
    <n v="27.2"/>
    <x v="2"/>
    <s v="Basin"/>
    <x v="62"/>
    <n v="57"/>
    <x v="0"/>
    <n v="64409"/>
    <x v="1"/>
  </r>
  <r>
    <x v="7"/>
    <x v="8"/>
    <x v="126"/>
    <n v="2903.1"/>
    <n v="27.2"/>
    <x v="2"/>
    <s v="Basin"/>
    <x v="66"/>
    <n v="55"/>
    <x v="0"/>
    <n v="249978"/>
    <x v="1"/>
  </r>
  <r>
    <x v="8"/>
    <x v="8"/>
    <x v="127"/>
    <n v="2903.1"/>
    <n v="27.1"/>
    <x v="2"/>
    <s v="Basin"/>
    <x v="67"/>
    <n v="56"/>
    <x v="0"/>
    <n v="200000"/>
    <x v="1"/>
  </r>
  <r>
    <x v="9"/>
    <x v="8"/>
    <x v="128"/>
    <n v="2903.1"/>
    <n v="27.1"/>
    <x v="2"/>
    <s v="Basin"/>
    <x v="68"/>
    <n v="54"/>
    <x v="0"/>
    <n v="4847"/>
    <x v="1"/>
  </r>
  <r>
    <x v="10"/>
    <x v="8"/>
    <x v="129"/>
    <n v="2996.6"/>
    <n v="27.1"/>
    <x v="2"/>
    <s v="Basin"/>
    <x v="69"/>
    <n v="58"/>
    <x v="0"/>
    <n v="51239"/>
    <x v="1"/>
  </r>
  <r>
    <x v="11"/>
    <x v="8"/>
    <x v="130"/>
    <n v="2996.6"/>
    <n v="26.8"/>
    <x v="2"/>
    <s v="Basin"/>
    <x v="70"/>
    <n v="58"/>
    <x v="0"/>
    <n v="216396"/>
    <x v="1"/>
  </r>
  <r>
    <x v="12"/>
    <x v="8"/>
    <x v="131"/>
    <n v="2996.6"/>
    <n v="26.8"/>
    <x v="2"/>
    <s v="Basin"/>
    <x v="71"/>
    <n v="59"/>
    <x v="0"/>
    <n v="2644"/>
    <x v="1"/>
  </r>
  <r>
    <x v="13"/>
    <x v="8"/>
    <x v="132"/>
    <n v="3522.8"/>
    <n v="26.8"/>
    <x v="2"/>
    <s v="Basin"/>
    <x v="72"/>
    <n v="50"/>
    <x v="0"/>
    <n v="44235"/>
    <x v="1"/>
  </r>
  <r>
    <x v="14"/>
    <x v="8"/>
    <x v="133"/>
    <n v="3522.8"/>
    <n v="37"/>
    <x v="2"/>
    <s v="Basin"/>
    <x v="73"/>
    <n v="54"/>
    <x v="0"/>
    <n v="203317"/>
    <x v="1"/>
  </r>
  <r>
    <x v="1"/>
    <x v="8"/>
    <x v="134"/>
    <n v="3522.8"/>
    <n v="37"/>
    <x v="1"/>
    <s v="Basin"/>
    <x v="74"/>
    <n v="53"/>
    <x v="0"/>
    <n v="2134"/>
    <x v="1"/>
  </r>
  <r>
    <x v="2"/>
    <x v="8"/>
    <x v="135"/>
    <n v="3729.8"/>
    <n v="37"/>
    <x v="1"/>
    <s v="Basin"/>
    <x v="75"/>
    <n v="52"/>
    <x v="0"/>
    <n v="45186"/>
    <x v="1"/>
  </r>
  <r>
    <x v="3"/>
    <x v="8"/>
    <x v="136"/>
    <n v="3729.8"/>
    <n v="38"/>
    <x v="1"/>
    <s v="Basin"/>
    <x v="76"/>
    <n v="51"/>
    <x v="0"/>
    <n v="238542"/>
    <x v="1"/>
  </r>
  <r>
    <x v="4"/>
    <x v="8"/>
    <x v="137"/>
    <n v="3729.8"/>
    <n v="38"/>
    <x v="1"/>
    <s v="Basin"/>
    <x v="60"/>
    <n v="57"/>
    <x v="0"/>
    <n v="1516"/>
    <x v="1"/>
  </r>
  <r>
    <x v="5"/>
    <x v="8"/>
    <x v="138"/>
    <n v="2746.2"/>
    <n v="38"/>
    <x v="1"/>
    <s v="Basin"/>
    <x v="77"/>
    <n v="57"/>
    <x v="0"/>
    <n v="57259"/>
    <x v="1"/>
  </r>
  <r>
    <x v="5"/>
    <x v="8"/>
    <x v="139"/>
    <n v="2746.2"/>
    <n v="39"/>
    <x v="1"/>
    <s v="Basin"/>
    <x v="78"/>
    <n v="60"/>
    <x v="0"/>
    <n v="234779"/>
    <x v="1"/>
  </r>
  <r>
    <x v="4"/>
    <x v="8"/>
    <x v="140"/>
    <n v="2746.2"/>
    <n v="39"/>
    <x v="1"/>
    <s v="Basin"/>
    <x v="79"/>
    <n v="57"/>
    <x v="0"/>
    <n v="1493"/>
    <x v="1"/>
  </r>
  <r>
    <x v="5"/>
    <x v="8"/>
    <x v="141"/>
    <n v="3360"/>
    <n v="39"/>
    <x v="1"/>
    <s v="Basin"/>
    <x v="80"/>
    <n v="57"/>
    <x v="0"/>
    <n v="64409"/>
    <x v="1"/>
  </r>
  <r>
    <x v="6"/>
    <x v="8"/>
    <x v="142"/>
    <n v="3360"/>
    <n v="40"/>
    <x v="1"/>
    <s v="Basin"/>
    <x v="81"/>
    <n v="54"/>
    <x v="0"/>
    <n v="249978"/>
    <x v="1"/>
  </r>
  <r>
    <x v="1"/>
    <x v="8"/>
    <x v="143"/>
    <n v="3360"/>
    <n v="40"/>
    <x v="1"/>
    <s v="Basin"/>
    <x v="82"/>
    <n v="54.5"/>
    <x v="0"/>
    <n v="637"/>
    <x v="1"/>
  </r>
  <r>
    <x v="2"/>
    <x v="8"/>
    <x v="144"/>
    <n v="3605.4"/>
    <n v="40"/>
    <x v="1"/>
    <s v="Basin"/>
    <x v="83"/>
    <n v="56.6"/>
    <x v="0"/>
    <n v="43311"/>
    <x v="1"/>
  </r>
  <r>
    <x v="3"/>
    <x v="8"/>
    <x v="145"/>
    <n v="3605.4"/>
    <n v="41"/>
    <x v="1"/>
    <s v="Basin"/>
    <x v="84"/>
    <n v="55.5"/>
    <x v="0"/>
    <n v="24848"/>
    <x v="1"/>
  </r>
  <r>
    <x v="4"/>
    <x v="8"/>
    <x v="146"/>
    <n v="3605.4"/>
    <n v="41"/>
    <x v="1"/>
    <s v="Basin"/>
    <x v="85"/>
    <n v="58.5"/>
    <x v="0"/>
    <n v="761"/>
    <x v="1"/>
  </r>
  <r>
    <x v="5"/>
    <x v="8"/>
    <x v="0"/>
    <n v="3512.4"/>
    <n v="41"/>
    <x v="1"/>
    <s v="Basin"/>
    <x v="86"/>
    <n v="59.5"/>
    <x v="0"/>
    <n v="45608"/>
    <x v="1"/>
  </r>
  <r>
    <x v="6"/>
    <x v="8"/>
    <x v="1"/>
    <n v="3512.4"/>
    <n v="42"/>
    <x v="1"/>
    <s v="Basin"/>
    <x v="87"/>
    <n v="55"/>
    <x v="0"/>
    <n v="234581"/>
    <x v="1"/>
  </r>
  <r>
    <x v="0"/>
    <x v="8"/>
    <x v="2"/>
    <n v="3512.4"/>
    <n v="42"/>
    <x v="1"/>
    <s v="Basin"/>
    <x v="88"/>
    <n v="53"/>
    <x v="0"/>
    <n v="646"/>
    <x v="1"/>
  </r>
  <r>
    <x v="7"/>
    <x v="6"/>
    <x v="3"/>
    <n v="3296"/>
    <n v="42"/>
    <x v="1"/>
    <s v="Spray"/>
    <x v="89"/>
    <n v="53.5"/>
    <x v="0"/>
    <n v="43562"/>
    <x v="1"/>
  </r>
  <r>
    <x v="8"/>
    <x v="6"/>
    <x v="4"/>
    <n v="3296"/>
    <n v="43"/>
    <x v="1"/>
    <s v="Spray"/>
    <x v="90"/>
    <n v="52.5"/>
    <x v="0"/>
    <n v="200000"/>
    <x v="1"/>
  </r>
  <r>
    <x v="9"/>
    <x v="6"/>
    <x v="5"/>
    <n v="3296"/>
    <n v="43"/>
    <x v="1"/>
    <s v="Spray"/>
    <x v="91"/>
    <n v="56"/>
    <x v="0"/>
    <n v="4847"/>
    <x v="1"/>
  </r>
  <r>
    <x v="10"/>
    <x v="6"/>
    <x v="6"/>
    <n v="3550"/>
    <n v="128"/>
    <x v="1"/>
    <s v="Spray"/>
    <x v="92"/>
    <n v="57"/>
    <x v="0"/>
    <n v="51239"/>
    <x v="1"/>
  </r>
  <r>
    <x v="11"/>
    <x v="6"/>
    <x v="7"/>
    <n v="3550"/>
    <n v="129"/>
    <x v="1"/>
    <s v="Spray"/>
    <x v="93"/>
    <n v="57.5"/>
    <x v="0"/>
    <n v="216396"/>
    <x v="1"/>
  </r>
  <r>
    <x v="12"/>
    <x v="6"/>
    <x v="8"/>
    <n v="3550"/>
    <n v="130"/>
    <x v="1"/>
    <s v="Spray"/>
    <x v="94"/>
    <n v="57"/>
    <x v="0"/>
    <n v="2644"/>
    <x v="1"/>
  </r>
  <r>
    <x v="13"/>
    <x v="6"/>
    <x v="9"/>
    <n v="3654"/>
    <n v="131"/>
    <x v="1"/>
    <s v="Spray"/>
    <x v="95"/>
    <n v="55"/>
    <x v="0"/>
    <n v="44235"/>
    <x v="1"/>
  </r>
  <r>
    <x v="14"/>
    <x v="6"/>
    <x v="10"/>
    <n v="3654"/>
    <n v="132"/>
    <x v="1"/>
    <s v="Spray"/>
    <x v="96"/>
    <n v="56"/>
    <x v="0"/>
    <n v="203317"/>
    <x v="1"/>
  </r>
  <r>
    <x v="1"/>
    <x v="6"/>
    <x v="11"/>
    <n v="3654"/>
    <n v="133"/>
    <x v="1"/>
    <s v="Spray"/>
    <x v="97"/>
    <n v="54"/>
    <x v="0"/>
    <n v="2134"/>
    <x v="1"/>
  </r>
  <r>
    <x v="2"/>
    <x v="6"/>
    <x v="12"/>
    <n v="233"/>
    <n v="134"/>
    <x v="0"/>
    <s v="Spray"/>
    <x v="98"/>
    <n v="58"/>
    <x v="0"/>
    <n v="45186"/>
    <x v="1"/>
  </r>
  <r>
    <x v="3"/>
    <x v="6"/>
    <x v="13"/>
    <n v="233"/>
    <n v="135"/>
    <x v="0"/>
    <s v="Spray"/>
    <x v="99"/>
    <n v="58"/>
    <x v="0"/>
    <n v="238542"/>
    <x v="1"/>
  </r>
  <r>
    <x v="4"/>
    <x v="6"/>
    <x v="14"/>
    <n v="233"/>
    <n v="136"/>
    <x v="0"/>
    <s v="Spray"/>
    <x v="100"/>
    <n v="59"/>
    <x v="0"/>
    <n v="1516"/>
    <x v="1"/>
  </r>
  <r>
    <x v="5"/>
    <x v="6"/>
    <x v="15"/>
    <n v="234"/>
    <n v="137"/>
    <x v="0"/>
    <s v="Spray"/>
    <x v="101"/>
    <n v="50"/>
    <x v="0"/>
    <n v="57259"/>
    <x v="1"/>
  </r>
  <r>
    <x v="0"/>
    <x v="6"/>
    <x v="16"/>
    <n v="234"/>
    <n v="138"/>
    <x v="0"/>
    <s v="Spray"/>
    <x v="102"/>
    <n v="54"/>
    <x v="0"/>
    <n v="234779"/>
    <x v="1"/>
  </r>
  <r>
    <x v="0"/>
    <x v="6"/>
    <x v="17"/>
    <n v="234"/>
    <n v="139"/>
    <x v="0"/>
    <s v="Spray"/>
    <x v="102"/>
    <n v="53"/>
    <x v="0"/>
    <n v="1493"/>
    <x v="1"/>
  </r>
  <r>
    <x v="0"/>
    <x v="6"/>
    <x v="18"/>
    <n v="3105"/>
    <n v="140"/>
    <x v="0"/>
    <s v="Spray"/>
    <x v="103"/>
    <n v="52"/>
    <x v="0"/>
    <n v="64409"/>
    <x v="1"/>
  </r>
  <r>
    <x v="0"/>
    <x v="6"/>
    <x v="19"/>
    <n v="3105"/>
    <n v="141"/>
    <x v="0"/>
    <s v="Spray"/>
    <x v="104"/>
    <n v="51"/>
    <x v="0"/>
    <n v="249978"/>
    <x v="1"/>
  </r>
  <r>
    <x v="0"/>
    <x v="6"/>
    <x v="20"/>
    <n v="3105"/>
    <n v="142"/>
    <x v="0"/>
    <s v="Spray"/>
    <x v="105"/>
    <n v="57"/>
    <x v="0"/>
    <n v="637"/>
    <x v="1"/>
  </r>
  <r>
    <x v="0"/>
    <x v="6"/>
    <x v="0"/>
    <n v="236"/>
    <n v="143"/>
    <x v="0"/>
    <s v="Spray"/>
    <x v="106"/>
    <n v="57"/>
    <x v="0"/>
    <n v="43311"/>
    <x v="1"/>
  </r>
  <r>
    <x v="0"/>
    <x v="6"/>
    <x v="1"/>
    <n v="236"/>
    <n v="144"/>
    <x v="0"/>
    <s v="Spray"/>
    <x v="107"/>
    <n v="60"/>
    <x v="0"/>
    <n v="24848"/>
    <x v="1"/>
  </r>
  <r>
    <x v="0"/>
    <x v="6"/>
    <x v="2"/>
    <n v="2903.1"/>
    <n v="27"/>
    <x v="0"/>
    <s v="Spray"/>
    <x v="108"/>
    <n v="57"/>
    <x v="0"/>
    <n v="761"/>
    <x v="1"/>
  </r>
  <r>
    <x v="0"/>
    <x v="6"/>
    <x v="3"/>
    <n v="2903.1"/>
    <n v="27"/>
    <x v="0"/>
    <s v="Spray"/>
    <x v="109"/>
    <n v="57"/>
    <x v="0"/>
    <n v="45608"/>
    <x v="1"/>
  </r>
  <r>
    <x v="0"/>
    <x v="6"/>
    <x v="4"/>
    <n v="2903.1"/>
    <n v="27"/>
    <x v="0"/>
    <s v="Spray"/>
    <x v="110"/>
    <n v="54"/>
    <x v="0"/>
    <n v="234581"/>
    <x v="1"/>
  </r>
  <r>
    <x v="0"/>
    <x v="6"/>
    <x v="5"/>
    <n v="2996.6"/>
    <n v="27"/>
    <x v="0"/>
    <s v="Spray"/>
    <x v="111"/>
    <n v="54.5"/>
    <x v="0"/>
    <n v="646"/>
    <x v="1"/>
  </r>
  <r>
    <x v="0"/>
    <x v="6"/>
    <x v="6"/>
    <n v="2996.6"/>
    <n v="27"/>
    <x v="0"/>
    <s v="Spray"/>
    <x v="112"/>
    <n v="56.6"/>
    <x v="0"/>
    <n v="43562"/>
    <x v="1"/>
  </r>
  <r>
    <x v="0"/>
    <x v="6"/>
    <x v="7"/>
    <n v="2996.6"/>
    <n v="27"/>
    <x v="0"/>
    <s v="Spray"/>
    <x v="113"/>
    <n v="55.5"/>
    <x v="0"/>
    <n v="200000"/>
    <x v="1"/>
  </r>
  <r>
    <x v="0"/>
    <x v="6"/>
    <x v="8"/>
    <n v="3522.8"/>
    <n v="27.2"/>
    <x v="0"/>
    <s v="Spray"/>
    <x v="114"/>
    <n v="58.5"/>
    <x v="0"/>
    <n v="4847"/>
    <x v="1"/>
  </r>
  <r>
    <x v="0"/>
    <x v="6"/>
    <x v="9"/>
    <n v="3522.8"/>
    <n v="27.2"/>
    <x v="0"/>
    <s v="Spray"/>
    <x v="115"/>
    <n v="59.5"/>
    <x v="0"/>
    <n v="51239"/>
    <x v="1"/>
  </r>
  <r>
    <x v="0"/>
    <x v="6"/>
    <x v="10"/>
    <n v="3522.8"/>
    <n v="27.2"/>
    <x v="0"/>
    <s v="Spray"/>
    <x v="116"/>
    <n v="55"/>
    <x v="0"/>
    <n v="216396"/>
    <x v="1"/>
  </r>
  <r>
    <x v="0"/>
    <x v="6"/>
    <x v="11"/>
    <n v="2903.1"/>
    <n v="27"/>
    <x v="0"/>
    <s v="Spray"/>
    <x v="117"/>
    <n v="53"/>
    <x v="0"/>
    <n v="2644"/>
    <x v="1"/>
  </r>
  <r>
    <x v="0"/>
    <x v="6"/>
    <x v="12"/>
    <n v="2903.1"/>
    <n v="27"/>
    <x v="0"/>
    <s v="Spray"/>
    <x v="118"/>
    <n v="53.5"/>
    <x v="0"/>
    <n v="44235"/>
    <x v="1"/>
  </r>
  <r>
    <x v="0"/>
    <x v="6"/>
    <x v="13"/>
    <n v="2903.1"/>
    <n v="27"/>
    <x v="0"/>
    <s v="Spray"/>
    <x v="119"/>
    <n v="52.5"/>
    <x v="0"/>
    <n v="203317"/>
    <x v="1"/>
  </r>
  <r>
    <x v="0"/>
    <x v="6"/>
    <x v="14"/>
    <n v="2996.6"/>
    <n v="27"/>
    <x v="0"/>
    <s v="Spray"/>
    <x v="120"/>
    <n v="56"/>
    <x v="0"/>
    <n v="2134"/>
    <x v="1"/>
  </r>
  <r>
    <x v="0"/>
    <x v="6"/>
    <x v="15"/>
    <n v="2996.6"/>
    <n v="27"/>
    <x v="0"/>
    <s v="Spray"/>
    <x v="121"/>
    <n v="57"/>
    <x v="0"/>
    <n v="45186"/>
    <x v="1"/>
  </r>
  <r>
    <x v="0"/>
    <x v="6"/>
    <x v="16"/>
    <n v="2996.6"/>
    <n v="27"/>
    <x v="4"/>
    <s v="Spray"/>
    <x v="122"/>
    <n v="57.5"/>
    <x v="0"/>
    <n v="238542"/>
    <x v="1"/>
  </r>
  <r>
    <x v="0"/>
    <x v="6"/>
    <x v="17"/>
    <n v="3522.8"/>
    <n v="27.2"/>
    <x v="4"/>
    <s v="Spray"/>
    <x v="105"/>
    <n v="57"/>
    <x v="0"/>
    <n v="1516"/>
    <x v="1"/>
  </r>
  <r>
    <x v="0"/>
    <x v="6"/>
    <x v="18"/>
    <n v="3522.8"/>
    <n v="27.2"/>
    <x v="4"/>
    <s v="Spray"/>
    <x v="123"/>
    <n v="55"/>
    <x v="0"/>
    <n v="200000"/>
    <x v="1"/>
  </r>
  <r>
    <x v="0"/>
    <x v="6"/>
    <x v="19"/>
    <n v="3522.8"/>
    <n v="27.2"/>
    <x v="4"/>
    <s v="Spray"/>
    <x v="124"/>
    <n v="56"/>
    <x v="0"/>
    <n v="4847"/>
    <x v="1"/>
  </r>
  <r>
    <x v="0"/>
    <x v="6"/>
    <x v="20"/>
    <n v="3729.8"/>
    <n v="27.1"/>
    <x v="4"/>
    <s v="Spray"/>
    <x v="125"/>
    <n v="54"/>
    <x v="0"/>
    <n v="51239"/>
    <x v="1"/>
  </r>
  <r>
    <x v="0"/>
    <x v="6"/>
    <x v="0"/>
    <n v="3729.8"/>
    <n v="27.1"/>
    <x v="4"/>
    <s v="Spray"/>
    <x v="126"/>
    <n v="58"/>
    <x v="0"/>
    <n v="216396"/>
    <x v="1"/>
  </r>
  <r>
    <x v="0"/>
    <x v="6"/>
    <x v="1"/>
    <n v="3729.8"/>
    <n v="27.1"/>
    <x v="4"/>
    <s v="Spray"/>
    <x v="127"/>
    <n v="58"/>
    <x v="0"/>
    <n v="2644"/>
    <x v="1"/>
  </r>
  <r>
    <x v="0"/>
    <x v="6"/>
    <x v="2"/>
    <n v="2746.2"/>
    <n v="26.8"/>
    <x v="4"/>
    <s v="Spray"/>
    <x v="128"/>
    <n v="59"/>
    <x v="0"/>
    <n v="44235"/>
    <x v="1"/>
  </r>
  <r>
    <x v="0"/>
    <x v="6"/>
    <x v="3"/>
    <n v="2746.2"/>
    <n v="26.8"/>
    <x v="4"/>
    <s v="Spray"/>
    <x v="66"/>
    <n v="50"/>
    <x v="0"/>
    <n v="203317"/>
    <x v="1"/>
  </r>
  <r>
    <x v="0"/>
    <x v="6"/>
    <x v="4"/>
    <n v="2746.2"/>
    <n v="26.8"/>
    <x v="4"/>
    <s v="Spray"/>
    <x v="129"/>
    <n v="54"/>
    <x v="0"/>
    <n v="2134"/>
    <x v="1"/>
  </r>
  <r>
    <x v="0"/>
    <x v="6"/>
    <x v="5"/>
    <n v="3360"/>
    <n v="37"/>
    <x v="4"/>
    <s v="Drip"/>
    <x v="130"/>
    <n v="53"/>
    <x v="1"/>
    <n v="45186"/>
    <x v="1"/>
  </r>
  <r>
    <x v="0"/>
    <x v="6"/>
    <x v="6"/>
    <n v="3360"/>
    <n v="37"/>
    <x v="4"/>
    <s v="Drip"/>
    <x v="131"/>
    <n v="52"/>
    <x v="1"/>
    <n v="238542"/>
    <x v="1"/>
  </r>
  <r>
    <x v="0"/>
    <x v="6"/>
    <x v="7"/>
    <n v="3360"/>
    <n v="37"/>
    <x v="4"/>
    <s v="Drip"/>
    <x v="132"/>
    <n v="51"/>
    <x v="1"/>
    <n v="1516"/>
    <x v="1"/>
  </r>
  <r>
    <x v="0"/>
    <x v="6"/>
    <x v="8"/>
    <n v="3605.4"/>
    <n v="38"/>
    <x v="4"/>
    <s v="Drip"/>
    <x v="124"/>
    <n v="57"/>
    <x v="1"/>
    <n v="57259"/>
    <x v="1"/>
  </r>
  <r>
    <x v="0"/>
    <x v="6"/>
    <x v="9"/>
    <n v="3605.4"/>
    <n v="38"/>
    <x v="4"/>
    <s v="Drip"/>
    <x v="133"/>
    <n v="57"/>
    <x v="1"/>
    <n v="234779"/>
    <x v="1"/>
  </r>
  <r>
    <x v="0"/>
    <x v="6"/>
    <x v="10"/>
    <n v="3605.4"/>
    <n v="38"/>
    <x v="4"/>
    <s v="Drip"/>
    <x v="134"/>
    <n v="60"/>
    <x v="1"/>
    <n v="1493"/>
    <x v="1"/>
  </r>
  <r>
    <x v="0"/>
    <x v="6"/>
    <x v="11"/>
    <n v="3512.4"/>
    <n v="39"/>
    <x v="4"/>
    <s v="Drip"/>
    <x v="135"/>
    <n v="57"/>
    <x v="2"/>
    <n v="64409"/>
    <x v="1"/>
  </r>
  <r>
    <x v="0"/>
    <x v="0"/>
    <x v="12"/>
    <n v="3512.4"/>
    <n v="39"/>
    <x v="4"/>
    <s v="Drip"/>
    <x v="136"/>
    <n v="57"/>
    <x v="2"/>
    <n v="249978"/>
    <x v="1"/>
  </r>
  <r>
    <x v="0"/>
    <x v="0"/>
    <x v="13"/>
    <n v="3512.4"/>
    <n v="39"/>
    <x v="4"/>
    <s v="Drip"/>
    <x v="137"/>
    <n v="54"/>
    <x v="2"/>
    <n v="637"/>
    <x v="1"/>
  </r>
  <r>
    <x v="0"/>
    <x v="0"/>
    <x v="14"/>
    <n v="3296"/>
    <n v="40"/>
    <x v="4"/>
    <s v="Drip"/>
    <x v="138"/>
    <n v="54.5"/>
    <x v="2"/>
    <n v="43311"/>
    <x v="1"/>
  </r>
  <r>
    <x v="0"/>
    <x v="0"/>
    <x v="15"/>
    <n v="3296"/>
    <n v="40"/>
    <x v="4"/>
    <s v="Drip"/>
    <x v="139"/>
    <n v="56.6"/>
    <x v="2"/>
    <n v="24848"/>
    <x v="2"/>
  </r>
  <r>
    <x v="0"/>
    <x v="0"/>
    <x v="16"/>
    <n v="3296"/>
    <n v="40"/>
    <x v="4"/>
    <s v="Drip"/>
    <x v="140"/>
    <n v="55.5"/>
    <x v="2"/>
    <n v="761"/>
    <x v="2"/>
  </r>
  <r>
    <x v="0"/>
    <x v="0"/>
    <x v="17"/>
    <n v="3550"/>
    <n v="41"/>
    <x v="4"/>
    <s v="Drip"/>
    <x v="141"/>
    <n v="58.5"/>
    <x v="2"/>
    <n v="45608"/>
    <x v="2"/>
  </r>
  <r>
    <x v="0"/>
    <x v="0"/>
    <x v="18"/>
    <n v="3550"/>
    <n v="41"/>
    <x v="4"/>
    <s v="Drip"/>
    <x v="142"/>
    <n v="59.5"/>
    <x v="2"/>
    <n v="234581"/>
    <x v="2"/>
  </r>
  <r>
    <x v="0"/>
    <x v="0"/>
    <x v="19"/>
    <n v="3550"/>
    <n v="41"/>
    <x v="4"/>
    <s v="Drip"/>
    <x v="143"/>
    <n v="55"/>
    <x v="2"/>
    <n v="646"/>
    <x v="2"/>
  </r>
  <r>
    <x v="0"/>
    <x v="0"/>
    <x v="20"/>
    <n v="3654"/>
    <n v="42"/>
    <x v="10"/>
    <s v="Drip"/>
    <x v="144"/>
    <n v="53"/>
    <x v="2"/>
    <n v="43562"/>
    <x v="2"/>
  </r>
  <r>
    <x v="0"/>
    <x v="0"/>
    <x v="21"/>
    <n v="3654"/>
    <n v="42"/>
    <x v="10"/>
    <s v="Drip"/>
    <x v="145"/>
    <n v="53.5"/>
    <x v="2"/>
    <n v="200000"/>
    <x v="2"/>
  </r>
  <r>
    <x v="0"/>
    <x v="0"/>
    <x v="22"/>
    <n v="3654"/>
    <n v="42"/>
    <x v="10"/>
    <s v="Drip"/>
    <x v="146"/>
    <n v="52.5"/>
    <x v="2"/>
    <n v="4847"/>
    <x v="2"/>
  </r>
  <r>
    <x v="0"/>
    <x v="0"/>
    <x v="23"/>
    <n v="233"/>
    <n v="43"/>
    <x v="10"/>
    <s v="Drip"/>
    <x v="147"/>
    <n v="56"/>
    <x v="2"/>
    <n v="51239"/>
    <x v="2"/>
  </r>
  <r>
    <x v="0"/>
    <x v="0"/>
    <x v="24"/>
    <n v="233"/>
    <n v="43"/>
    <x v="10"/>
    <s v="Drip"/>
    <x v="148"/>
    <n v="57"/>
    <x v="2"/>
    <n v="216396"/>
    <x v="2"/>
  </r>
  <r>
    <x v="0"/>
    <x v="0"/>
    <x v="25"/>
    <n v="233"/>
    <n v="27"/>
    <x v="10"/>
    <s v="Drip"/>
    <x v="149"/>
    <n v="57.5"/>
    <x v="2"/>
    <n v="2644"/>
    <x v="2"/>
  </r>
  <r>
    <x v="0"/>
    <x v="1"/>
    <x v="26"/>
    <n v="234"/>
    <n v="27"/>
    <x v="10"/>
    <s v="Drip"/>
    <x v="150"/>
    <n v="57"/>
    <x v="3"/>
    <n v="44235"/>
    <x v="2"/>
  </r>
  <r>
    <x v="0"/>
    <x v="1"/>
    <x v="27"/>
    <n v="234"/>
    <n v="27"/>
    <x v="10"/>
    <s v="Drip"/>
    <x v="151"/>
    <n v="55"/>
    <x v="3"/>
    <n v="203317"/>
    <x v="2"/>
  </r>
  <r>
    <x v="0"/>
    <x v="1"/>
    <x v="28"/>
    <n v="234"/>
    <n v="27"/>
    <x v="10"/>
    <s v="Drip"/>
    <x v="152"/>
    <n v="56"/>
    <x v="3"/>
    <n v="2134"/>
    <x v="2"/>
  </r>
  <r>
    <x v="0"/>
    <x v="1"/>
    <x v="29"/>
    <n v="3105"/>
    <n v="27"/>
    <x v="10"/>
    <s v="Drip"/>
    <x v="153"/>
    <n v="54"/>
    <x v="3"/>
    <n v="45186"/>
    <x v="2"/>
  </r>
  <r>
    <x v="0"/>
    <x v="1"/>
    <x v="30"/>
    <n v="3105"/>
    <n v="27"/>
    <x v="10"/>
    <s v="Drip"/>
    <x v="154"/>
    <n v="58"/>
    <x v="3"/>
    <n v="238542"/>
    <x v="2"/>
  </r>
  <r>
    <x v="0"/>
    <x v="1"/>
    <x v="31"/>
    <n v="3105"/>
    <n v="27.2"/>
    <x v="10"/>
    <s v="Drip"/>
    <x v="155"/>
    <n v="58"/>
    <x v="3"/>
    <n v="1516"/>
    <x v="2"/>
  </r>
  <r>
    <x v="0"/>
    <x v="1"/>
    <x v="32"/>
    <n v="236"/>
    <n v="27.2"/>
    <x v="10"/>
    <s v="Drip"/>
    <x v="156"/>
    <n v="59"/>
    <x v="3"/>
    <n v="57259"/>
    <x v="2"/>
  </r>
  <r>
    <x v="0"/>
    <x v="1"/>
    <x v="33"/>
    <n v="236"/>
    <n v="27.2"/>
    <x v="10"/>
    <s v="Drip"/>
    <x v="157"/>
    <n v="50"/>
    <x v="3"/>
    <n v="234779"/>
    <x v="2"/>
  </r>
  <r>
    <x v="0"/>
    <x v="1"/>
    <x v="34"/>
    <n v="2903.1"/>
    <n v="27"/>
    <x v="10"/>
    <s v="Drip"/>
    <x v="158"/>
    <n v="54"/>
    <x v="3"/>
    <n v="1493"/>
    <x v="2"/>
  </r>
  <r>
    <x v="0"/>
    <x v="1"/>
    <x v="35"/>
    <n v="2903.1"/>
    <n v="27"/>
    <x v="10"/>
    <s v="Drip"/>
    <x v="159"/>
    <n v="53"/>
    <x v="3"/>
    <n v="64409"/>
    <x v="2"/>
  </r>
  <r>
    <x v="0"/>
    <x v="1"/>
    <x v="36"/>
    <n v="2903.1"/>
    <n v="27"/>
    <x v="10"/>
    <s v="Drip"/>
    <x v="160"/>
    <n v="52"/>
    <x v="3"/>
    <n v="249978"/>
    <x v="2"/>
  </r>
  <r>
    <x v="0"/>
    <x v="1"/>
    <x v="37"/>
    <n v="2996.6"/>
    <n v="27"/>
    <x v="10"/>
    <s v="Drip"/>
    <x v="161"/>
    <n v="51"/>
    <x v="3"/>
    <n v="637"/>
    <x v="2"/>
  </r>
  <r>
    <x v="0"/>
    <x v="1"/>
    <x v="38"/>
    <n v="2996.6"/>
    <n v="27"/>
    <x v="10"/>
    <s v="Drip"/>
    <x v="131"/>
    <n v="57"/>
    <x v="3"/>
    <n v="43311"/>
    <x v="2"/>
  </r>
  <r>
    <x v="0"/>
    <x v="2"/>
    <x v="39"/>
    <n v="2996.6"/>
    <n v="27"/>
    <x v="10"/>
    <s v="Drip"/>
    <x v="132"/>
    <n v="57"/>
    <x v="3"/>
    <n v="24848"/>
    <x v="2"/>
  </r>
  <r>
    <x v="0"/>
    <x v="2"/>
    <x v="40"/>
    <n v="3522.8"/>
    <n v="27.2"/>
    <x v="10"/>
    <s v="Drip"/>
    <x v="124"/>
    <n v="60"/>
    <x v="3"/>
    <n v="761"/>
    <x v="2"/>
  </r>
  <r>
    <x v="0"/>
    <x v="2"/>
    <x v="41"/>
    <n v="3522.8"/>
    <n v="27.2"/>
    <x v="10"/>
    <s v="Drip"/>
    <x v="133"/>
    <n v="57"/>
    <x v="4"/>
    <n v="45608"/>
    <x v="2"/>
  </r>
  <r>
    <x v="0"/>
    <x v="2"/>
    <x v="42"/>
    <n v="3522.8"/>
    <n v="27.2"/>
    <x v="10"/>
    <s v="Drip"/>
    <x v="134"/>
    <n v="57"/>
    <x v="4"/>
    <n v="234581"/>
    <x v="2"/>
  </r>
  <r>
    <x v="0"/>
    <x v="2"/>
    <x v="43"/>
    <n v="2903.1"/>
    <n v="27.1"/>
    <x v="10"/>
    <s v="Drip"/>
    <x v="135"/>
    <n v="54"/>
    <x v="4"/>
    <n v="646"/>
    <x v="2"/>
  </r>
  <r>
    <x v="0"/>
    <x v="2"/>
    <x v="44"/>
    <n v="2903.1"/>
    <n v="27.1"/>
    <x v="10"/>
    <s v="Drip"/>
    <x v="136"/>
    <n v="54.5"/>
    <x v="4"/>
    <n v="43562"/>
    <x v="2"/>
  </r>
  <r>
    <x v="0"/>
    <x v="2"/>
    <x v="45"/>
    <n v="2903.1"/>
    <n v="27.1"/>
    <x v="10"/>
    <s v="Drip"/>
    <x v="137"/>
    <n v="56.6"/>
    <x v="4"/>
    <n v="200000"/>
    <x v="2"/>
  </r>
  <r>
    <x v="0"/>
    <x v="2"/>
    <x v="46"/>
    <n v="2996.6"/>
    <n v="26.8"/>
    <x v="10"/>
    <s v="Drip"/>
    <x v="138"/>
    <n v="55.5"/>
    <x v="4"/>
    <n v="4847"/>
    <x v="2"/>
  </r>
  <r>
    <x v="0"/>
    <x v="2"/>
    <x v="47"/>
    <n v="2996.6"/>
    <n v="26.8"/>
    <x v="10"/>
    <s v="Drip"/>
    <x v="139"/>
    <n v="58.5"/>
    <x v="4"/>
    <n v="51239"/>
    <x v="2"/>
  </r>
  <r>
    <x v="0"/>
    <x v="2"/>
    <x v="48"/>
    <n v="2996.6"/>
    <n v="26.8"/>
    <x v="10"/>
    <s v="Drip"/>
    <x v="140"/>
    <n v="59.5"/>
    <x v="4"/>
    <n v="216396"/>
    <x v="2"/>
  </r>
  <r>
    <x v="0"/>
    <x v="2"/>
    <x v="49"/>
    <n v="3522.8"/>
    <n v="37"/>
    <x v="10"/>
    <s v="Basin"/>
    <x v="141"/>
    <n v="55"/>
    <x v="4"/>
    <n v="2644"/>
    <x v="2"/>
  </r>
  <r>
    <x v="0"/>
    <x v="2"/>
    <x v="50"/>
    <n v="3522.8"/>
    <n v="37"/>
    <x v="4"/>
    <s v="Basin"/>
    <x v="142"/>
    <n v="53"/>
    <x v="4"/>
    <n v="44235"/>
    <x v="2"/>
  </r>
  <r>
    <x v="0"/>
    <x v="2"/>
    <x v="51"/>
    <n v="3522.8"/>
    <n v="37"/>
    <x v="4"/>
    <s v="Basin"/>
    <x v="143"/>
    <n v="53.5"/>
    <x v="4"/>
    <n v="203317"/>
    <x v="2"/>
  </r>
  <r>
    <x v="0"/>
    <x v="2"/>
    <x v="52"/>
    <n v="3729.8"/>
    <n v="38"/>
    <x v="4"/>
    <s v="Basin"/>
    <x v="144"/>
    <n v="52.5"/>
    <x v="4"/>
    <n v="2134"/>
    <x v="2"/>
  </r>
  <r>
    <x v="0"/>
    <x v="2"/>
    <x v="53"/>
    <n v="3729.8"/>
    <n v="38"/>
    <x v="4"/>
    <s v="Basin"/>
    <x v="145"/>
    <n v="56"/>
    <x v="4"/>
    <n v="45186"/>
    <x v="2"/>
  </r>
  <r>
    <x v="0"/>
    <x v="3"/>
    <x v="54"/>
    <n v="3729.8"/>
    <n v="38"/>
    <x v="4"/>
    <s v="Basin"/>
    <x v="146"/>
    <n v="57"/>
    <x v="4"/>
    <n v="238542"/>
    <x v="2"/>
  </r>
  <r>
    <x v="0"/>
    <x v="3"/>
    <x v="55"/>
    <n v="2746.2"/>
    <n v="39"/>
    <x v="4"/>
    <s v="Basin"/>
    <x v="147"/>
    <n v="57.5"/>
    <x v="4"/>
    <n v="1516"/>
    <x v="2"/>
  </r>
  <r>
    <x v="0"/>
    <x v="3"/>
    <x v="56"/>
    <n v="2746.2"/>
    <n v="39"/>
    <x v="4"/>
    <s v="Basin"/>
    <x v="148"/>
    <n v="57"/>
    <x v="5"/>
    <n v="200000"/>
    <x v="2"/>
  </r>
  <r>
    <x v="0"/>
    <x v="3"/>
    <x v="57"/>
    <n v="2746.2"/>
    <n v="39"/>
    <x v="4"/>
    <s v="Basin"/>
    <x v="149"/>
    <n v="55"/>
    <x v="5"/>
    <n v="4847"/>
    <x v="2"/>
  </r>
  <r>
    <x v="0"/>
    <x v="3"/>
    <x v="58"/>
    <n v="3360"/>
    <n v="40"/>
    <x v="4"/>
    <s v="Basin"/>
    <x v="150"/>
    <n v="56"/>
    <x v="5"/>
    <n v="51239"/>
    <x v="2"/>
  </r>
  <r>
    <x v="0"/>
    <x v="3"/>
    <x v="59"/>
    <n v="3360"/>
    <n v="40"/>
    <x v="4"/>
    <s v="Basin"/>
    <x v="151"/>
    <n v="54"/>
    <x v="5"/>
    <n v="216396"/>
    <x v="2"/>
  </r>
  <r>
    <x v="0"/>
    <x v="3"/>
    <x v="60"/>
    <n v="3360"/>
    <n v="40"/>
    <x v="4"/>
    <s v="Basin"/>
    <x v="152"/>
    <n v="58"/>
    <x v="5"/>
    <n v="2644"/>
    <x v="2"/>
  </r>
  <r>
    <x v="0"/>
    <x v="3"/>
    <x v="61"/>
    <n v="3605.4"/>
    <n v="41"/>
    <x v="4"/>
    <s v="Basin"/>
    <x v="153"/>
    <n v="58"/>
    <x v="5"/>
    <n v="44235"/>
    <x v="2"/>
  </r>
  <r>
    <x v="0"/>
    <x v="3"/>
    <x v="62"/>
    <n v="3605.4"/>
    <n v="41"/>
    <x v="4"/>
    <s v="Basin"/>
    <x v="154"/>
    <n v="59"/>
    <x v="5"/>
    <n v="203317"/>
    <x v="2"/>
  </r>
  <r>
    <x v="0"/>
    <x v="3"/>
    <x v="63"/>
    <n v="3605.4"/>
    <n v="41"/>
    <x v="4"/>
    <s v="Basin"/>
    <x v="155"/>
    <n v="50"/>
    <x v="5"/>
    <n v="2134"/>
    <x v="2"/>
  </r>
  <r>
    <x v="0"/>
    <x v="3"/>
    <x v="64"/>
    <n v="3512.4"/>
    <n v="42"/>
    <x v="4"/>
    <s v="Basin"/>
    <x v="156"/>
    <n v="54"/>
    <x v="5"/>
    <n v="45186"/>
    <x v="2"/>
  </r>
  <r>
    <x v="0"/>
    <x v="3"/>
    <x v="65"/>
    <n v="3512.4"/>
    <n v="42"/>
    <x v="4"/>
    <s v="Basin"/>
    <x v="157"/>
    <n v="53"/>
    <x v="5"/>
    <n v="238542"/>
    <x v="2"/>
  </r>
  <r>
    <x v="0"/>
    <x v="3"/>
    <x v="62"/>
    <n v="3512.4"/>
    <n v="42"/>
    <x v="4"/>
    <s v="Basin"/>
    <x v="158"/>
    <n v="52"/>
    <x v="5"/>
    <n v="1516"/>
    <x v="2"/>
  </r>
  <r>
    <x v="0"/>
    <x v="3"/>
    <x v="66"/>
    <n v="3296"/>
    <n v="43"/>
    <x v="4"/>
    <s v="Basin"/>
    <x v="159"/>
    <n v="51"/>
    <x v="5"/>
    <n v="57259"/>
    <x v="2"/>
  </r>
  <r>
    <x v="0"/>
    <x v="3"/>
    <x v="67"/>
    <n v="3296"/>
    <n v="27"/>
    <x v="4"/>
    <s v="Basin"/>
    <x v="160"/>
    <n v="57"/>
    <x v="5"/>
    <n v="234779"/>
    <x v="2"/>
  </r>
  <r>
    <x v="0"/>
    <x v="3"/>
    <x v="68"/>
    <n v="3296"/>
    <n v="27"/>
    <x v="4"/>
    <s v="Basin"/>
    <x v="161"/>
    <n v="57"/>
    <x v="5"/>
    <n v="1493"/>
    <x v="2"/>
  </r>
  <r>
    <x v="0"/>
    <x v="3"/>
    <x v="67"/>
    <n v="3550"/>
    <n v="27"/>
    <x v="4"/>
    <s v="Basin"/>
    <x v="131"/>
    <n v="60"/>
    <x v="5"/>
    <n v="64409"/>
    <x v="2"/>
  </r>
  <r>
    <x v="0"/>
    <x v="3"/>
    <x v="69"/>
    <n v="3550"/>
    <n v="27"/>
    <x v="4"/>
    <s v="Basin"/>
    <x v="132"/>
    <n v="57"/>
    <x v="6"/>
    <n v="249978"/>
    <x v="2"/>
  </r>
  <r>
    <x v="0"/>
    <x v="3"/>
    <x v="70"/>
    <n v="3550"/>
    <n v="27"/>
    <x v="4"/>
    <s v="Basin"/>
    <x v="124"/>
    <n v="57"/>
    <x v="6"/>
    <n v="637"/>
    <x v="2"/>
  </r>
  <r>
    <x v="0"/>
    <x v="3"/>
    <x v="71"/>
    <n v="3654"/>
    <n v="27"/>
    <x v="4"/>
    <s v="Basin"/>
    <x v="133"/>
    <n v="54"/>
    <x v="6"/>
    <n v="43311"/>
    <x v="2"/>
  </r>
  <r>
    <x v="0"/>
    <x v="4"/>
    <x v="64"/>
    <n v="3654"/>
    <n v="27.2"/>
    <x v="4"/>
    <s v="Basin"/>
    <x v="134"/>
    <n v="54.5"/>
    <x v="6"/>
    <n v="24848"/>
    <x v="2"/>
  </r>
  <r>
    <x v="0"/>
    <x v="4"/>
    <x v="63"/>
    <n v="3654"/>
    <n v="27.2"/>
    <x v="4"/>
    <s v="Basin"/>
    <x v="135"/>
    <n v="56.6"/>
    <x v="6"/>
    <n v="761"/>
    <x v="2"/>
  </r>
  <r>
    <x v="0"/>
    <x v="4"/>
    <x v="72"/>
    <n v="233"/>
    <n v="27.2"/>
    <x v="4"/>
    <s v="Basin"/>
    <x v="136"/>
    <n v="55.5"/>
    <x v="6"/>
    <n v="45608"/>
    <x v="2"/>
  </r>
  <r>
    <x v="0"/>
    <x v="4"/>
    <x v="73"/>
    <n v="233"/>
    <n v="27"/>
    <x v="4"/>
    <s v="Basin"/>
    <x v="137"/>
    <n v="58.5"/>
    <x v="6"/>
    <n v="234581"/>
    <x v="2"/>
  </r>
  <r>
    <x v="0"/>
    <x v="4"/>
    <x v="60"/>
    <n v="233"/>
    <n v="27"/>
    <x v="4"/>
    <s v="Basin"/>
    <x v="138"/>
    <n v="59.5"/>
    <x v="6"/>
    <n v="646"/>
    <x v="2"/>
  </r>
  <r>
    <x v="0"/>
    <x v="4"/>
    <x v="74"/>
    <n v="234"/>
    <n v="27"/>
    <x v="4"/>
    <s v="Basin"/>
    <x v="139"/>
    <n v="55"/>
    <x v="6"/>
    <n v="43562"/>
    <x v="2"/>
  </r>
  <r>
    <x v="0"/>
    <x v="4"/>
    <x v="75"/>
    <n v="234"/>
    <n v="27"/>
    <x v="4"/>
    <s v="Basin"/>
    <x v="140"/>
    <n v="53"/>
    <x v="6"/>
    <n v="200000"/>
    <x v="2"/>
  </r>
  <r>
    <x v="0"/>
    <x v="4"/>
    <x v="76"/>
    <n v="234"/>
    <n v="27"/>
    <x v="4"/>
    <s v="Basin"/>
    <x v="141"/>
    <n v="53.5"/>
    <x v="6"/>
    <n v="4847"/>
    <x v="2"/>
  </r>
  <r>
    <x v="0"/>
    <x v="4"/>
    <x v="77"/>
    <n v="3105"/>
    <n v="27"/>
    <x v="4"/>
    <s v="Basin"/>
    <x v="142"/>
    <n v="52.5"/>
    <x v="6"/>
    <n v="51239"/>
    <x v="2"/>
  </r>
  <r>
    <x v="0"/>
    <x v="4"/>
    <x v="78"/>
    <n v="3105"/>
    <n v="27.2"/>
    <x v="4"/>
    <s v="Basin"/>
    <x v="143"/>
    <n v="56"/>
    <x v="6"/>
    <n v="216396"/>
    <x v="2"/>
  </r>
  <r>
    <x v="0"/>
    <x v="4"/>
    <x v="79"/>
    <n v="3105"/>
    <n v="27.2"/>
    <x v="3"/>
    <s v="Basin"/>
    <x v="144"/>
    <n v="57"/>
    <x v="6"/>
    <n v="2644"/>
    <x v="2"/>
  </r>
  <r>
    <x v="0"/>
    <x v="4"/>
    <x v="80"/>
    <n v="236"/>
    <n v="27.2"/>
    <x v="3"/>
    <s v="Basin"/>
    <x v="145"/>
    <n v="57.5"/>
    <x v="6"/>
    <n v="44235"/>
    <x v="2"/>
  </r>
  <r>
    <x v="0"/>
    <x v="4"/>
    <x v="81"/>
    <n v="236"/>
    <n v="27.1"/>
    <x v="3"/>
    <s v="Basin"/>
    <x v="146"/>
    <n v="57"/>
    <x v="7"/>
    <n v="203317"/>
    <x v="2"/>
  </r>
  <r>
    <x v="0"/>
    <x v="4"/>
    <x v="82"/>
    <n v="2903.1"/>
    <n v="27.1"/>
    <x v="3"/>
    <s v="Basin"/>
    <x v="147"/>
    <n v="55"/>
    <x v="7"/>
    <n v="2134"/>
    <x v="2"/>
  </r>
  <r>
    <x v="0"/>
    <x v="4"/>
    <x v="83"/>
    <n v="2903.1"/>
    <n v="27.1"/>
    <x v="3"/>
    <s v="Basin"/>
    <x v="148"/>
    <n v="56"/>
    <x v="7"/>
    <n v="45186"/>
    <x v="2"/>
  </r>
  <r>
    <x v="0"/>
    <x v="4"/>
    <x v="84"/>
    <n v="2903.1"/>
    <n v="26.8"/>
    <x v="3"/>
    <s v="Basin"/>
    <x v="149"/>
    <n v="54"/>
    <x v="7"/>
    <n v="238542"/>
    <x v="2"/>
  </r>
  <r>
    <x v="0"/>
    <x v="4"/>
    <x v="85"/>
    <n v="2996.6"/>
    <n v="26.8"/>
    <x v="3"/>
    <s v="Basin"/>
    <x v="150"/>
    <n v="58"/>
    <x v="7"/>
    <n v="1516"/>
    <x v="2"/>
  </r>
  <r>
    <x v="0"/>
    <x v="4"/>
    <x v="86"/>
    <n v="2996.6"/>
    <n v="26.8"/>
    <x v="3"/>
    <s v="Basin"/>
    <x v="151"/>
    <n v="58"/>
    <x v="7"/>
    <n v="57259"/>
    <x v="2"/>
  </r>
  <r>
    <x v="0"/>
    <x v="4"/>
    <x v="87"/>
    <n v="2996.6"/>
    <n v="37"/>
    <x v="3"/>
    <s v="Spray"/>
    <x v="152"/>
    <n v="59"/>
    <x v="7"/>
    <n v="234779"/>
    <x v="2"/>
  </r>
  <r>
    <x v="0"/>
    <x v="4"/>
    <x v="88"/>
    <n v="3522.8"/>
    <n v="37"/>
    <x v="3"/>
    <s v="Spray"/>
    <x v="153"/>
    <n v="50"/>
    <x v="7"/>
    <n v="1493"/>
    <x v="2"/>
  </r>
  <r>
    <x v="0"/>
    <x v="4"/>
    <x v="89"/>
    <n v="3522.8"/>
    <n v="37"/>
    <x v="3"/>
    <s v="Spray"/>
    <x v="154"/>
    <n v="54"/>
    <x v="7"/>
    <n v="64409"/>
    <x v="2"/>
  </r>
  <r>
    <x v="0"/>
    <x v="4"/>
    <x v="90"/>
    <n v="3522.8"/>
    <n v="38"/>
    <x v="3"/>
    <s v="Spray"/>
    <x v="155"/>
    <n v="53"/>
    <x v="7"/>
    <n v="249978"/>
    <x v="2"/>
  </r>
  <r>
    <x v="0"/>
    <x v="4"/>
    <x v="91"/>
    <n v="2903.1"/>
    <n v="38"/>
    <x v="3"/>
    <s v="Spray"/>
    <x v="156"/>
    <n v="52"/>
    <x v="7"/>
    <n v="637"/>
    <x v="2"/>
  </r>
  <r>
    <x v="0"/>
    <x v="4"/>
    <x v="92"/>
    <n v="2903.1"/>
    <n v="38"/>
    <x v="3"/>
    <s v="Spray"/>
    <x v="157"/>
    <n v="51"/>
    <x v="7"/>
    <n v="43311"/>
    <x v="2"/>
  </r>
  <r>
    <x v="0"/>
    <x v="4"/>
    <x v="64"/>
    <n v="2903.1"/>
    <n v="39"/>
    <x v="3"/>
    <s v="Spray"/>
    <x v="158"/>
    <n v="57"/>
    <x v="7"/>
    <n v="24848"/>
    <x v="2"/>
  </r>
  <r>
    <x v="0"/>
    <x v="4"/>
    <x v="93"/>
    <n v="2996.6"/>
    <n v="39"/>
    <x v="3"/>
    <s v="Spray"/>
    <x v="159"/>
    <n v="57"/>
    <x v="7"/>
    <n v="761"/>
    <x v="1"/>
  </r>
  <r>
    <x v="0"/>
    <x v="4"/>
    <x v="94"/>
    <n v="2996.6"/>
    <n v="39"/>
    <x v="3"/>
    <s v="Spray"/>
    <x v="160"/>
    <n v="60"/>
    <x v="7"/>
    <n v="45608"/>
    <x v="1"/>
  </r>
  <r>
    <x v="0"/>
    <x v="4"/>
    <x v="95"/>
    <n v="2996.6"/>
    <n v="40"/>
    <x v="3"/>
    <s v="Spray"/>
    <x v="161"/>
    <n v="57"/>
    <x v="8"/>
    <n v="234581"/>
    <x v="1"/>
  </r>
  <r>
    <x v="0"/>
    <x v="4"/>
    <x v="96"/>
    <n v="3522.8"/>
    <n v="40"/>
    <x v="3"/>
    <s v="Spray"/>
    <x v="91"/>
    <n v="57"/>
    <x v="8"/>
    <n v="646"/>
    <x v="1"/>
  </r>
  <r>
    <x v="1"/>
    <x v="4"/>
    <x v="97"/>
    <n v="3522.8"/>
    <n v="40"/>
    <x v="3"/>
    <s v="Spray"/>
    <x v="92"/>
    <n v="54"/>
    <x v="8"/>
    <n v="43562"/>
    <x v="1"/>
  </r>
  <r>
    <x v="2"/>
    <x v="4"/>
    <x v="98"/>
    <n v="3522.8"/>
    <n v="41"/>
    <x v="3"/>
    <s v="Spray"/>
    <x v="93"/>
    <n v="54.5"/>
    <x v="8"/>
    <n v="200000"/>
    <x v="1"/>
  </r>
  <r>
    <x v="3"/>
    <x v="4"/>
    <x v="99"/>
    <n v="3729.8"/>
    <n v="41"/>
    <x v="3"/>
    <s v="Spray"/>
    <x v="94"/>
    <n v="56.6"/>
    <x v="8"/>
    <n v="4847"/>
    <x v="1"/>
  </r>
  <r>
    <x v="4"/>
    <x v="4"/>
    <x v="100"/>
    <n v="3729.8"/>
    <n v="41"/>
    <x v="3"/>
    <s v="Spray"/>
    <x v="95"/>
    <n v="55.5"/>
    <x v="8"/>
    <n v="51239"/>
    <x v="1"/>
  </r>
  <r>
    <x v="5"/>
    <x v="4"/>
    <x v="101"/>
    <n v="3729.8"/>
    <n v="42"/>
    <x v="3"/>
    <s v="Spray"/>
    <x v="96"/>
    <n v="58.5"/>
    <x v="8"/>
    <n v="216396"/>
    <x v="1"/>
  </r>
  <r>
    <x v="6"/>
    <x v="4"/>
    <x v="102"/>
    <n v="2746.2"/>
    <n v="42"/>
    <x v="3"/>
    <s v="Spray"/>
    <x v="97"/>
    <n v="59.5"/>
    <x v="8"/>
    <n v="2644"/>
    <x v="1"/>
  </r>
  <r>
    <x v="0"/>
    <x v="4"/>
    <x v="103"/>
    <n v="2746.2"/>
    <n v="42"/>
    <x v="3"/>
    <s v="Spray"/>
    <x v="98"/>
    <n v="55"/>
    <x v="8"/>
    <n v="44235"/>
    <x v="1"/>
  </r>
  <r>
    <x v="7"/>
    <x v="4"/>
    <x v="104"/>
    <n v="2746.2"/>
    <n v="43"/>
    <x v="3"/>
    <s v="Spray"/>
    <x v="99"/>
    <n v="53"/>
    <x v="8"/>
    <n v="203317"/>
    <x v="1"/>
  </r>
  <r>
    <x v="8"/>
    <x v="4"/>
    <x v="105"/>
    <n v="3360"/>
    <n v="43"/>
    <x v="3"/>
    <s v="Spray"/>
    <x v="100"/>
    <n v="53.5"/>
    <x v="8"/>
    <n v="2134"/>
    <x v="1"/>
  </r>
  <r>
    <x v="9"/>
    <x v="4"/>
    <x v="106"/>
    <n v="3360"/>
    <n v="128"/>
    <x v="3"/>
    <s v="Spray"/>
    <x v="101"/>
    <n v="52.5"/>
    <x v="8"/>
    <n v="45186"/>
    <x v="1"/>
  </r>
  <r>
    <x v="10"/>
    <x v="4"/>
    <x v="107"/>
    <n v="3360"/>
    <n v="129"/>
    <x v="3"/>
    <s v="Spray"/>
    <x v="102"/>
    <n v="56"/>
    <x v="8"/>
    <n v="238542"/>
    <x v="1"/>
  </r>
  <r>
    <x v="11"/>
    <x v="4"/>
    <x v="108"/>
    <n v="3605.4"/>
    <n v="130"/>
    <x v="3"/>
    <s v="Spray"/>
    <x v="102"/>
    <n v="57"/>
    <x v="8"/>
    <n v="1516"/>
    <x v="1"/>
  </r>
  <r>
    <x v="12"/>
    <x v="4"/>
    <x v="109"/>
    <n v="3605.4"/>
    <n v="131"/>
    <x v="3"/>
    <s v="Spray"/>
    <x v="103"/>
    <n v="57.5"/>
    <x v="8"/>
    <n v="200000"/>
    <x v="1"/>
  </r>
  <r>
    <x v="13"/>
    <x v="4"/>
    <x v="110"/>
    <n v="2903.1"/>
    <n v="132"/>
    <x v="3"/>
    <s v="Spray"/>
    <x v="104"/>
    <n v="57"/>
    <x v="9"/>
    <n v="4847"/>
    <x v="1"/>
  </r>
  <r>
    <x v="14"/>
    <x v="4"/>
    <x v="111"/>
    <n v="2903.1"/>
    <n v="133"/>
    <x v="3"/>
    <s v="Spray"/>
    <x v="105"/>
    <n v="55"/>
    <x v="9"/>
    <n v="51239"/>
    <x v="1"/>
  </r>
  <r>
    <x v="1"/>
    <x v="4"/>
    <x v="112"/>
    <n v="2903.1"/>
    <n v="134"/>
    <x v="3"/>
    <s v="Spray"/>
    <x v="106"/>
    <n v="56"/>
    <x v="9"/>
    <n v="216396"/>
    <x v="1"/>
  </r>
  <r>
    <x v="2"/>
    <x v="4"/>
    <x v="113"/>
    <n v="2996.6"/>
    <n v="135"/>
    <x v="3"/>
    <s v="Spray"/>
    <x v="107"/>
    <n v="54"/>
    <x v="9"/>
    <n v="2644"/>
    <x v="1"/>
  </r>
  <r>
    <x v="3"/>
    <x v="4"/>
    <x v="114"/>
    <n v="2996.6"/>
    <n v="136"/>
    <x v="8"/>
    <s v="Spray"/>
    <x v="108"/>
    <n v="58"/>
    <x v="9"/>
    <n v="44235"/>
    <x v="1"/>
  </r>
  <r>
    <x v="4"/>
    <x v="4"/>
    <x v="115"/>
    <n v="2996.6"/>
    <n v="137"/>
    <x v="8"/>
    <s v="Spray"/>
    <x v="109"/>
    <n v="58"/>
    <x v="9"/>
    <n v="203317"/>
    <x v="1"/>
  </r>
  <r>
    <x v="5"/>
    <x v="4"/>
    <x v="116"/>
    <n v="3522.8"/>
    <n v="138"/>
    <x v="8"/>
    <s v="Spray"/>
    <x v="110"/>
    <n v="59"/>
    <x v="9"/>
    <n v="2134"/>
    <x v="1"/>
  </r>
  <r>
    <x v="6"/>
    <x v="4"/>
    <x v="117"/>
    <n v="3522.8"/>
    <n v="139"/>
    <x v="8"/>
    <s v="Spray"/>
    <x v="111"/>
    <n v="50"/>
    <x v="9"/>
    <n v="45186"/>
    <x v="1"/>
  </r>
  <r>
    <x v="0"/>
    <x v="4"/>
    <x v="118"/>
    <n v="3522.8"/>
    <n v="140"/>
    <x v="8"/>
    <s v="Spray"/>
    <x v="112"/>
    <n v="54"/>
    <x v="9"/>
    <n v="238542"/>
    <x v="1"/>
  </r>
  <r>
    <x v="7"/>
    <x v="4"/>
    <x v="119"/>
    <n v="3729.8"/>
    <n v="141"/>
    <x v="8"/>
    <s v="Spray"/>
    <x v="113"/>
    <n v="53"/>
    <x v="9"/>
    <n v="1516"/>
    <x v="1"/>
  </r>
  <r>
    <x v="8"/>
    <x v="4"/>
    <x v="120"/>
    <n v="2903.1"/>
    <n v="142"/>
    <x v="8"/>
    <s v="Spray"/>
    <x v="114"/>
    <n v="52"/>
    <x v="9"/>
    <n v="57259"/>
    <x v="1"/>
  </r>
  <r>
    <x v="9"/>
    <x v="4"/>
    <x v="12"/>
    <n v="2903.1"/>
    <n v="143"/>
    <x v="8"/>
    <s v="Spray"/>
    <x v="115"/>
    <n v="51"/>
    <x v="9"/>
    <n v="234779"/>
    <x v="1"/>
  </r>
  <r>
    <x v="10"/>
    <x v="4"/>
    <x v="121"/>
    <n v="2903.1"/>
    <n v="144"/>
    <x v="8"/>
    <s v="Spray"/>
    <x v="116"/>
    <n v="57"/>
    <x v="9"/>
    <n v="1493"/>
    <x v="1"/>
  </r>
  <r>
    <x v="11"/>
    <x v="4"/>
    <x v="122"/>
    <n v="2996.6"/>
    <n v="145"/>
    <x v="8"/>
    <s v="Spray"/>
    <x v="117"/>
    <n v="57"/>
    <x v="9"/>
    <n v="64409"/>
    <x v="1"/>
  </r>
  <r>
    <x v="12"/>
    <x v="4"/>
    <x v="123"/>
    <n v="2996.6"/>
    <n v="146"/>
    <x v="8"/>
    <s v="Spray"/>
    <x v="118"/>
    <n v="60"/>
    <x v="9"/>
    <n v="249978"/>
    <x v="1"/>
  </r>
  <r>
    <x v="13"/>
    <x v="4"/>
    <x v="9"/>
    <n v="2996.6"/>
    <n v="147"/>
    <x v="8"/>
    <s v="Spray"/>
    <x v="119"/>
    <n v="57"/>
    <x v="10"/>
    <n v="637"/>
    <x v="1"/>
  </r>
  <r>
    <x v="14"/>
    <x v="4"/>
    <x v="124"/>
    <n v="3522.8"/>
    <n v="148"/>
    <x v="8"/>
    <s v="Spray"/>
    <x v="120"/>
    <n v="57"/>
    <x v="10"/>
    <n v="43311"/>
    <x v="1"/>
  </r>
  <r>
    <x v="1"/>
    <x v="4"/>
    <x v="125"/>
    <n v="3522.8"/>
    <n v="149"/>
    <x v="8"/>
    <s v="Spray"/>
    <x v="121"/>
    <n v="54"/>
    <x v="10"/>
    <n v="24848"/>
    <x v="1"/>
  </r>
  <r>
    <x v="2"/>
    <x v="4"/>
    <x v="126"/>
    <n v="3522.8"/>
    <n v="150"/>
    <x v="8"/>
    <s v="Spray"/>
    <x v="122"/>
    <n v="54.5"/>
    <x v="10"/>
    <n v="761"/>
    <x v="1"/>
  </r>
  <r>
    <x v="3"/>
    <x v="4"/>
    <x v="127"/>
    <n v="3729.8"/>
    <n v="151"/>
    <x v="8"/>
    <s v="Spray"/>
    <x v="105"/>
    <n v="56.6"/>
    <x v="10"/>
    <n v="45608"/>
    <x v="1"/>
  </r>
  <r>
    <x v="4"/>
    <x v="4"/>
    <x v="128"/>
    <n v="3729.8"/>
    <n v="152"/>
    <x v="8"/>
    <s v="Drip"/>
    <x v="123"/>
    <n v="55.5"/>
    <x v="10"/>
    <n v="234581"/>
    <x v="1"/>
  </r>
  <r>
    <x v="5"/>
    <x v="4"/>
    <x v="129"/>
    <n v="3729.8"/>
    <n v="153"/>
    <x v="8"/>
    <s v="Drip"/>
    <x v="91"/>
    <n v="58.5"/>
    <x v="10"/>
    <n v="646"/>
    <x v="1"/>
  </r>
  <r>
    <x v="6"/>
    <x v="4"/>
    <x v="130"/>
    <n v="2746.2"/>
    <n v="154"/>
    <x v="8"/>
    <s v="Drip"/>
    <x v="92"/>
    <n v="59.5"/>
    <x v="10"/>
    <n v="43562"/>
    <x v="1"/>
  </r>
  <r>
    <x v="0"/>
    <x v="4"/>
    <x v="131"/>
    <n v="2746.2"/>
    <n v="155"/>
    <x v="8"/>
    <s v="Drip"/>
    <x v="93"/>
    <n v="55"/>
    <x v="10"/>
    <n v="200000"/>
    <x v="1"/>
  </r>
  <r>
    <x v="7"/>
    <x v="4"/>
    <x v="132"/>
    <n v="2746.2"/>
    <n v="156"/>
    <x v="8"/>
    <s v="Drip"/>
    <x v="94"/>
    <n v="53"/>
    <x v="10"/>
    <n v="4847"/>
    <x v="1"/>
  </r>
  <r>
    <x v="8"/>
    <x v="4"/>
    <x v="133"/>
    <n v="3360"/>
    <n v="157"/>
    <x v="8"/>
    <s v="Drip"/>
    <x v="95"/>
    <n v="53.5"/>
    <x v="10"/>
    <n v="51239"/>
    <x v="1"/>
  </r>
  <r>
    <x v="9"/>
    <x v="4"/>
    <x v="134"/>
    <n v="3360"/>
    <n v="158"/>
    <x v="8"/>
    <s v="Drip"/>
    <x v="96"/>
    <n v="52.5"/>
    <x v="10"/>
    <n v="216396"/>
    <x v="1"/>
  </r>
  <r>
    <x v="10"/>
    <x v="4"/>
    <x v="135"/>
    <n v="3360"/>
    <n v="159"/>
    <x v="8"/>
    <s v="Drip"/>
    <x v="97"/>
    <n v="56"/>
    <x v="10"/>
    <n v="2644"/>
    <x v="1"/>
  </r>
  <r>
    <x v="11"/>
    <x v="4"/>
    <x v="136"/>
    <n v="3605.4"/>
    <n v="160"/>
    <x v="8"/>
    <s v="Drip"/>
    <x v="98"/>
    <n v="59.5"/>
    <x v="10"/>
    <n v="44235"/>
    <x v="1"/>
  </r>
  <r>
    <x v="12"/>
    <x v="4"/>
    <x v="137"/>
    <n v="3605.4"/>
    <n v="161"/>
    <x v="8"/>
    <s v="Drip"/>
    <x v="99"/>
    <n v="55"/>
    <x v="10"/>
    <n v="203317"/>
    <x v="1"/>
  </r>
  <r>
    <x v="13"/>
    <x v="4"/>
    <x v="138"/>
    <n v="3605.4"/>
    <n v="162"/>
    <x v="8"/>
    <s v="Drip"/>
    <x v="100"/>
    <n v="53"/>
    <x v="11"/>
    <n v="2134"/>
    <x v="1"/>
  </r>
  <r>
    <x v="14"/>
    <x v="4"/>
    <x v="139"/>
    <n v="3512.4"/>
    <n v="163"/>
    <x v="8"/>
    <s v="Drip"/>
    <x v="101"/>
    <n v="53.5"/>
    <x v="11"/>
    <n v="45186"/>
    <x v="1"/>
  </r>
  <r>
    <x v="1"/>
    <x v="4"/>
    <x v="140"/>
    <n v="3512.4"/>
    <n v="164"/>
    <x v="8"/>
    <s v="Drip"/>
    <x v="102"/>
    <n v="52.5"/>
    <x v="11"/>
    <n v="238542"/>
    <x v="1"/>
  </r>
  <r>
    <x v="2"/>
    <x v="4"/>
    <x v="141"/>
    <n v="3512.4"/>
    <n v="165"/>
    <x v="8"/>
    <s v="Drip"/>
    <x v="102"/>
    <n v="56"/>
    <x v="11"/>
    <n v="1516"/>
    <x v="1"/>
  </r>
  <r>
    <x v="3"/>
    <x v="4"/>
    <x v="142"/>
    <n v="3296"/>
    <n v="166"/>
    <x v="8"/>
    <s v="Drip"/>
    <x v="103"/>
    <n v="57"/>
    <x v="11"/>
    <n v="57259"/>
    <x v="1"/>
  </r>
  <r>
    <x v="4"/>
    <x v="4"/>
    <x v="143"/>
    <n v="3296"/>
    <n v="167"/>
    <x v="8"/>
    <s v="Drip"/>
    <x v="104"/>
    <n v="57.5"/>
    <x v="11"/>
    <n v="234779"/>
    <x v="1"/>
  </r>
  <r>
    <x v="5"/>
    <x v="4"/>
    <x v="144"/>
    <n v="3296"/>
    <n v="168"/>
    <x v="8"/>
    <s v="Drip"/>
    <x v="105"/>
    <n v="57"/>
    <x v="11"/>
    <n v="1493"/>
    <x v="1"/>
  </r>
  <r>
    <x v="6"/>
    <x v="4"/>
    <x v="145"/>
    <n v="3550"/>
    <n v="169"/>
    <x v="8"/>
    <s v="Drip"/>
    <x v="106"/>
    <n v="55"/>
    <x v="11"/>
    <n v="64409"/>
    <x v="1"/>
  </r>
  <r>
    <x v="0"/>
    <x v="4"/>
    <x v="146"/>
    <n v="3550"/>
    <n v="170"/>
    <x v="8"/>
    <s v="Drip"/>
    <x v="107"/>
    <n v="56"/>
    <x v="11"/>
    <n v="249978"/>
    <x v="1"/>
  </r>
  <r>
    <x v="7"/>
    <x v="4"/>
    <x v="147"/>
    <n v="3550"/>
    <n v="171"/>
    <x v="8"/>
    <s v="Drip"/>
    <x v="108"/>
    <n v="54"/>
    <x v="11"/>
    <n v="637"/>
    <x v="1"/>
  </r>
  <r>
    <x v="8"/>
    <x v="4"/>
    <x v="148"/>
    <n v="3654"/>
    <n v="172"/>
    <x v="8"/>
    <s v="Drip"/>
    <x v="109"/>
    <n v="58"/>
    <x v="11"/>
    <n v="43311"/>
    <x v="1"/>
  </r>
  <r>
    <x v="9"/>
    <x v="4"/>
    <x v="73"/>
    <n v="3654"/>
    <n v="173"/>
    <x v="8"/>
    <s v="Drip"/>
    <x v="110"/>
    <n v="58"/>
    <x v="11"/>
    <n v="24848"/>
    <x v="1"/>
  </r>
  <r>
    <x v="10"/>
    <x v="4"/>
    <x v="71"/>
    <n v="3654"/>
    <n v="174"/>
    <x v="8"/>
    <s v="Drip"/>
    <x v="111"/>
    <n v="59"/>
    <x v="11"/>
    <n v="761"/>
    <x v="1"/>
  </r>
  <r>
    <x v="11"/>
    <x v="4"/>
    <x v="149"/>
    <n v="233"/>
    <n v="175"/>
    <x v="8"/>
    <s v="Drip"/>
    <x v="112"/>
    <n v="50"/>
    <x v="11"/>
    <n v="45608"/>
    <x v="1"/>
  </r>
  <r>
    <x v="12"/>
    <x v="4"/>
    <x v="150"/>
    <n v="233"/>
    <n v="176"/>
    <x v="8"/>
    <s v="Drip"/>
    <x v="113"/>
    <n v="54"/>
    <x v="11"/>
    <n v="234581"/>
    <x v="1"/>
  </r>
  <r>
    <x v="13"/>
    <x v="4"/>
    <x v="149"/>
    <n v="233"/>
    <n v="177"/>
    <x v="8"/>
    <s v="Drip"/>
    <x v="114"/>
    <n v="53"/>
    <x v="0"/>
    <n v="646"/>
    <x v="1"/>
  </r>
  <r>
    <x v="14"/>
    <x v="4"/>
    <x v="151"/>
    <n v="234"/>
    <n v="178"/>
    <x v="8"/>
    <s v="Drip"/>
    <x v="115"/>
    <n v="59.5"/>
    <x v="0"/>
    <n v="43562"/>
    <x v="1"/>
  </r>
  <r>
    <x v="1"/>
    <x v="4"/>
    <x v="152"/>
    <n v="234"/>
    <n v="179"/>
    <x v="8"/>
    <s v="Drip"/>
    <x v="116"/>
    <n v="55"/>
    <x v="0"/>
    <n v="200000"/>
    <x v="1"/>
  </r>
  <r>
    <x v="2"/>
    <x v="4"/>
    <x v="151"/>
    <n v="234"/>
    <n v="180"/>
    <x v="8"/>
    <s v="Drip"/>
    <x v="117"/>
    <n v="53"/>
    <x v="0"/>
    <n v="4847"/>
    <x v="1"/>
  </r>
  <r>
    <x v="3"/>
    <x v="4"/>
    <x v="153"/>
    <n v="3105"/>
    <n v="181"/>
    <x v="8"/>
    <s v="Drip"/>
    <x v="118"/>
    <n v="53.5"/>
    <x v="0"/>
    <n v="51239"/>
    <x v="1"/>
  </r>
  <r>
    <x v="4"/>
    <x v="4"/>
    <x v="154"/>
    <n v="3105"/>
    <n v="182"/>
    <x v="8"/>
    <s v="Drip"/>
    <x v="119"/>
    <n v="52.5"/>
    <x v="0"/>
    <n v="216396"/>
    <x v="1"/>
  </r>
  <r>
    <x v="5"/>
    <x v="4"/>
    <x v="155"/>
    <n v="3105"/>
    <n v="183"/>
    <x v="8"/>
    <s v="Drip"/>
    <x v="120"/>
    <n v="56"/>
    <x v="0"/>
    <n v="2644"/>
    <x v="1"/>
  </r>
  <r>
    <x v="6"/>
    <x v="4"/>
    <x v="5"/>
    <n v="236"/>
    <n v="184"/>
    <x v="8"/>
    <s v="Drip"/>
    <x v="121"/>
    <n v="57"/>
    <x v="0"/>
    <n v="44235"/>
    <x v="1"/>
  </r>
  <r>
    <x v="0"/>
    <x v="4"/>
    <x v="6"/>
    <n v="236"/>
    <n v="185"/>
    <x v="8"/>
    <s v="Drip"/>
    <x v="122"/>
    <n v="57.5"/>
    <x v="0"/>
    <n v="203317"/>
    <x v="1"/>
  </r>
  <r>
    <x v="7"/>
    <x v="4"/>
    <x v="7"/>
    <n v="2903.1"/>
    <n v="186"/>
    <x v="10"/>
    <s v="Drip"/>
    <x v="105"/>
    <n v="57"/>
    <x v="0"/>
    <n v="2134"/>
    <x v="1"/>
  </r>
  <r>
    <x v="8"/>
    <x v="4"/>
    <x v="8"/>
    <n v="2903.1"/>
    <n v="187"/>
    <x v="10"/>
    <s v="Drip"/>
    <x v="123"/>
    <n v="55"/>
    <x v="0"/>
    <n v="45186"/>
    <x v="1"/>
  </r>
  <r>
    <x v="9"/>
    <x v="4"/>
    <x v="9"/>
    <n v="2903.1"/>
    <n v="188"/>
    <x v="10"/>
    <s v="Drip"/>
    <x v="0"/>
    <n v="56"/>
    <x v="0"/>
    <n v="238542"/>
    <x v="1"/>
  </r>
  <r>
    <x v="10"/>
    <x v="4"/>
    <x v="10"/>
    <n v="2996.6"/>
    <n v="189"/>
    <x v="10"/>
    <s v="Drip"/>
    <x v="1"/>
    <n v="54"/>
    <x v="0"/>
    <n v="1516"/>
    <x v="1"/>
  </r>
  <r>
    <x v="11"/>
    <x v="4"/>
    <x v="11"/>
    <n v="2996.6"/>
    <n v="190"/>
    <x v="10"/>
    <s v="Drip"/>
    <x v="2"/>
    <n v="58"/>
    <x v="0"/>
    <n v="200000"/>
    <x v="1"/>
  </r>
  <r>
    <x v="12"/>
    <x v="4"/>
    <x v="12"/>
    <n v="2996.6"/>
    <n v="191"/>
    <x v="10"/>
    <s v="Drip"/>
    <x v="3"/>
    <n v="58"/>
    <x v="0"/>
    <n v="4847"/>
    <x v="1"/>
  </r>
  <r>
    <x v="13"/>
    <x v="4"/>
    <x v="13"/>
    <n v="3522.8"/>
    <n v="192"/>
    <x v="10"/>
    <s v="Drip"/>
    <x v="4"/>
    <n v="59"/>
    <x v="0"/>
    <n v="51239"/>
    <x v="1"/>
  </r>
  <r>
    <x v="14"/>
    <x v="4"/>
    <x v="14"/>
    <n v="3522.8"/>
    <n v="193"/>
    <x v="10"/>
    <s v="Drip"/>
    <x v="5"/>
    <n v="50"/>
    <x v="6"/>
    <n v="216396"/>
    <x v="1"/>
  </r>
  <r>
    <x v="1"/>
    <x v="4"/>
    <x v="15"/>
    <n v="3522.8"/>
    <n v="194"/>
    <x v="10"/>
    <s v="Drip"/>
    <x v="6"/>
    <n v="54"/>
    <x v="6"/>
    <n v="2644"/>
    <x v="1"/>
  </r>
  <r>
    <x v="2"/>
    <x v="5"/>
    <x v="16"/>
    <n v="3729.8"/>
    <n v="195"/>
    <x v="10"/>
    <s v="Drip"/>
    <x v="7"/>
    <n v="53"/>
    <x v="6"/>
    <n v="44235"/>
    <x v="1"/>
  </r>
  <r>
    <x v="3"/>
    <x v="5"/>
    <x v="17"/>
    <n v="3729.8"/>
    <n v="196"/>
    <x v="10"/>
    <s v="Basin"/>
    <x v="8"/>
    <n v="59.5"/>
    <x v="6"/>
    <n v="203317"/>
    <x v="1"/>
  </r>
  <r>
    <x v="4"/>
    <x v="5"/>
    <x v="18"/>
    <n v="3729.8"/>
    <n v="197"/>
    <x v="7"/>
    <s v="Basin"/>
    <x v="9"/>
    <n v="55"/>
    <x v="6"/>
    <n v="2134"/>
    <x v="1"/>
  </r>
  <r>
    <x v="5"/>
    <x v="5"/>
    <x v="19"/>
    <n v="2746.2"/>
    <n v="198"/>
    <x v="7"/>
    <s v="Basin"/>
    <x v="10"/>
    <n v="53"/>
    <x v="6"/>
    <n v="45186"/>
    <x v="1"/>
  </r>
  <r>
    <x v="6"/>
    <x v="5"/>
    <x v="20"/>
    <n v="2746.2"/>
    <n v="199"/>
    <x v="7"/>
    <s v="Basin"/>
    <x v="11"/>
    <n v="53.5"/>
    <x v="6"/>
    <n v="238542"/>
    <x v="1"/>
  </r>
  <r>
    <x v="0"/>
    <x v="5"/>
    <x v="21"/>
    <n v="2746.2"/>
    <n v="200"/>
    <x v="7"/>
    <s v="Basin"/>
    <x v="12"/>
    <n v="52.5"/>
    <x v="6"/>
    <n v="1516"/>
    <x v="1"/>
  </r>
  <r>
    <x v="7"/>
    <x v="5"/>
    <x v="22"/>
    <n v="3360"/>
    <n v="201"/>
    <x v="7"/>
    <s v="Basin"/>
    <x v="13"/>
    <n v="56"/>
    <x v="6"/>
    <n v="57259"/>
    <x v="1"/>
  </r>
  <r>
    <x v="8"/>
    <x v="5"/>
    <x v="23"/>
    <n v="3360"/>
    <n v="202"/>
    <x v="7"/>
    <s v="Basin"/>
    <x v="0"/>
    <n v="57"/>
    <x v="6"/>
    <n v="234779"/>
    <x v="1"/>
  </r>
  <r>
    <x v="9"/>
    <x v="5"/>
    <x v="24"/>
    <n v="3360"/>
    <n v="203"/>
    <x v="7"/>
    <s v="Basin"/>
    <x v="1"/>
    <n v="57.5"/>
    <x v="6"/>
    <n v="1493"/>
    <x v="1"/>
  </r>
  <r>
    <x v="10"/>
    <x v="5"/>
    <x v="25"/>
    <n v="3605.4"/>
    <n v="204"/>
    <x v="7"/>
    <s v="Basin"/>
    <x v="2"/>
    <n v="57"/>
    <x v="6"/>
    <n v="64409"/>
    <x v="1"/>
  </r>
  <r>
    <x v="11"/>
    <x v="5"/>
    <x v="26"/>
    <n v="3605.4"/>
    <n v="205"/>
    <x v="7"/>
    <s v="Basin"/>
    <x v="3"/>
    <n v="55"/>
    <x v="6"/>
    <n v="249978"/>
    <x v="1"/>
  </r>
  <r>
    <x v="12"/>
    <x v="5"/>
    <x v="27"/>
    <n v="3605.4"/>
    <n v="206"/>
    <x v="7"/>
    <s v="Basin"/>
    <x v="4"/>
    <n v="56"/>
    <x v="6"/>
    <n v="637"/>
    <x v="1"/>
  </r>
  <r>
    <x v="13"/>
    <x v="5"/>
    <x v="28"/>
    <n v="3512.4"/>
    <n v="207"/>
    <x v="7"/>
    <s v="Basin"/>
    <x v="5"/>
    <n v="54"/>
    <x v="6"/>
    <n v="43311"/>
    <x v="1"/>
  </r>
  <r>
    <x v="14"/>
    <x v="5"/>
    <x v="29"/>
    <n v="3512.4"/>
    <n v="208"/>
    <x v="3"/>
    <s v="Drip"/>
    <x v="6"/>
    <n v="57"/>
    <x v="0"/>
    <n v="200000"/>
    <x v="1"/>
  </r>
  <r>
    <x v="1"/>
    <x v="5"/>
    <x v="30"/>
    <n v="3512.4"/>
    <n v="209"/>
    <x v="3"/>
    <s v="Drip"/>
    <x v="7"/>
    <n v="57.5"/>
    <x v="0"/>
    <n v="4847"/>
    <x v="1"/>
  </r>
  <r>
    <x v="2"/>
    <x v="5"/>
    <x v="31"/>
    <n v="3296"/>
    <n v="210"/>
    <x v="3"/>
    <s v="Drip"/>
    <x v="8"/>
    <n v="57"/>
    <x v="0"/>
    <n v="51239"/>
    <x v="1"/>
  </r>
  <r>
    <x v="3"/>
    <x v="5"/>
    <x v="32"/>
    <n v="3296"/>
    <n v="211"/>
    <x v="3"/>
    <s v="Drip"/>
    <x v="9"/>
    <n v="55"/>
    <x v="0"/>
    <n v="216396"/>
    <x v="1"/>
  </r>
  <r>
    <x v="4"/>
    <x v="5"/>
    <x v="33"/>
    <n v="3296"/>
    <n v="212"/>
    <x v="3"/>
    <s v="Drip"/>
    <x v="10"/>
    <n v="56"/>
    <x v="0"/>
    <n v="2644"/>
    <x v="1"/>
  </r>
  <r>
    <x v="5"/>
    <x v="5"/>
    <x v="34"/>
    <n v="3550"/>
    <n v="213"/>
    <x v="3"/>
    <s v="Drip"/>
    <x v="11"/>
    <n v="54"/>
    <x v="0"/>
    <n v="44235"/>
    <x v="1"/>
  </r>
  <r>
    <x v="6"/>
    <x v="5"/>
    <x v="35"/>
    <n v="3550"/>
    <n v="214"/>
    <x v="3"/>
    <s v="Drip"/>
    <x v="12"/>
    <n v="58"/>
    <x v="0"/>
    <n v="203317"/>
    <x v="1"/>
  </r>
  <r>
    <x v="0"/>
    <x v="5"/>
    <x v="36"/>
    <n v="3550"/>
    <n v="215"/>
    <x v="3"/>
    <s v="Drip"/>
    <x v="13"/>
    <n v="58"/>
    <x v="0"/>
    <n v="2134"/>
    <x v="1"/>
  </r>
  <r>
    <x v="7"/>
    <x v="5"/>
    <x v="37"/>
    <n v="3654"/>
    <n v="216"/>
    <x v="3"/>
    <s v="Drip"/>
    <x v="14"/>
    <n v="59"/>
    <x v="0"/>
    <n v="45186"/>
    <x v="1"/>
  </r>
  <r>
    <x v="8"/>
    <x v="5"/>
    <x v="38"/>
    <n v="3654"/>
    <n v="217"/>
    <x v="3"/>
    <s v="Drip"/>
    <x v="15"/>
    <n v="50"/>
    <x v="0"/>
    <n v="238542"/>
    <x v="1"/>
  </r>
  <r>
    <x v="9"/>
    <x v="5"/>
    <x v="39"/>
    <n v="3654"/>
    <n v="218"/>
    <x v="3"/>
    <s v="Drip"/>
    <x v="16"/>
    <n v="54"/>
    <x v="0"/>
    <n v="1516"/>
    <x v="1"/>
  </r>
  <r>
    <x v="10"/>
    <x v="5"/>
    <x v="40"/>
    <n v="233"/>
    <n v="219"/>
    <x v="3"/>
    <s v="Drip"/>
    <x v="17"/>
    <n v="53"/>
    <x v="0"/>
    <n v="57259"/>
    <x v="1"/>
  </r>
  <r>
    <x v="11"/>
    <x v="5"/>
    <x v="41"/>
    <n v="233"/>
    <n v="220"/>
    <x v="3"/>
    <s v="Drip"/>
    <x v="18"/>
    <n v="52"/>
    <x v="0"/>
    <n v="234779"/>
    <x v="1"/>
  </r>
  <r>
    <x v="12"/>
    <x v="5"/>
    <x v="42"/>
    <n v="233"/>
    <n v="221"/>
    <x v="3"/>
    <s v="Drip"/>
    <x v="19"/>
    <n v="51"/>
    <x v="0"/>
    <n v="1493"/>
    <x v="1"/>
  </r>
  <r>
    <x v="13"/>
    <x v="5"/>
    <x v="43"/>
    <n v="234"/>
    <n v="222"/>
    <x v="3"/>
    <s v="Drip"/>
    <x v="20"/>
    <n v="57"/>
    <x v="0"/>
    <n v="64409"/>
    <x v="1"/>
  </r>
  <r>
    <x v="14"/>
    <x v="6"/>
    <x v="44"/>
    <n v="234"/>
    <n v="27"/>
    <x v="3"/>
    <s v="Drip"/>
    <x v="21"/>
    <n v="57"/>
    <x v="0"/>
    <n v="249978"/>
    <x v="1"/>
  </r>
  <r>
    <x v="1"/>
    <x v="6"/>
    <x v="45"/>
    <n v="234"/>
    <n v="27"/>
    <x v="3"/>
    <s v="Drip"/>
    <x v="22"/>
    <n v="60"/>
    <x v="0"/>
    <n v="637"/>
    <x v="1"/>
  </r>
  <r>
    <x v="2"/>
    <x v="6"/>
    <x v="46"/>
    <n v="3105"/>
    <n v="27"/>
    <x v="3"/>
    <s v="Drip"/>
    <x v="23"/>
    <n v="57"/>
    <x v="0"/>
    <n v="43311"/>
    <x v="1"/>
  </r>
  <r>
    <x v="3"/>
    <x v="6"/>
    <x v="47"/>
    <n v="3105"/>
    <n v="27"/>
    <x v="3"/>
    <s v="Drip"/>
    <x v="24"/>
    <n v="57"/>
    <x v="0"/>
    <n v="24848"/>
    <x v="1"/>
  </r>
  <r>
    <x v="4"/>
    <x v="6"/>
    <x v="48"/>
    <n v="3105"/>
    <n v="27"/>
    <x v="3"/>
    <s v="Drip"/>
    <x v="25"/>
    <n v="54"/>
    <x v="0"/>
    <n v="761"/>
    <x v="1"/>
  </r>
  <r>
    <x v="5"/>
    <x v="6"/>
    <x v="49"/>
    <n v="236"/>
    <n v="27.2"/>
    <x v="3"/>
    <s v="Drip"/>
    <x v="26"/>
    <n v="54.5"/>
    <x v="0"/>
    <n v="45608"/>
    <x v="1"/>
  </r>
  <r>
    <x v="6"/>
    <x v="6"/>
    <x v="50"/>
    <n v="2903.1"/>
    <n v="27.2"/>
    <x v="3"/>
    <s v="Drip"/>
    <x v="27"/>
    <n v="56.6"/>
    <x v="0"/>
    <n v="234581"/>
    <x v="1"/>
  </r>
  <r>
    <x v="0"/>
    <x v="6"/>
    <x v="51"/>
    <n v="2903.1"/>
    <n v="27.2"/>
    <x v="3"/>
    <s v="Drip"/>
    <x v="28"/>
    <n v="55.5"/>
    <x v="0"/>
    <n v="646"/>
    <x v="1"/>
  </r>
  <r>
    <x v="7"/>
    <x v="6"/>
    <x v="52"/>
    <n v="2903.1"/>
    <n v="27"/>
    <x v="3"/>
    <s v="Drip"/>
    <x v="29"/>
    <n v="58.5"/>
    <x v="0"/>
    <n v="43562"/>
    <x v="1"/>
  </r>
  <r>
    <x v="8"/>
    <x v="6"/>
    <x v="53"/>
    <n v="2996.6"/>
    <n v="27"/>
    <x v="3"/>
    <s v="Drip"/>
    <x v="30"/>
    <n v="59.5"/>
    <x v="0"/>
    <n v="200000"/>
    <x v="1"/>
  </r>
  <r>
    <x v="9"/>
    <x v="6"/>
    <x v="54"/>
    <n v="2996.6"/>
    <n v="27"/>
    <x v="3"/>
    <s v="Drip"/>
    <x v="31"/>
    <n v="55"/>
    <x v="0"/>
    <n v="4847"/>
    <x v="1"/>
  </r>
  <r>
    <x v="10"/>
    <x v="6"/>
    <x v="55"/>
    <n v="2996.6"/>
    <n v="27"/>
    <x v="3"/>
    <s v="Drip"/>
    <x v="32"/>
    <n v="53"/>
    <x v="0"/>
    <n v="51239"/>
    <x v="1"/>
  </r>
  <r>
    <x v="11"/>
    <x v="6"/>
    <x v="56"/>
    <n v="3522.8"/>
    <n v="27"/>
    <x v="3"/>
    <s v="Drip"/>
    <x v="33"/>
    <n v="53.5"/>
    <x v="0"/>
    <n v="216396"/>
    <x v="1"/>
  </r>
  <r>
    <x v="12"/>
    <x v="6"/>
    <x v="57"/>
    <n v="3522.8"/>
    <n v="27"/>
    <x v="0"/>
    <s v="Drip"/>
    <x v="34"/>
    <n v="52.5"/>
    <x v="0"/>
    <n v="2644"/>
    <x v="1"/>
  </r>
  <r>
    <x v="13"/>
    <x v="6"/>
    <x v="58"/>
    <n v="3522.8"/>
    <n v="27.2"/>
    <x v="0"/>
    <s v="Drip"/>
    <x v="35"/>
    <n v="56"/>
    <x v="0"/>
    <n v="44235"/>
    <x v="1"/>
  </r>
  <r>
    <x v="14"/>
    <x v="6"/>
    <x v="59"/>
    <n v="3729.8"/>
    <n v="27.2"/>
    <x v="0"/>
    <s v="Drip"/>
    <x v="36"/>
    <n v="57"/>
    <x v="0"/>
    <n v="203317"/>
    <x v="1"/>
  </r>
  <r>
    <x v="1"/>
    <x v="6"/>
    <x v="60"/>
    <n v="3729.8"/>
    <n v="27.2"/>
    <x v="0"/>
    <s v="Drip"/>
    <x v="37"/>
    <n v="57.5"/>
    <x v="0"/>
    <n v="2134"/>
    <x v="1"/>
  </r>
  <r>
    <x v="2"/>
    <x v="6"/>
    <x v="61"/>
    <n v="3729.8"/>
    <n v="27.1"/>
    <x v="0"/>
    <s v="Drip"/>
    <x v="38"/>
    <n v="57"/>
    <x v="0"/>
    <n v="45186"/>
    <x v="1"/>
  </r>
  <r>
    <x v="3"/>
    <x v="6"/>
    <x v="62"/>
    <n v="2746.2"/>
    <n v="27.1"/>
    <x v="0"/>
    <s v="Drip"/>
    <x v="39"/>
    <n v="55"/>
    <x v="0"/>
    <n v="238542"/>
    <x v="1"/>
  </r>
  <r>
    <x v="4"/>
    <x v="6"/>
    <x v="63"/>
    <n v="2746.2"/>
    <n v="27.1"/>
    <x v="0"/>
    <s v="Drip"/>
    <x v="40"/>
    <n v="56"/>
    <x v="0"/>
    <n v="1516"/>
    <x v="1"/>
  </r>
  <r>
    <x v="5"/>
    <x v="6"/>
    <x v="64"/>
    <n v="2746.2"/>
    <n v="26.8"/>
    <x v="0"/>
    <s v="Drip"/>
    <x v="41"/>
    <n v="54"/>
    <x v="0"/>
    <n v="57259"/>
    <x v="1"/>
  </r>
  <r>
    <x v="6"/>
    <x v="6"/>
    <x v="65"/>
    <n v="3360"/>
    <n v="26.8"/>
    <x v="0"/>
    <s v="Drip"/>
    <x v="42"/>
    <n v="58"/>
    <x v="0"/>
    <n v="234779"/>
    <x v="1"/>
  </r>
  <r>
    <x v="0"/>
    <x v="6"/>
    <x v="62"/>
    <n v="3360"/>
    <n v="26.8"/>
    <x v="0"/>
    <s v="Drip"/>
    <x v="43"/>
    <n v="58"/>
    <x v="0"/>
    <n v="1493"/>
    <x v="1"/>
  </r>
  <r>
    <x v="7"/>
    <x v="6"/>
    <x v="66"/>
    <n v="3360"/>
    <n v="37"/>
    <x v="0"/>
    <s v="Drip"/>
    <x v="44"/>
    <n v="59"/>
    <x v="0"/>
    <n v="64409"/>
    <x v="1"/>
  </r>
  <r>
    <x v="8"/>
    <x v="6"/>
    <x v="67"/>
    <n v="3605.4"/>
    <n v="37"/>
    <x v="0"/>
    <s v="Drip"/>
    <x v="45"/>
    <n v="50"/>
    <x v="0"/>
    <n v="249978"/>
    <x v="1"/>
  </r>
  <r>
    <x v="9"/>
    <x v="6"/>
    <x v="68"/>
    <n v="3605.4"/>
    <n v="37"/>
    <x v="0"/>
    <s v="Drip"/>
    <x v="46"/>
    <n v="54"/>
    <x v="0"/>
    <n v="637"/>
    <x v="1"/>
  </r>
  <r>
    <x v="10"/>
    <x v="6"/>
    <x v="67"/>
    <n v="3605.4"/>
    <n v="38"/>
    <x v="0"/>
    <s v="Drip"/>
    <x v="47"/>
    <n v="53"/>
    <x v="0"/>
    <n v="43311"/>
    <x v="1"/>
  </r>
  <r>
    <x v="11"/>
    <x v="6"/>
    <x v="69"/>
    <n v="3512.4"/>
    <n v="38"/>
    <x v="0"/>
    <s v="Drip"/>
    <x v="48"/>
    <n v="52"/>
    <x v="0"/>
    <n v="24848"/>
    <x v="1"/>
  </r>
  <r>
    <x v="12"/>
    <x v="6"/>
    <x v="70"/>
    <n v="3512.4"/>
    <n v="38"/>
    <x v="0"/>
    <s v="Drip"/>
    <x v="49"/>
    <n v="51"/>
    <x v="0"/>
    <n v="761"/>
    <x v="1"/>
  </r>
  <r>
    <x v="13"/>
    <x v="6"/>
    <x v="71"/>
    <n v="3512.4"/>
    <n v="39"/>
    <x v="0"/>
    <s v="Basin"/>
    <x v="50"/>
    <n v="57"/>
    <x v="0"/>
    <n v="45608"/>
    <x v="1"/>
  </r>
  <r>
    <x v="14"/>
    <x v="6"/>
    <x v="64"/>
    <n v="3296"/>
    <n v="39"/>
    <x v="0"/>
    <s v="Basin"/>
    <x v="51"/>
    <n v="57"/>
    <x v="0"/>
    <n v="234581"/>
    <x v="1"/>
  </r>
  <r>
    <x v="1"/>
    <x v="6"/>
    <x v="63"/>
    <n v="3296"/>
    <n v="39"/>
    <x v="0"/>
    <s v="Basin"/>
    <x v="52"/>
    <n v="60"/>
    <x v="0"/>
    <n v="646"/>
    <x v="1"/>
  </r>
  <r>
    <x v="2"/>
    <x v="6"/>
    <x v="72"/>
    <n v="3296"/>
    <n v="40"/>
    <x v="0"/>
    <s v="Basin"/>
    <x v="53"/>
    <n v="57"/>
    <x v="0"/>
    <n v="43562"/>
    <x v="1"/>
  </r>
  <r>
    <x v="3"/>
    <x v="6"/>
    <x v="73"/>
    <n v="3550"/>
    <n v="40"/>
    <x v="0"/>
    <s v="Basin"/>
    <x v="54"/>
    <n v="57"/>
    <x v="0"/>
    <n v="200000"/>
    <x v="1"/>
  </r>
  <r>
    <x v="4"/>
    <x v="6"/>
    <x v="60"/>
    <n v="3550"/>
    <n v="40"/>
    <x v="0"/>
    <s v="Basin"/>
    <x v="55"/>
    <n v="54"/>
    <x v="0"/>
    <n v="4847"/>
    <x v="1"/>
  </r>
  <r>
    <x v="5"/>
    <x v="6"/>
    <x v="74"/>
    <n v="3550"/>
    <n v="41"/>
    <x v="0"/>
    <s v="Basin"/>
    <x v="56"/>
    <n v="54.5"/>
    <x v="0"/>
    <n v="51239"/>
    <x v="1"/>
  </r>
  <r>
    <x v="6"/>
    <x v="6"/>
    <x v="75"/>
    <n v="3654"/>
    <n v="41"/>
    <x v="0"/>
    <s v="Basin"/>
    <x v="57"/>
    <n v="56.6"/>
    <x v="0"/>
    <n v="216396"/>
    <x v="1"/>
  </r>
  <r>
    <x v="0"/>
    <x v="6"/>
    <x v="76"/>
    <n v="3654"/>
    <n v="41"/>
    <x v="0"/>
    <s v="Basin"/>
    <x v="58"/>
    <n v="55.5"/>
    <x v="0"/>
    <n v="2644"/>
    <x v="1"/>
  </r>
  <r>
    <x v="7"/>
    <x v="6"/>
    <x v="77"/>
    <n v="3654"/>
    <n v="42"/>
    <x v="0"/>
    <s v="Basin"/>
    <x v="59"/>
    <n v="58.5"/>
    <x v="0"/>
    <n v="44235"/>
    <x v="1"/>
  </r>
  <r>
    <x v="8"/>
    <x v="6"/>
    <x v="78"/>
    <n v="233"/>
    <n v="42"/>
    <x v="0"/>
    <s v="Basin"/>
    <x v="60"/>
    <n v="59.5"/>
    <x v="0"/>
    <n v="203317"/>
    <x v="1"/>
  </r>
  <r>
    <x v="9"/>
    <x v="6"/>
    <x v="79"/>
    <n v="233"/>
    <n v="42"/>
    <x v="0"/>
    <s v="Basin"/>
    <x v="61"/>
    <n v="55"/>
    <x v="0"/>
    <n v="2134"/>
    <x v="1"/>
  </r>
  <r>
    <x v="10"/>
    <x v="6"/>
    <x v="80"/>
    <n v="233"/>
    <n v="43"/>
    <x v="0"/>
    <s v="Basin"/>
    <x v="62"/>
    <n v="53"/>
    <x v="0"/>
    <n v="45186"/>
    <x v="1"/>
  </r>
  <r>
    <x v="11"/>
    <x v="6"/>
    <x v="81"/>
    <n v="234"/>
    <n v="43"/>
    <x v="0"/>
    <s v="Basin"/>
    <x v="63"/>
    <n v="53.5"/>
    <x v="0"/>
    <n v="238542"/>
    <x v="1"/>
  </r>
  <r>
    <x v="12"/>
    <x v="6"/>
    <x v="82"/>
    <n v="234"/>
    <n v="27"/>
    <x v="0"/>
    <s v="Basin"/>
    <x v="64"/>
    <n v="52.5"/>
    <x v="0"/>
    <n v="1516"/>
    <x v="1"/>
  </r>
  <r>
    <x v="13"/>
    <x v="6"/>
    <x v="83"/>
    <n v="234"/>
    <n v="27"/>
    <x v="0"/>
    <s v="Basin"/>
    <x v="65"/>
    <n v="56"/>
    <x v="0"/>
    <n v="57259"/>
    <x v="1"/>
  </r>
  <r>
    <x v="14"/>
    <x v="6"/>
    <x v="84"/>
    <n v="3105"/>
    <n v="27"/>
    <x v="0"/>
    <s v="Basin"/>
    <x v="62"/>
    <n v="57"/>
    <x v="0"/>
    <n v="234779"/>
    <x v="1"/>
  </r>
  <r>
    <x v="1"/>
    <x v="6"/>
    <x v="85"/>
    <n v="3105"/>
    <n v="27"/>
    <x v="0"/>
    <s v="Basin"/>
    <x v="66"/>
    <n v="57.5"/>
    <x v="0"/>
    <n v="1493"/>
    <x v="1"/>
  </r>
  <r>
    <x v="2"/>
    <x v="6"/>
    <x v="86"/>
    <n v="3105"/>
    <n v="27"/>
    <x v="0"/>
    <s v="Basin"/>
    <x v="67"/>
    <n v="57"/>
    <x v="0"/>
    <n v="64409"/>
    <x v="1"/>
  </r>
  <r>
    <x v="3"/>
    <x v="6"/>
    <x v="87"/>
    <n v="236"/>
    <n v="27"/>
    <x v="0"/>
    <s v="Basin"/>
    <x v="68"/>
    <n v="55"/>
    <x v="0"/>
    <n v="249978"/>
    <x v="1"/>
  </r>
  <r>
    <x v="4"/>
    <x v="6"/>
    <x v="88"/>
    <n v="236"/>
    <n v="27.2"/>
    <x v="1"/>
    <s v="Basin"/>
    <x v="69"/>
    <n v="56"/>
    <x v="0"/>
    <n v="200000"/>
    <x v="1"/>
  </r>
  <r>
    <x v="5"/>
    <x v="6"/>
    <x v="89"/>
    <n v="321"/>
    <n v="27.2"/>
    <x v="1"/>
    <s v="Basin"/>
    <x v="70"/>
    <n v="54"/>
    <x v="0"/>
    <n v="4847"/>
    <x v="1"/>
  </r>
  <r>
    <x v="6"/>
    <x v="6"/>
    <x v="90"/>
    <n v="3654"/>
    <n v="27.2"/>
    <x v="1"/>
    <s v="Basin"/>
    <x v="71"/>
    <n v="58"/>
    <x v="0"/>
    <n v="51239"/>
    <x v="1"/>
  </r>
  <r>
    <x v="0"/>
    <x v="6"/>
    <x v="91"/>
    <n v="323"/>
    <n v="27"/>
    <x v="1"/>
    <s v="Basin"/>
    <x v="72"/>
    <n v="58"/>
    <x v="0"/>
    <n v="216396"/>
    <x v="1"/>
  </r>
  <r>
    <x v="7"/>
    <x v="6"/>
    <x v="92"/>
    <n v="324"/>
    <n v="27"/>
    <x v="1"/>
    <s v="Basin"/>
    <x v="73"/>
    <n v="59"/>
    <x v="0"/>
    <n v="2644"/>
    <x v="1"/>
  </r>
  <r>
    <x v="8"/>
    <x v="6"/>
    <x v="64"/>
    <n v="3105"/>
    <n v="27"/>
    <x v="1"/>
    <s v="Basin"/>
    <x v="74"/>
    <n v="50"/>
    <x v="0"/>
    <n v="44235"/>
    <x v="1"/>
  </r>
  <r>
    <x v="9"/>
    <x v="6"/>
    <x v="93"/>
    <n v="326"/>
    <n v="27"/>
    <x v="1"/>
    <s v="Basin"/>
    <x v="75"/>
    <n v="54"/>
    <x v="0"/>
    <n v="203317"/>
    <x v="1"/>
  </r>
  <r>
    <x v="10"/>
    <x v="6"/>
    <x v="94"/>
    <n v="327"/>
    <n v="27"/>
    <x v="1"/>
    <s v="Basin"/>
    <x v="76"/>
    <n v="53"/>
    <x v="0"/>
    <n v="2134"/>
    <x v="1"/>
  </r>
  <r>
    <x v="11"/>
    <x v="6"/>
    <x v="95"/>
    <n v="328"/>
    <n v="27"/>
    <x v="1"/>
    <s v="Basin"/>
    <x v="60"/>
    <n v="52"/>
    <x v="0"/>
    <n v="45186"/>
    <x v="1"/>
  </r>
  <r>
    <x v="12"/>
    <x v="6"/>
    <x v="96"/>
    <n v="2903.1"/>
    <n v="27.2"/>
    <x v="1"/>
    <s v="Basin"/>
    <x v="77"/>
    <n v="51"/>
    <x v="0"/>
    <n v="238542"/>
    <x v="1"/>
  </r>
  <r>
    <x v="13"/>
    <x v="6"/>
    <x v="97"/>
    <n v="2903.1"/>
    <n v="27.2"/>
    <x v="1"/>
    <s v="Basin"/>
    <x v="78"/>
    <n v="57"/>
    <x v="0"/>
    <n v="1516"/>
    <x v="1"/>
  </r>
  <r>
    <x v="14"/>
    <x v="6"/>
    <x v="98"/>
    <n v="2903.1"/>
    <n v="27.2"/>
    <x v="1"/>
    <s v="Basin"/>
    <x v="79"/>
    <n v="57"/>
    <x v="0"/>
    <n v="57259"/>
    <x v="1"/>
  </r>
  <r>
    <x v="1"/>
    <x v="6"/>
    <x v="99"/>
    <n v="2996.6"/>
    <n v="27.1"/>
    <x v="1"/>
    <s v="Basin"/>
    <x v="80"/>
    <n v="60"/>
    <x v="0"/>
    <n v="234779"/>
    <x v="1"/>
  </r>
  <r>
    <x v="2"/>
    <x v="6"/>
    <x v="100"/>
    <n v="2996.6"/>
    <n v="27.1"/>
    <x v="1"/>
    <s v="Basin"/>
    <x v="81"/>
    <n v="57"/>
    <x v="0"/>
    <n v="1493"/>
    <x v="1"/>
  </r>
  <r>
    <x v="3"/>
    <x v="6"/>
    <x v="101"/>
    <n v="2996.6"/>
    <n v="27.1"/>
    <x v="1"/>
    <s v="Basin"/>
    <x v="82"/>
    <n v="57"/>
    <x v="0"/>
    <n v="64409"/>
    <x v="1"/>
  </r>
  <r>
    <x v="4"/>
    <x v="6"/>
    <x v="102"/>
    <n v="3522.8"/>
    <n v="26.8"/>
    <x v="1"/>
    <s v="Basin"/>
    <x v="83"/>
    <n v="54"/>
    <x v="0"/>
    <n v="249978"/>
    <x v="1"/>
  </r>
  <r>
    <x v="5"/>
    <x v="6"/>
    <x v="103"/>
    <n v="3522.8"/>
    <n v="26.8"/>
    <x v="1"/>
    <s v="Basin"/>
    <x v="84"/>
    <n v="54.5"/>
    <x v="0"/>
    <n v="637"/>
    <x v="1"/>
  </r>
  <r>
    <x v="6"/>
    <x v="6"/>
    <x v="104"/>
    <n v="3522.8"/>
    <n v="26.8"/>
    <x v="1"/>
    <s v="Basin"/>
    <x v="85"/>
    <n v="56.6"/>
    <x v="0"/>
    <n v="43311"/>
    <x v="1"/>
  </r>
  <r>
    <x v="15"/>
    <x v="6"/>
    <x v="105"/>
    <n v="3729.8"/>
    <n v="37"/>
    <x v="1"/>
    <s v="Basin"/>
    <x v="86"/>
    <n v="55.5"/>
    <x v="0"/>
    <n v="24848"/>
    <x v="1"/>
  </r>
  <r>
    <x v="0"/>
    <x v="6"/>
    <x v="106"/>
    <n v="3729.8"/>
    <n v="37"/>
    <x v="1"/>
    <s v="Basin"/>
    <x v="87"/>
    <n v="58.5"/>
    <x v="0"/>
    <n v="761"/>
    <x v="1"/>
  </r>
  <r>
    <x v="7"/>
    <x v="6"/>
    <x v="107"/>
    <n v="3729.8"/>
    <n v="37"/>
    <x v="1"/>
    <s v="Basin"/>
    <x v="88"/>
    <n v="59.5"/>
    <x v="0"/>
    <n v="45608"/>
    <x v="1"/>
  </r>
  <r>
    <x v="8"/>
    <x v="6"/>
    <x v="108"/>
    <n v="2746.2"/>
    <n v="38"/>
    <x v="1"/>
    <s v="Basin"/>
    <x v="89"/>
    <n v="55"/>
    <x v="0"/>
    <n v="234581"/>
    <x v="1"/>
  </r>
  <r>
    <x v="9"/>
    <x v="6"/>
    <x v="109"/>
    <n v="2746.2"/>
    <n v="38"/>
    <x v="1"/>
    <s v="Basin"/>
    <x v="90"/>
    <n v="53"/>
    <x v="0"/>
    <n v="646"/>
    <x v="1"/>
  </r>
  <r>
    <x v="10"/>
    <x v="6"/>
    <x v="110"/>
    <n v="2746.2"/>
    <n v="38"/>
    <x v="1"/>
    <s v="Spray"/>
    <x v="91"/>
    <n v="53.5"/>
    <x v="0"/>
    <n v="43562"/>
    <x v="1"/>
  </r>
  <r>
    <x v="11"/>
    <x v="6"/>
    <x v="111"/>
    <n v="3360"/>
    <n v="39"/>
    <x v="1"/>
    <s v="Spray"/>
    <x v="92"/>
    <n v="52.5"/>
    <x v="0"/>
    <n v="200000"/>
    <x v="1"/>
  </r>
  <r>
    <x v="12"/>
    <x v="6"/>
    <x v="112"/>
    <n v="3360"/>
    <n v="39"/>
    <x v="1"/>
    <s v="Spray"/>
    <x v="93"/>
    <n v="56"/>
    <x v="0"/>
    <n v="4847"/>
    <x v="1"/>
  </r>
  <r>
    <x v="13"/>
    <x v="6"/>
    <x v="113"/>
    <n v="3360"/>
    <n v="39"/>
    <x v="1"/>
    <s v="Spray"/>
    <x v="94"/>
    <n v="57"/>
    <x v="0"/>
    <n v="51239"/>
    <x v="1"/>
  </r>
  <r>
    <x v="14"/>
    <x v="6"/>
    <x v="114"/>
    <n v="3605.4"/>
    <n v="40"/>
    <x v="1"/>
    <s v="Spray"/>
    <x v="95"/>
    <n v="57.5"/>
    <x v="0"/>
    <n v="216396"/>
    <x v="1"/>
  </r>
  <r>
    <x v="1"/>
    <x v="6"/>
    <x v="115"/>
    <n v="3605.4"/>
    <n v="40"/>
    <x v="1"/>
    <s v="Spray"/>
    <x v="96"/>
    <n v="57"/>
    <x v="0"/>
    <n v="2644"/>
    <x v="1"/>
  </r>
  <r>
    <x v="2"/>
    <x v="6"/>
    <x v="116"/>
    <n v="3605.4"/>
    <n v="40"/>
    <x v="2"/>
    <s v="Spray"/>
    <x v="97"/>
    <n v="55"/>
    <x v="0"/>
    <n v="44235"/>
    <x v="1"/>
  </r>
  <r>
    <x v="3"/>
    <x v="6"/>
    <x v="117"/>
    <n v="3512.4"/>
    <n v="41"/>
    <x v="2"/>
    <s v="Spray"/>
    <x v="98"/>
    <n v="56"/>
    <x v="0"/>
    <n v="203317"/>
    <x v="1"/>
  </r>
  <r>
    <x v="4"/>
    <x v="6"/>
    <x v="118"/>
    <n v="3512.4"/>
    <n v="41"/>
    <x v="2"/>
    <s v="Spray"/>
    <x v="99"/>
    <n v="54"/>
    <x v="0"/>
    <n v="2134"/>
    <x v="1"/>
  </r>
  <r>
    <x v="5"/>
    <x v="6"/>
    <x v="119"/>
    <n v="3512.4"/>
    <n v="41"/>
    <x v="2"/>
    <s v="Spray"/>
    <x v="100"/>
    <n v="58"/>
    <x v="0"/>
    <n v="45186"/>
    <x v="1"/>
  </r>
  <r>
    <x v="6"/>
    <x v="6"/>
    <x v="120"/>
    <n v="3296"/>
    <n v="42"/>
    <x v="2"/>
    <s v="Spray"/>
    <x v="101"/>
    <n v="58"/>
    <x v="0"/>
    <n v="238542"/>
    <x v="1"/>
  </r>
  <r>
    <x v="14"/>
    <x v="6"/>
    <x v="12"/>
    <n v="3296"/>
    <n v="42"/>
    <x v="2"/>
    <s v="Spray"/>
    <x v="102"/>
    <n v="59"/>
    <x v="0"/>
    <n v="1516"/>
    <x v="1"/>
  </r>
  <r>
    <x v="1"/>
    <x v="6"/>
    <x v="121"/>
    <n v="3296"/>
    <n v="42"/>
    <x v="2"/>
    <s v="Spray"/>
    <x v="102"/>
    <n v="50"/>
    <x v="0"/>
    <n v="57259"/>
    <x v="1"/>
  </r>
  <r>
    <x v="2"/>
    <x v="6"/>
    <x v="122"/>
    <n v="3550"/>
    <n v="43"/>
    <x v="2"/>
    <s v="Spray"/>
    <x v="103"/>
    <n v="54"/>
    <x v="0"/>
    <n v="234779"/>
    <x v="1"/>
  </r>
  <r>
    <x v="3"/>
    <x v="6"/>
    <x v="123"/>
    <n v="3550"/>
    <n v="27"/>
    <x v="2"/>
    <s v="Spray"/>
    <x v="104"/>
    <n v="53"/>
    <x v="0"/>
    <n v="1493"/>
    <x v="1"/>
  </r>
  <r>
    <x v="4"/>
    <x v="6"/>
    <x v="9"/>
    <n v="3550"/>
    <n v="27"/>
    <x v="2"/>
    <s v="Spray"/>
    <x v="105"/>
    <n v="52"/>
    <x v="0"/>
    <n v="64409"/>
    <x v="1"/>
  </r>
  <r>
    <x v="5"/>
    <x v="6"/>
    <x v="124"/>
    <n v="3654"/>
    <n v="27"/>
    <x v="2"/>
    <s v="Spray"/>
    <x v="106"/>
    <n v="51"/>
    <x v="0"/>
    <n v="249978"/>
    <x v="1"/>
  </r>
  <r>
    <x v="6"/>
    <x v="6"/>
    <x v="125"/>
    <n v="3654"/>
    <n v="27"/>
    <x v="2"/>
    <s v="Spray"/>
    <x v="107"/>
    <n v="57"/>
    <x v="0"/>
    <n v="637"/>
    <x v="1"/>
  </r>
  <r>
    <x v="15"/>
    <x v="6"/>
    <x v="126"/>
    <n v="3654"/>
    <n v="27"/>
    <x v="2"/>
    <s v="Spray"/>
    <x v="108"/>
    <n v="57"/>
    <x v="0"/>
    <n v="43311"/>
    <x v="1"/>
  </r>
  <r>
    <x v="0"/>
    <x v="6"/>
    <x v="127"/>
    <n v="233"/>
    <n v="27"/>
    <x v="2"/>
    <s v="Spray"/>
    <x v="109"/>
    <n v="60"/>
    <x v="0"/>
    <n v="24848"/>
    <x v="1"/>
  </r>
  <r>
    <x v="7"/>
    <x v="6"/>
    <x v="128"/>
    <n v="233"/>
    <n v="27"/>
    <x v="2"/>
    <s v="Spray"/>
    <x v="110"/>
    <n v="57"/>
    <x v="0"/>
    <n v="761"/>
    <x v="1"/>
  </r>
  <r>
    <x v="8"/>
    <x v="6"/>
    <x v="129"/>
    <n v="233"/>
    <n v="27"/>
    <x v="2"/>
    <s v="Spray"/>
    <x v="111"/>
    <n v="57"/>
    <x v="0"/>
    <n v="45608"/>
    <x v="1"/>
  </r>
  <r>
    <x v="9"/>
    <x v="6"/>
    <x v="130"/>
    <n v="234"/>
    <n v="27.2"/>
    <x v="2"/>
    <s v="Spray"/>
    <x v="112"/>
    <n v="54"/>
    <x v="0"/>
    <n v="234581"/>
    <x v="1"/>
  </r>
  <r>
    <x v="10"/>
    <x v="6"/>
    <x v="131"/>
    <n v="234"/>
    <n v="27.2"/>
    <x v="2"/>
    <s v="Spray"/>
    <x v="113"/>
    <n v="54.5"/>
    <x v="0"/>
    <n v="646"/>
    <x v="1"/>
  </r>
  <r>
    <x v="11"/>
    <x v="6"/>
    <x v="132"/>
    <n v="234"/>
    <n v="27.2"/>
    <x v="2"/>
    <s v="Spray"/>
    <x v="114"/>
    <n v="56.6"/>
    <x v="0"/>
    <n v="43562"/>
    <x v="1"/>
  </r>
  <r>
    <x v="12"/>
    <x v="6"/>
    <x v="133"/>
    <n v="3105"/>
    <n v="27"/>
    <x v="2"/>
    <s v="Spray"/>
    <x v="115"/>
    <n v="55.5"/>
    <x v="0"/>
    <n v="200000"/>
    <x v="1"/>
  </r>
  <r>
    <x v="13"/>
    <x v="6"/>
    <x v="134"/>
    <n v="3105"/>
    <n v="27"/>
    <x v="2"/>
    <s v="Spray"/>
    <x v="116"/>
    <n v="58.5"/>
    <x v="0"/>
    <n v="4847"/>
    <x v="1"/>
  </r>
  <r>
    <x v="14"/>
    <x v="6"/>
    <x v="135"/>
    <n v="3105"/>
    <n v="27"/>
    <x v="2"/>
    <s v="Spray"/>
    <x v="117"/>
    <n v="59.5"/>
    <x v="0"/>
    <n v="51239"/>
    <x v="1"/>
  </r>
  <r>
    <x v="1"/>
    <x v="6"/>
    <x v="136"/>
    <n v="236"/>
    <n v="27"/>
    <x v="2"/>
    <s v="Spray"/>
    <x v="118"/>
    <n v="55"/>
    <x v="0"/>
    <n v="216396"/>
    <x v="1"/>
  </r>
  <r>
    <x v="2"/>
    <x v="6"/>
    <x v="137"/>
    <n v="236"/>
    <n v="27"/>
    <x v="2"/>
    <s v="Spray"/>
    <x v="119"/>
    <n v="53"/>
    <x v="0"/>
    <n v="2644"/>
    <x v="1"/>
  </r>
  <r>
    <x v="3"/>
    <x v="6"/>
    <x v="138"/>
    <n v="2903.1"/>
    <n v="27"/>
    <x v="2"/>
    <s v="Spray"/>
    <x v="120"/>
    <n v="53.5"/>
    <x v="0"/>
    <n v="44235"/>
    <x v="1"/>
  </r>
  <r>
    <x v="4"/>
    <x v="6"/>
    <x v="139"/>
    <n v="2903.1"/>
    <n v="27.2"/>
    <x v="2"/>
    <s v="Spray"/>
    <x v="121"/>
    <n v="52.5"/>
    <x v="0"/>
    <n v="203317"/>
    <x v="1"/>
  </r>
  <r>
    <x v="5"/>
    <x v="6"/>
    <x v="140"/>
    <n v="2903.1"/>
    <n v="27.2"/>
    <x v="2"/>
    <s v="Spray"/>
    <x v="122"/>
    <n v="56"/>
    <x v="0"/>
    <n v="2134"/>
    <x v="1"/>
  </r>
  <r>
    <x v="6"/>
    <x v="6"/>
    <x v="141"/>
    <n v="2996.6"/>
    <n v="27.2"/>
    <x v="2"/>
    <s v="Spray"/>
    <x v="105"/>
    <n v="57"/>
    <x v="0"/>
    <n v="45186"/>
    <x v="1"/>
  </r>
  <r>
    <x v="13"/>
    <x v="6"/>
    <x v="0"/>
    <n v="2996.6"/>
    <n v="27.1"/>
    <x v="2"/>
    <s v="Spray"/>
    <x v="123"/>
    <n v="57.5"/>
    <x v="0"/>
    <n v="238542"/>
    <x v="1"/>
  </r>
  <r>
    <x v="14"/>
    <x v="6"/>
    <x v="1"/>
    <n v="2996.6"/>
    <n v="27.1"/>
    <x v="2"/>
    <s v="Spray"/>
    <x v="124"/>
    <n v="57"/>
    <x v="0"/>
    <n v="1516"/>
    <x v="1"/>
  </r>
  <r>
    <x v="1"/>
    <x v="6"/>
    <x v="2"/>
    <n v="3522.8"/>
    <n v="27.1"/>
    <x v="2"/>
    <s v="Spray"/>
    <x v="125"/>
    <n v="55"/>
    <x v="0"/>
    <n v="200000"/>
    <x v="1"/>
  </r>
  <r>
    <x v="2"/>
    <x v="6"/>
    <x v="3"/>
    <n v="3522.8"/>
    <n v="26.8"/>
    <x v="2"/>
    <s v="Spray"/>
    <x v="126"/>
    <n v="56"/>
    <x v="0"/>
    <n v="4847"/>
    <x v="1"/>
  </r>
  <r>
    <x v="3"/>
    <x v="6"/>
    <x v="4"/>
    <n v="3522.8"/>
    <n v="26.8"/>
    <x v="2"/>
    <s v="Spray"/>
    <x v="127"/>
    <n v="54"/>
    <x v="0"/>
    <n v="51239"/>
    <x v="1"/>
  </r>
  <r>
    <x v="4"/>
    <x v="6"/>
    <x v="5"/>
    <n v="2903.1"/>
    <n v="27.1"/>
    <x v="2"/>
    <s v="Spray"/>
    <x v="128"/>
    <n v="58"/>
    <x v="0"/>
    <n v="216396"/>
    <x v="1"/>
  </r>
  <r>
    <x v="5"/>
    <x v="6"/>
    <x v="6"/>
    <n v="2903.1"/>
    <n v="27.1"/>
    <x v="2"/>
    <s v="Spray"/>
    <x v="66"/>
    <n v="58"/>
    <x v="0"/>
    <n v="2644"/>
    <x v="1"/>
  </r>
  <r>
    <x v="6"/>
    <x v="6"/>
    <x v="7"/>
    <n v="2903.1"/>
    <n v="26.8"/>
    <x v="0"/>
    <s v="Spray"/>
    <x v="129"/>
    <n v="59"/>
    <x v="0"/>
    <n v="44235"/>
    <x v="1"/>
  </r>
  <r>
    <x v="0"/>
    <x v="6"/>
    <x v="8"/>
    <n v="2996.6"/>
    <n v="26.8"/>
    <x v="0"/>
    <s v="Spray"/>
    <x v="130"/>
    <n v="50"/>
    <x v="0"/>
    <n v="203317"/>
    <x v="1"/>
  </r>
  <r>
    <x v="7"/>
    <x v="6"/>
    <x v="9"/>
    <n v="2996.6"/>
    <n v="26.8"/>
    <x v="0"/>
    <s v="Spray"/>
    <x v="131"/>
    <n v="54"/>
    <x v="0"/>
    <n v="2134"/>
    <x v="1"/>
  </r>
  <r>
    <x v="8"/>
    <x v="6"/>
    <x v="10"/>
    <n v="2996.6"/>
    <n v="37"/>
    <x v="0"/>
    <s v="Drip"/>
    <x v="132"/>
    <n v="53"/>
    <x v="1"/>
    <n v="45186"/>
    <x v="1"/>
  </r>
  <r>
    <x v="9"/>
    <x v="6"/>
    <x v="11"/>
    <n v="3522.8"/>
    <n v="37"/>
    <x v="0"/>
    <s v="Drip"/>
    <x v="124"/>
    <n v="52"/>
    <x v="1"/>
    <n v="238542"/>
    <x v="1"/>
  </r>
  <r>
    <x v="10"/>
    <x v="6"/>
    <x v="12"/>
    <n v="3522.8"/>
    <n v="37"/>
    <x v="0"/>
    <s v="Drip"/>
    <x v="133"/>
    <n v="51"/>
    <x v="1"/>
    <n v="1516"/>
    <x v="1"/>
  </r>
  <r>
    <x v="11"/>
    <x v="6"/>
    <x v="13"/>
    <n v="3522.8"/>
    <n v="38"/>
    <x v="0"/>
    <s v="Drip"/>
    <x v="134"/>
    <n v="57"/>
    <x v="1"/>
    <n v="57259"/>
    <x v="1"/>
  </r>
  <r>
    <x v="12"/>
    <x v="6"/>
    <x v="14"/>
    <n v="3729.8"/>
    <n v="38"/>
    <x v="0"/>
    <s v="Drip"/>
    <x v="135"/>
    <n v="57"/>
    <x v="1"/>
    <n v="234779"/>
    <x v="1"/>
  </r>
  <r>
    <x v="13"/>
    <x v="6"/>
    <x v="15"/>
    <n v="3729.8"/>
    <n v="38"/>
    <x v="0"/>
    <s v="Drip"/>
    <x v="136"/>
    <n v="60"/>
    <x v="1"/>
    <n v="1493"/>
    <x v="1"/>
  </r>
  <r>
    <x v="14"/>
    <x v="6"/>
    <x v="16"/>
    <n v="3729.8"/>
    <n v="39"/>
    <x v="0"/>
    <s v="Drip"/>
    <x v="137"/>
    <n v="57"/>
    <x v="2"/>
    <n v="64409"/>
    <x v="1"/>
  </r>
  <r>
    <x v="1"/>
    <x v="6"/>
    <x v="17"/>
    <n v="2746.2"/>
    <n v="39"/>
    <x v="0"/>
    <s v="Drip"/>
    <x v="138"/>
    <n v="57"/>
    <x v="2"/>
    <n v="249978"/>
    <x v="1"/>
  </r>
  <r>
    <x v="2"/>
    <x v="6"/>
    <x v="18"/>
    <n v="2746.2"/>
    <n v="39"/>
    <x v="0"/>
    <s v="Drip"/>
    <x v="139"/>
    <n v="54"/>
    <x v="2"/>
    <n v="637"/>
    <x v="1"/>
  </r>
  <r>
    <x v="3"/>
    <x v="6"/>
    <x v="19"/>
    <n v="2746.2"/>
    <n v="40"/>
    <x v="0"/>
    <s v="Drip"/>
    <x v="140"/>
    <n v="54.5"/>
    <x v="2"/>
    <n v="43311"/>
    <x v="1"/>
  </r>
  <r>
    <x v="4"/>
    <x v="6"/>
    <x v="20"/>
    <n v="3360"/>
    <n v="40"/>
    <x v="0"/>
    <s v="Drip"/>
    <x v="141"/>
    <n v="56.6"/>
    <x v="2"/>
    <n v="24848"/>
    <x v="1"/>
  </r>
  <r>
    <x v="5"/>
    <x v="0"/>
    <x v="21"/>
    <n v="3360"/>
    <n v="40"/>
    <x v="0"/>
    <s v="Drip"/>
    <x v="142"/>
    <n v="55.5"/>
    <x v="2"/>
    <n v="761"/>
    <x v="1"/>
  </r>
  <r>
    <x v="6"/>
    <x v="0"/>
    <x v="22"/>
    <n v="3360"/>
    <n v="41"/>
    <x v="0"/>
    <s v="Drip"/>
    <x v="143"/>
    <n v="58.5"/>
    <x v="2"/>
    <n v="45608"/>
    <x v="1"/>
  </r>
  <r>
    <x v="0"/>
    <x v="0"/>
    <x v="23"/>
    <n v="3605.4"/>
    <n v="41"/>
    <x v="0"/>
    <s v="Drip"/>
    <x v="144"/>
    <n v="59.5"/>
    <x v="2"/>
    <n v="234581"/>
    <x v="1"/>
  </r>
  <r>
    <x v="7"/>
    <x v="0"/>
    <x v="24"/>
    <n v="3605.4"/>
    <n v="41"/>
    <x v="0"/>
    <s v="Drip"/>
    <x v="145"/>
    <n v="55"/>
    <x v="2"/>
    <n v="646"/>
    <x v="1"/>
  </r>
  <r>
    <x v="14"/>
    <x v="0"/>
    <x v="25"/>
    <n v="3605.4"/>
    <n v="42"/>
    <x v="0"/>
    <s v="Drip"/>
    <x v="146"/>
    <n v="53"/>
    <x v="2"/>
    <n v="43562"/>
    <x v="1"/>
  </r>
  <r>
    <x v="1"/>
    <x v="0"/>
    <x v="26"/>
    <n v="3512.4"/>
    <n v="42"/>
    <x v="0"/>
    <s v="Drip"/>
    <x v="147"/>
    <n v="53.5"/>
    <x v="2"/>
    <n v="200000"/>
    <x v="1"/>
  </r>
  <r>
    <x v="2"/>
    <x v="0"/>
    <x v="27"/>
    <n v="3512.4"/>
    <n v="27"/>
    <x v="0"/>
    <s v="Drip"/>
    <x v="148"/>
    <n v="52.5"/>
    <x v="2"/>
    <n v="4847"/>
    <x v="1"/>
  </r>
  <r>
    <x v="3"/>
    <x v="0"/>
    <x v="28"/>
    <n v="3512.4"/>
    <n v="27"/>
    <x v="0"/>
    <s v="Drip"/>
    <x v="149"/>
    <n v="56"/>
    <x v="2"/>
    <n v="51239"/>
    <x v="1"/>
  </r>
  <r>
    <x v="4"/>
    <x v="0"/>
    <x v="29"/>
    <n v="3296"/>
    <n v="27"/>
    <x v="0"/>
    <s v="Drip"/>
    <x v="150"/>
    <n v="57"/>
    <x v="2"/>
    <n v="216396"/>
    <x v="1"/>
  </r>
  <r>
    <x v="5"/>
    <x v="0"/>
    <x v="30"/>
    <n v="3296"/>
    <n v="27"/>
    <x v="0"/>
    <s v="Drip"/>
    <x v="151"/>
    <n v="57.5"/>
    <x v="2"/>
    <n v="2644"/>
    <x v="1"/>
  </r>
  <r>
    <x v="6"/>
    <x v="0"/>
    <x v="31"/>
    <n v="3296"/>
    <n v="27"/>
    <x v="0"/>
    <s v="Drip"/>
    <x v="152"/>
    <n v="57"/>
    <x v="3"/>
    <n v="44235"/>
    <x v="1"/>
  </r>
  <r>
    <x v="0"/>
    <x v="0"/>
    <x v="32"/>
    <n v="3550"/>
    <n v="27"/>
    <x v="0"/>
    <s v="Drip"/>
    <x v="153"/>
    <n v="55"/>
    <x v="3"/>
    <n v="203317"/>
    <x v="1"/>
  </r>
  <r>
    <x v="7"/>
    <x v="0"/>
    <x v="33"/>
    <n v="3550"/>
    <n v="27.2"/>
    <x v="0"/>
    <s v="Drip"/>
    <x v="154"/>
    <n v="56"/>
    <x v="3"/>
    <n v="2134"/>
    <x v="1"/>
  </r>
  <r>
    <x v="8"/>
    <x v="0"/>
    <x v="34"/>
    <n v="3550"/>
    <n v="27.2"/>
    <x v="0"/>
    <s v="Drip"/>
    <x v="155"/>
    <n v="54"/>
    <x v="3"/>
    <n v="45186"/>
    <x v="1"/>
  </r>
  <r>
    <x v="9"/>
    <x v="0"/>
    <x v="35"/>
    <n v="3654"/>
    <n v="27.2"/>
    <x v="0"/>
    <s v="Drip"/>
    <x v="156"/>
    <n v="58"/>
    <x v="3"/>
    <n v="238542"/>
    <x v="1"/>
  </r>
  <r>
    <x v="10"/>
    <x v="0"/>
    <x v="36"/>
    <n v="3654"/>
    <n v="27"/>
    <x v="2"/>
    <s v="Drip"/>
    <x v="157"/>
    <n v="58"/>
    <x v="3"/>
    <n v="1516"/>
    <x v="1"/>
  </r>
  <r>
    <x v="11"/>
    <x v="0"/>
    <x v="37"/>
    <n v="3654"/>
    <n v="27"/>
    <x v="2"/>
    <s v="Drip"/>
    <x v="158"/>
    <n v="59"/>
    <x v="3"/>
    <n v="57259"/>
    <x v="1"/>
  </r>
  <r>
    <x v="12"/>
    <x v="1"/>
    <x v="38"/>
    <n v="233"/>
    <n v="27"/>
    <x v="2"/>
    <s v="Drip"/>
    <x v="159"/>
    <n v="50"/>
    <x v="3"/>
    <n v="234779"/>
    <x v="1"/>
  </r>
  <r>
    <x v="13"/>
    <x v="1"/>
    <x v="39"/>
    <n v="233"/>
    <n v="27"/>
    <x v="2"/>
    <s v="Drip"/>
    <x v="160"/>
    <n v="54"/>
    <x v="3"/>
    <n v="1493"/>
    <x v="1"/>
  </r>
  <r>
    <x v="14"/>
    <x v="1"/>
    <x v="40"/>
    <n v="233"/>
    <n v="27"/>
    <x v="2"/>
    <s v="Drip"/>
    <x v="161"/>
    <n v="53"/>
    <x v="3"/>
    <n v="64409"/>
    <x v="1"/>
  </r>
  <r>
    <x v="1"/>
    <x v="1"/>
    <x v="41"/>
    <n v="234"/>
    <n v="27"/>
    <x v="2"/>
    <s v="Drip"/>
    <x v="131"/>
    <n v="52"/>
    <x v="3"/>
    <n v="249978"/>
    <x v="1"/>
  </r>
  <r>
    <x v="2"/>
    <x v="1"/>
    <x v="42"/>
    <n v="234"/>
    <n v="27.2"/>
    <x v="2"/>
    <s v="Drip"/>
    <x v="132"/>
    <n v="51"/>
    <x v="3"/>
    <n v="637"/>
    <x v="1"/>
  </r>
  <r>
    <x v="3"/>
    <x v="1"/>
    <x v="43"/>
    <n v="234"/>
    <n v="27.2"/>
    <x v="2"/>
    <s v="Drip"/>
    <x v="124"/>
    <n v="57"/>
    <x v="3"/>
    <n v="43311"/>
    <x v="1"/>
  </r>
  <r>
    <x v="4"/>
    <x v="1"/>
    <x v="44"/>
    <n v="3105"/>
    <n v="27.2"/>
    <x v="2"/>
    <s v="Drip"/>
    <x v="133"/>
    <n v="57"/>
    <x v="3"/>
    <n v="24848"/>
    <x v="1"/>
  </r>
  <r>
    <x v="5"/>
    <x v="1"/>
    <x v="45"/>
    <n v="3105"/>
    <n v="27.1"/>
    <x v="2"/>
    <s v="Drip"/>
    <x v="134"/>
    <n v="60"/>
    <x v="3"/>
    <n v="761"/>
    <x v="1"/>
  </r>
  <r>
    <x v="6"/>
    <x v="1"/>
    <x v="46"/>
    <n v="3105"/>
    <n v="27.1"/>
    <x v="2"/>
    <s v="Drip"/>
    <x v="135"/>
    <n v="57"/>
    <x v="4"/>
    <n v="45608"/>
    <x v="1"/>
  </r>
  <r>
    <x v="15"/>
    <x v="1"/>
    <x v="47"/>
    <n v="236"/>
    <n v="27.1"/>
    <x v="2"/>
    <s v="Drip"/>
    <x v="136"/>
    <n v="57"/>
    <x v="4"/>
    <n v="234581"/>
    <x v="1"/>
  </r>
  <r>
    <x v="0"/>
    <x v="1"/>
    <x v="48"/>
    <n v="236"/>
    <n v="26.8"/>
    <x v="2"/>
    <s v="Drip"/>
    <x v="137"/>
    <n v="54"/>
    <x v="4"/>
    <n v="646"/>
    <x v="1"/>
  </r>
  <r>
    <x v="1"/>
    <x v="1"/>
    <x v="49"/>
    <n v="2903.1"/>
    <n v="26.8"/>
    <x v="2"/>
    <s v="Drip"/>
    <x v="138"/>
    <n v="54.5"/>
    <x v="4"/>
    <n v="43562"/>
    <x v="1"/>
  </r>
  <r>
    <x v="2"/>
    <x v="1"/>
    <x v="50"/>
    <n v="2903.1"/>
    <n v="26.8"/>
    <x v="2"/>
    <s v="Drip"/>
    <x v="139"/>
    <n v="56.6"/>
    <x v="4"/>
    <n v="200000"/>
    <x v="1"/>
  </r>
  <r>
    <x v="3"/>
    <x v="1"/>
    <x v="51"/>
    <n v="2903.1"/>
    <n v="37"/>
    <x v="2"/>
    <s v="Drip"/>
    <x v="140"/>
    <n v="55.5"/>
    <x v="4"/>
    <n v="4847"/>
    <x v="1"/>
  </r>
  <r>
    <x v="4"/>
    <x v="1"/>
    <x v="52"/>
    <n v="2996.6"/>
    <n v="37"/>
    <x v="2"/>
    <s v="Drip"/>
    <x v="141"/>
    <n v="58.5"/>
    <x v="4"/>
    <n v="51239"/>
    <x v="1"/>
  </r>
  <r>
    <x v="5"/>
    <x v="1"/>
    <x v="53"/>
    <n v="2996.6"/>
    <n v="37"/>
    <x v="2"/>
    <s v="Drip"/>
    <x v="142"/>
    <n v="59.5"/>
    <x v="4"/>
    <n v="216396"/>
    <x v="1"/>
  </r>
  <r>
    <x v="6"/>
    <x v="1"/>
    <x v="54"/>
    <n v="2996.6"/>
    <n v="38"/>
    <x v="2"/>
    <s v="Basin"/>
    <x v="143"/>
    <n v="55"/>
    <x v="4"/>
    <n v="2644"/>
    <x v="1"/>
  </r>
  <r>
    <x v="0"/>
    <x v="1"/>
    <x v="55"/>
    <n v="3522.8"/>
    <n v="38"/>
    <x v="2"/>
    <s v="Basin"/>
    <x v="144"/>
    <n v="53"/>
    <x v="4"/>
    <n v="44235"/>
    <x v="1"/>
  </r>
  <r>
    <x v="7"/>
    <x v="1"/>
    <x v="56"/>
    <n v="3522.8"/>
    <n v="38"/>
    <x v="2"/>
    <s v="Basin"/>
    <x v="145"/>
    <n v="53.5"/>
    <x v="4"/>
    <n v="203317"/>
    <x v="1"/>
  </r>
  <r>
    <x v="8"/>
    <x v="1"/>
    <x v="57"/>
    <n v="3522.8"/>
    <n v="39"/>
    <x v="2"/>
    <s v="Basin"/>
    <x v="146"/>
    <n v="52.5"/>
    <x v="4"/>
    <n v="2134"/>
    <x v="1"/>
  </r>
  <r>
    <x v="9"/>
    <x v="1"/>
    <x v="58"/>
    <n v="2903.1"/>
    <n v="39"/>
    <x v="2"/>
    <s v="Basin"/>
    <x v="147"/>
    <n v="56"/>
    <x v="4"/>
    <n v="45186"/>
    <x v="1"/>
  </r>
  <r>
    <x v="10"/>
    <x v="1"/>
    <x v="59"/>
    <n v="2903.1"/>
    <n v="39"/>
    <x v="2"/>
    <s v="Basin"/>
    <x v="148"/>
    <n v="57"/>
    <x v="4"/>
    <n v="238542"/>
    <x v="1"/>
  </r>
  <r>
    <x v="11"/>
    <x v="1"/>
    <x v="60"/>
    <n v="2903.1"/>
    <n v="40"/>
    <x v="2"/>
    <s v="Basin"/>
    <x v="149"/>
    <n v="57.5"/>
    <x v="4"/>
    <n v="1516"/>
    <x v="1"/>
  </r>
  <r>
    <x v="12"/>
    <x v="1"/>
    <x v="61"/>
    <n v="2996.6"/>
    <n v="40"/>
    <x v="2"/>
    <s v="Basin"/>
    <x v="150"/>
    <n v="57"/>
    <x v="5"/>
    <n v="200000"/>
    <x v="1"/>
  </r>
  <r>
    <x v="13"/>
    <x v="1"/>
    <x v="62"/>
    <n v="2996.6"/>
    <n v="40"/>
    <x v="2"/>
    <s v="Basin"/>
    <x v="151"/>
    <n v="55"/>
    <x v="5"/>
    <n v="4847"/>
    <x v="1"/>
  </r>
  <r>
    <x v="14"/>
    <x v="1"/>
    <x v="63"/>
    <n v="2996.6"/>
    <n v="41"/>
    <x v="2"/>
    <s v="Basin"/>
    <x v="152"/>
    <n v="56"/>
    <x v="5"/>
    <n v="51239"/>
    <x v="1"/>
  </r>
  <r>
    <x v="1"/>
    <x v="1"/>
    <x v="64"/>
    <n v="3522.8"/>
    <n v="41"/>
    <x v="2"/>
    <s v="Basin"/>
    <x v="153"/>
    <n v="54"/>
    <x v="5"/>
    <n v="216396"/>
    <x v="1"/>
  </r>
  <r>
    <x v="2"/>
    <x v="1"/>
    <x v="65"/>
    <n v="3522.8"/>
    <n v="41"/>
    <x v="2"/>
    <s v="Basin"/>
    <x v="154"/>
    <n v="58"/>
    <x v="5"/>
    <n v="2644"/>
    <x v="1"/>
  </r>
  <r>
    <x v="3"/>
    <x v="1"/>
    <x v="62"/>
    <n v="3522.8"/>
    <n v="42"/>
    <x v="2"/>
    <s v="Basin"/>
    <x v="155"/>
    <n v="58"/>
    <x v="5"/>
    <n v="44235"/>
    <x v="1"/>
  </r>
  <r>
    <x v="4"/>
    <x v="1"/>
    <x v="66"/>
    <n v="3729.8"/>
    <n v="42"/>
    <x v="2"/>
    <s v="Basin"/>
    <x v="156"/>
    <n v="59"/>
    <x v="5"/>
    <n v="203317"/>
    <x v="1"/>
  </r>
  <r>
    <x v="5"/>
    <x v="1"/>
    <x v="67"/>
    <n v="3729.8"/>
    <n v="42"/>
    <x v="2"/>
    <s v="Basin"/>
    <x v="157"/>
    <n v="50"/>
    <x v="5"/>
    <n v="2134"/>
    <x v="1"/>
  </r>
  <r>
    <x v="6"/>
    <x v="7"/>
    <x v="68"/>
    <n v="3729.8"/>
    <n v="43"/>
    <x v="2"/>
    <s v="Basin"/>
    <x v="158"/>
    <n v="54"/>
    <x v="5"/>
    <n v="45186"/>
    <x v="1"/>
  </r>
  <r>
    <x v="1"/>
    <x v="7"/>
    <x v="67"/>
    <n v="2746.2"/>
    <n v="43"/>
    <x v="2"/>
    <s v="Basin"/>
    <x v="159"/>
    <n v="53"/>
    <x v="5"/>
    <n v="238542"/>
    <x v="1"/>
  </r>
  <r>
    <x v="2"/>
    <x v="7"/>
    <x v="69"/>
    <n v="2746.2"/>
    <n v="27"/>
    <x v="2"/>
    <s v="Basin"/>
    <x v="160"/>
    <n v="52"/>
    <x v="5"/>
    <n v="1516"/>
    <x v="1"/>
  </r>
  <r>
    <x v="3"/>
    <x v="7"/>
    <x v="70"/>
    <n v="2746.2"/>
    <n v="27"/>
    <x v="2"/>
    <s v="Basin"/>
    <x v="161"/>
    <n v="51"/>
    <x v="5"/>
    <n v="57259"/>
    <x v="1"/>
  </r>
  <r>
    <x v="4"/>
    <x v="7"/>
    <x v="71"/>
    <n v="3360"/>
    <n v="27"/>
    <x v="2"/>
    <s v="Basin"/>
    <x v="131"/>
    <n v="57"/>
    <x v="5"/>
    <n v="234779"/>
    <x v="1"/>
  </r>
  <r>
    <x v="5"/>
    <x v="7"/>
    <x v="64"/>
    <n v="3360"/>
    <n v="27"/>
    <x v="2"/>
    <s v="Basin"/>
    <x v="132"/>
    <n v="57"/>
    <x v="5"/>
    <n v="1493"/>
    <x v="1"/>
  </r>
  <r>
    <x v="6"/>
    <x v="7"/>
    <x v="63"/>
    <n v="3360"/>
    <n v="27"/>
    <x v="2"/>
    <s v="Basin"/>
    <x v="124"/>
    <n v="60"/>
    <x v="5"/>
    <n v="64409"/>
    <x v="1"/>
  </r>
  <r>
    <x v="0"/>
    <x v="7"/>
    <x v="72"/>
    <n v="3605.4"/>
    <n v="27"/>
    <x v="2"/>
    <s v="Basin"/>
    <x v="133"/>
    <n v="57"/>
    <x v="6"/>
    <n v="249978"/>
    <x v="1"/>
  </r>
  <r>
    <x v="7"/>
    <x v="7"/>
    <x v="73"/>
    <n v="3605.4"/>
    <n v="27.2"/>
    <x v="2"/>
    <s v="Basin"/>
    <x v="134"/>
    <n v="57"/>
    <x v="6"/>
    <n v="637"/>
    <x v="1"/>
  </r>
  <r>
    <x v="8"/>
    <x v="7"/>
    <x v="60"/>
    <n v="3605.4"/>
    <n v="27.2"/>
    <x v="3"/>
    <s v="Basin"/>
    <x v="135"/>
    <n v="54"/>
    <x v="6"/>
    <n v="43311"/>
    <x v="1"/>
  </r>
  <r>
    <x v="9"/>
    <x v="7"/>
    <x v="74"/>
    <n v="3512.4"/>
    <n v="27.2"/>
    <x v="3"/>
    <s v="Basin"/>
    <x v="136"/>
    <n v="54.5"/>
    <x v="6"/>
    <n v="24848"/>
    <x v="1"/>
  </r>
  <r>
    <x v="10"/>
    <x v="7"/>
    <x v="75"/>
    <n v="3512.4"/>
    <n v="27"/>
    <x v="3"/>
    <s v="Basin"/>
    <x v="137"/>
    <n v="56.6"/>
    <x v="6"/>
    <n v="761"/>
    <x v="1"/>
  </r>
  <r>
    <x v="11"/>
    <x v="7"/>
    <x v="76"/>
    <n v="3512.4"/>
    <n v="27"/>
    <x v="3"/>
    <s v="Basin"/>
    <x v="138"/>
    <n v="55.5"/>
    <x v="6"/>
    <n v="45608"/>
    <x v="1"/>
  </r>
  <r>
    <x v="12"/>
    <x v="7"/>
    <x v="77"/>
    <n v="3296"/>
    <n v="27"/>
    <x v="3"/>
    <s v="Basin"/>
    <x v="139"/>
    <n v="58.5"/>
    <x v="6"/>
    <n v="234581"/>
    <x v="1"/>
  </r>
  <r>
    <x v="13"/>
    <x v="7"/>
    <x v="78"/>
    <n v="3296"/>
    <n v="27"/>
    <x v="3"/>
    <s v="Basin"/>
    <x v="140"/>
    <n v="59.5"/>
    <x v="6"/>
    <n v="646"/>
    <x v="1"/>
  </r>
  <r>
    <x v="14"/>
    <x v="7"/>
    <x v="79"/>
    <n v="3296"/>
    <n v="27"/>
    <x v="3"/>
    <s v="Basin"/>
    <x v="141"/>
    <n v="55"/>
    <x v="6"/>
    <n v="43562"/>
    <x v="1"/>
  </r>
  <r>
    <x v="1"/>
    <x v="7"/>
    <x v="80"/>
    <n v="3550"/>
    <n v="27"/>
    <x v="3"/>
    <s v="Basin"/>
    <x v="142"/>
    <n v="53"/>
    <x v="6"/>
    <n v="200000"/>
    <x v="1"/>
  </r>
  <r>
    <x v="2"/>
    <x v="7"/>
    <x v="81"/>
    <n v="3550"/>
    <n v="27.2"/>
    <x v="3"/>
    <s v="Basin"/>
    <x v="143"/>
    <n v="53.5"/>
    <x v="6"/>
    <n v="4847"/>
    <x v="1"/>
  </r>
  <r>
    <x v="3"/>
    <x v="7"/>
    <x v="82"/>
    <n v="3550"/>
    <n v="27.2"/>
    <x v="3"/>
    <s v="Basin"/>
    <x v="144"/>
    <n v="52.5"/>
    <x v="6"/>
    <n v="51239"/>
    <x v="1"/>
  </r>
  <r>
    <x v="4"/>
    <x v="7"/>
    <x v="83"/>
    <n v="3654"/>
    <n v="27.2"/>
    <x v="3"/>
    <s v="Basin"/>
    <x v="145"/>
    <n v="56"/>
    <x v="6"/>
    <n v="216396"/>
    <x v="1"/>
  </r>
  <r>
    <x v="5"/>
    <x v="7"/>
    <x v="84"/>
    <n v="3654"/>
    <n v="27.1"/>
    <x v="3"/>
    <s v="Basin"/>
    <x v="146"/>
    <n v="57"/>
    <x v="6"/>
    <n v="2644"/>
    <x v="1"/>
  </r>
  <r>
    <x v="6"/>
    <x v="7"/>
    <x v="85"/>
    <n v="3654"/>
    <n v="27.1"/>
    <x v="3"/>
    <s v="Basin"/>
    <x v="147"/>
    <n v="57.5"/>
    <x v="6"/>
    <n v="44235"/>
    <x v="1"/>
  </r>
  <r>
    <x v="3"/>
    <x v="7"/>
    <x v="86"/>
    <n v="233"/>
    <n v="27.1"/>
    <x v="3"/>
    <s v="Basin"/>
    <x v="148"/>
    <n v="57"/>
    <x v="7"/>
    <n v="203317"/>
    <x v="1"/>
  </r>
  <r>
    <x v="4"/>
    <x v="7"/>
    <x v="87"/>
    <n v="233"/>
    <n v="26.8"/>
    <x v="3"/>
    <s v="Basin"/>
    <x v="149"/>
    <n v="55"/>
    <x v="7"/>
    <n v="2134"/>
    <x v="1"/>
  </r>
  <r>
    <x v="5"/>
    <x v="7"/>
    <x v="88"/>
    <n v="233"/>
    <n v="26.8"/>
    <x v="3"/>
    <s v="Basin"/>
    <x v="150"/>
    <n v="56"/>
    <x v="7"/>
    <n v="45186"/>
    <x v="1"/>
  </r>
  <r>
    <x v="6"/>
    <x v="7"/>
    <x v="89"/>
    <n v="234"/>
    <n v="26.8"/>
    <x v="3"/>
    <s v="Basin"/>
    <x v="151"/>
    <n v="54"/>
    <x v="7"/>
    <n v="238542"/>
    <x v="1"/>
  </r>
  <r>
    <x v="1"/>
    <x v="7"/>
    <x v="90"/>
    <n v="234"/>
    <n v="37"/>
    <x v="3"/>
    <s v="Basin"/>
    <x v="152"/>
    <n v="58"/>
    <x v="7"/>
    <n v="1516"/>
    <x v="1"/>
  </r>
  <r>
    <x v="2"/>
    <x v="7"/>
    <x v="91"/>
    <n v="234"/>
    <n v="37"/>
    <x v="3"/>
    <s v="Basin"/>
    <x v="153"/>
    <n v="58"/>
    <x v="7"/>
    <n v="57259"/>
    <x v="1"/>
  </r>
  <r>
    <x v="3"/>
    <x v="7"/>
    <x v="92"/>
    <n v="3105"/>
    <n v="37"/>
    <x v="3"/>
    <s v="Spray"/>
    <x v="154"/>
    <n v="59"/>
    <x v="7"/>
    <n v="234779"/>
    <x v="1"/>
  </r>
  <r>
    <x v="4"/>
    <x v="7"/>
    <x v="64"/>
    <n v="3105"/>
    <n v="38"/>
    <x v="3"/>
    <s v="Spray"/>
    <x v="155"/>
    <n v="50"/>
    <x v="7"/>
    <n v="1493"/>
    <x v="1"/>
  </r>
  <r>
    <x v="5"/>
    <x v="7"/>
    <x v="93"/>
    <n v="3105"/>
    <n v="38"/>
    <x v="3"/>
    <s v="Spray"/>
    <x v="156"/>
    <n v="54"/>
    <x v="7"/>
    <n v="64409"/>
    <x v="1"/>
  </r>
  <r>
    <x v="6"/>
    <x v="7"/>
    <x v="94"/>
    <n v="236"/>
    <n v="38"/>
    <x v="3"/>
    <s v="Spray"/>
    <x v="157"/>
    <n v="53"/>
    <x v="7"/>
    <n v="249978"/>
    <x v="1"/>
  </r>
  <r>
    <x v="0"/>
    <x v="7"/>
    <x v="95"/>
    <n v="236"/>
    <n v="39"/>
    <x v="3"/>
    <s v="Spray"/>
    <x v="158"/>
    <n v="52"/>
    <x v="7"/>
    <n v="637"/>
    <x v="1"/>
  </r>
  <r>
    <x v="7"/>
    <x v="7"/>
    <x v="96"/>
    <n v="2903.1"/>
    <n v="39"/>
    <x v="3"/>
    <s v="Spray"/>
    <x v="159"/>
    <n v="51"/>
    <x v="7"/>
    <n v="43311"/>
    <x v="1"/>
  </r>
  <r>
    <x v="8"/>
    <x v="7"/>
    <x v="97"/>
    <n v="2903.1"/>
    <n v="39"/>
    <x v="3"/>
    <s v="Spray"/>
    <x v="160"/>
    <n v="57"/>
    <x v="7"/>
    <n v="24848"/>
    <x v="1"/>
  </r>
  <r>
    <x v="9"/>
    <x v="7"/>
    <x v="98"/>
    <n v="2903.1"/>
    <n v="40"/>
    <x v="3"/>
    <s v="Spray"/>
    <x v="161"/>
    <n v="57"/>
    <x v="7"/>
    <n v="761"/>
    <x v="1"/>
  </r>
  <r>
    <x v="10"/>
    <x v="7"/>
    <x v="99"/>
    <n v="2996.6"/>
    <n v="40"/>
    <x v="3"/>
    <s v="Spray"/>
    <x v="91"/>
    <n v="60"/>
    <x v="7"/>
    <n v="45608"/>
    <x v="1"/>
  </r>
  <r>
    <x v="11"/>
    <x v="7"/>
    <x v="100"/>
    <n v="2996.6"/>
    <n v="40"/>
    <x v="3"/>
    <s v="Spray"/>
    <x v="92"/>
    <n v="57"/>
    <x v="8"/>
    <n v="234581"/>
    <x v="1"/>
  </r>
  <r>
    <x v="12"/>
    <x v="7"/>
    <x v="101"/>
    <n v="2996.6"/>
    <n v="41"/>
    <x v="15"/>
    <s v="Spray"/>
    <x v="93"/>
    <n v="57"/>
    <x v="8"/>
    <n v="646"/>
    <x v="1"/>
  </r>
  <r>
    <x v="13"/>
    <x v="7"/>
    <x v="102"/>
    <n v="3522.8"/>
    <n v="41"/>
    <x v="15"/>
    <s v="Spray"/>
    <x v="94"/>
    <n v="54"/>
    <x v="8"/>
    <n v="43562"/>
    <x v="2"/>
  </r>
  <r>
    <x v="14"/>
    <x v="7"/>
    <x v="103"/>
    <n v="3522.8"/>
    <n v="41"/>
    <x v="15"/>
    <s v="Spray"/>
    <x v="95"/>
    <n v="54.5"/>
    <x v="8"/>
    <n v="200000"/>
    <x v="2"/>
  </r>
  <r>
    <x v="1"/>
    <x v="7"/>
    <x v="104"/>
    <n v="3522.8"/>
    <n v="42"/>
    <x v="15"/>
    <s v="Spray"/>
    <x v="96"/>
    <n v="56.6"/>
    <x v="8"/>
    <n v="4847"/>
    <x v="2"/>
  </r>
  <r>
    <x v="2"/>
    <x v="7"/>
    <x v="105"/>
    <n v="2903.1"/>
    <n v="42"/>
    <x v="15"/>
    <s v="Spray"/>
    <x v="97"/>
    <n v="55.5"/>
    <x v="8"/>
    <n v="51239"/>
    <x v="2"/>
  </r>
  <r>
    <x v="3"/>
    <x v="7"/>
    <x v="106"/>
    <n v="2903.1"/>
    <n v="42"/>
    <x v="15"/>
    <s v="Spray"/>
    <x v="98"/>
    <n v="58.5"/>
    <x v="8"/>
    <n v="216396"/>
    <x v="2"/>
  </r>
  <r>
    <x v="4"/>
    <x v="7"/>
    <x v="107"/>
    <n v="2903.1"/>
    <n v="43"/>
    <x v="15"/>
    <s v="Spray"/>
    <x v="99"/>
    <n v="59.5"/>
    <x v="8"/>
    <n v="2644"/>
    <x v="2"/>
  </r>
  <r>
    <x v="5"/>
    <x v="7"/>
    <x v="108"/>
    <n v="2996.6"/>
    <n v="27"/>
    <x v="15"/>
    <s v="Spray"/>
    <x v="100"/>
    <n v="55"/>
    <x v="8"/>
    <n v="44235"/>
    <x v="2"/>
  </r>
  <r>
    <x v="4"/>
    <x v="7"/>
    <x v="109"/>
    <n v="2996.6"/>
    <n v="27"/>
    <x v="15"/>
    <s v="Spray"/>
    <x v="101"/>
    <n v="53"/>
    <x v="8"/>
    <n v="203317"/>
    <x v="2"/>
  </r>
  <r>
    <x v="5"/>
    <x v="7"/>
    <x v="110"/>
    <n v="2996.6"/>
    <n v="27"/>
    <x v="15"/>
    <s v="Spray"/>
    <x v="102"/>
    <n v="53.5"/>
    <x v="8"/>
    <n v="2134"/>
    <x v="2"/>
  </r>
  <r>
    <x v="6"/>
    <x v="7"/>
    <x v="111"/>
    <n v="3522.8"/>
    <n v="27"/>
    <x v="15"/>
    <s v="Spray"/>
    <x v="102"/>
    <n v="52.5"/>
    <x v="8"/>
    <n v="45186"/>
    <x v="2"/>
  </r>
  <r>
    <x v="1"/>
    <x v="7"/>
    <x v="112"/>
    <n v="3522.8"/>
    <n v="27"/>
    <x v="15"/>
    <s v="Spray"/>
    <x v="103"/>
    <n v="56"/>
    <x v="8"/>
    <n v="238542"/>
    <x v="2"/>
  </r>
  <r>
    <x v="2"/>
    <x v="7"/>
    <x v="113"/>
    <n v="3522.8"/>
    <n v="27"/>
    <x v="15"/>
    <s v="Spray"/>
    <x v="104"/>
    <n v="57"/>
    <x v="8"/>
    <n v="1516"/>
    <x v="2"/>
  </r>
  <r>
    <x v="3"/>
    <x v="7"/>
    <x v="114"/>
    <n v="3729.8"/>
    <n v="27.2"/>
    <x v="15"/>
    <s v="Spray"/>
    <x v="105"/>
    <n v="57.5"/>
    <x v="8"/>
    <n v="200000"/>
    <x v="2"/>
  </r>
  <r>
    <x v="4"/>
    <x v="7"/>
    <x v="115"/>
    <n v="3729.8"/>
    <n v="27.2"/>
    <x v="15"/>
    <s v="Spray"/>
    <x v="106"/>
    <n v="57"/>
    <x v="9"/>
    <n v="4847"/>
    <x v="2"/>
  </r>
  <r>
    <x v="5"/>
    <x v="7"/>
    <x v="116"/>
    <n v="3729.8"/>
    <n v="27.2"/>
    <x v="15"/>
    <s v="Spray"/>
    <x v="107"/>
    <n v="55"/>
    <x v="9"/>
    <n v="51239"/>
    <x v="2"/>
  </r>
  <r>
    <x v="6"/>
    <x v="7"/>
    <x v="117"/>
    <n v="2746.2"/>
    <n v="27"/>
    <x v="15"/>
    <s v="Spray"/>
    <x v="108"/>
    <n v="56"/>
    <x v="9"/>
    <n v="216396"/>
    <x v="2"/>
  </r>
  <r>
    <x v="0"/>
    <x v="2"/>
    <x v="118"/>
    <n v="2746.2"/>
    <n v="27"/>
    <x v="15"/>
    <s v="Spray"/>
    <x v="109"/>
    <n v="54"/>
    <x v="9"/>
    <n v="2644"/>
    <x v="2"/>
  </r>
  <r>
    <x v="7"/>
    <x v="2"/>
    <x v="119"/>
    <n v="2746.2"/>
    <n v="27"/>
    <x v="15"/>
    <s v="Spray"/>
    <x v="110"/>
    <n v="58"/>
    <x v="9"/>
    <n v="44235"/>
    <x v="2"/>
  </r>
  <r>
    <x v="8"/>
    <x v="2"/>
    <x v="120"/>
    <n v="3360"/>
    <n v="27"/>
    <x v="15"/>
    <s v="Spray"/>
    <x v="111"/>
    <n v="58"/>
    <x v="9"/>
    <n v="203317"/>
    <x v="2"/>
  </r>
  <r>
    <x v="9"/>
    <x v="2"/>
    <x v="12"/>
    <n v="3360"/>
    <n v="27"/>
    <x v="15"/>
    <s v="Spray"/>
    <x v="112"/>
    <n v="59"/>
    <x v="9"/>
    <n v="2134"/>
    <x v="2"/>
  </r>
  <r>
    <x v="10"/>
    <x v="2"/>
    <x v="121"/>
    <n v="3360"/>
    <n v="27"/>
    <x v="15"/>
    <s v="Spray"/>
    <x v="113"/>
    <n v="50"/>
    <x v="9"/>
    <n v="45186"/>
    <x v="2"/>
  </r>
  <r>
    <x v="11"/>
    <x v="2"/>
    <x v="122"/>
    <n v="3605.4"/>
    <n v="27.2"/>
    <x v="15"/>
    <s v="Spray"/>
    <x v="114"/>
    <n v="54"/>
    <x v="9"/>
    <n v="238542"/>
    <x v="2"/>
  </r>
  <r>
    <x v="12"/>
    <x v="2"/>
    <x v="123"/>
    <n v="3605.4"/>
    <n v="27.2"/>
    <x v="15"/>
    <s v="Spray"/>
    <x v="115"/>
    <n v="53"/>
    <x v="9"/>
    <n v="1516"/>
    <x v="2"/>
  </r>
  <r>
    <x v="13"/>
    <x v="2"/>
    <x v="9"/>
    <n v="2903.1"/>
    <n v="27.2"/>
    <x v="15"/>
    <s v="Spray"/>
    <x v="116"/>
    <n v="52"/>
    <x v="9"/>
    <n v="57259"/>
    <x v="2"/>
  </r>
  <r>
    <x v="14"/>
    <x v="2"/>
    <x v="124"/>
    <n v="2903.1"/>
    <n v="27.1"/>
    <x v="15"/>
    <s v="Spray"/>
    <x v="117"/>
    <n v="51"/>
    <x v="9"/>
    <n v="234779"/>
    <x v="2"/>
  </r>
  <r>
    <x v="1"/>
    <x v="2"/>
    <x v="125"/>
    <n v="2903.1"/>
    <n v="27.1"/>
    <x v="15"/>
    <s v="Spray"/>
    <x v="118"/>
    <n v="57"/>
    <x v="9"/>
    <n v="1493"/>
    <x v="2"/>
  </r>
  <r>
    <x v="2"/>
    <x v="2"/>
    <x v="126"/>
    <n v="2996.6"/>
    <n v="27.1"/>
    <x v="15"/>
    <s v="Spray"/>
    <x v="119"/>
    <n v="57"/>
    <x v="9"/>
    <n v="64409"/>
    <x v="2"/>
  </r>
  <r>
    <x v="3"/>
    <x v="2"/>
    <x v="127"/>
    <n v="2996.6"/>
    <n v="26.8"/>
    <x v="15"/>
    <s v="Spray"/>
    <x v="120"/>
    <n v="60"/>
    <x v="9"/>
    <n v="249978"/>
    <x v="2"/>
  </r>
  <r>
    <x v="4"/>
    <x v="2"/>
    <x v="128"/>
    <n v="2996.6"/>
    <n v="26.8"/>
    <x v="16"/>
    <s v="Spray"/>
    <x v="121"/>
    <n v="57"/>
    <x v="10"/>
    <n v="637"/>
    <x v="2"/>
  </r>
  <r>
    <x v="5"/>
    <x v="2"/>
    <x v="129"/>
    <n v="3522.8"/>
    <n v="26.8"/>
    <x v="16"/>
    <s v="Spray"/>
    <x v="122"/>
    <n v="57"/>
    <x v="10"/>
    <n v="43311"/>
    <x v="2"/>
  </r>
  <r>
    <x v="4"/>
    <x v="2"/>
    <x v="130"/>
    <n v="3522.8"/>
    <n v="37"/>
    <x v="16"/>
    <s v="Spray"/>
    <x v="105"/>
    <n v="54"/>
    <x v="10"/>
    <n v="24848"/>
    <x v="2"/>
  </r>
  <r>
    <x v="5"/>
    <x v="2"/>
    <x v="131"/>
    <n v="3522.8"/>
    <n v="37"/>
    <x v="16"/>
    <s v="Spray"/>
    <x v="123"/>
    <n v="54.5"/>
    <x v="10"/>
    <n v="761"/>
    <x v="2"/>
  </r>
  <r>
    <x v="4"/>
    <x v="2"/>
    <x v="132"/>
    <n v="3729.8"/>
    <n v="37"/>
    <x v="16"/>
    <s v="Spray"/>
    <x v="91"/>
    <n v="56.6"/>
    <x v="10"/>
    <n v="45608"/>
    <x v="2"/>
  </r>
  <r>
    <x v="5"/>
    <x v="2"/>
    <x v="133"/>
    <n v="3729.8"/>
    <n v="38"/>
    <x v="16"/>
    <s v="Drip"/>
    <x v="92"/>
    <n v="55.5"/>
    <x v="10"/>
    <n v="234581"/>
    <x v="2"/>
  </r>
  <r>
    <x v="6"/>
    <x v="2"/>
    <x v="134"/>
    <n v="3729.8"/>
    <n v="38"/>
    <x v="16"/>
    <s v="Drip"/>
    <x v="93"/>
    <n v="58.5"/>
    <x v="10"/>
    <n v="646"/>
    <x v="2"/>
  </r>
  <r>
    <x v="1"/>
    <x v="2"/>
    <x v="135"/>
    <n v="2746.2"/>
    <n v="38"/>
    <x v="16"/>
    <s v="Drip"/>
    <x v="94"/>
    <n v="59.5"/>
    <x v="10"/>
    <n v="43562"/>
    <x v="2"/>
  </r>
  <r>
    <x v="2"/>
    <x v="2"/>
    <x v="136"/>
    <n v="2746.2"/>
    <n v="39"/>
    <x v="16"/>
    <s v="Drip"/>
    <x v="95"/>
    <n v="55"/>
    <x v="10"/>
    <n v="200000"/>
    <x v="2"/>
  </r>
  <r>
    <x v="3"/>
    <x v="2"/>
    <x v="137"/>
    <n v="2746.2"/>
    <n v="39"/>
    <x v="16"/>
    <s v="Drip"/>
    <x v="96"/>
    <n v="53"/>
    <x v="10"/>
    <n v="4847"/>
    <x v="2"/>
  </r>
  <r>
    <x v="4"/>
    <x v="2"/>
    <x v="138"/>
    <n v="3360"/>
    <n v="39"/>
    <x v="16"/>
    <s v="Drip"/>
    <x v="97"/>
    <n v="53.5"/>
    <x v="10"/>
    <n v="51239"/>
    <x v="2"/>
  </r>
  <r>
    <x v="5"/>
    <x v="2"/>
    <x v="139"/>
    <n v="3360"/>
    <n v="40"/>
    <x v="16"/>
    <s v="Drip"/>
    <x v="98"/>
    <n v="52.5"/>
    <x v="10"/>
    <n v="216396"/>
    <x v="2"/>
  </r>
  <r>
    <x v="6"/>
    <x v="2"/>
    <x v="140"/>
    <n v="3360"/>
    <n v="40"/>
    <x v="16"/>
    <s v="Drip"/>
    <x v="99"/>
    <n v="56"/>
    <x v="10"/>
    <n v="2644"/>
    <x v="2"/>
  </r>
  <r>
    <x v="0"/>
    <x v="2"/>
    <x v="141"/>
    <n v="3605.4"/>
    <n v="40"/>
    <x v="16"/>
    <s v="Drip"/>
    <x v="100"/>
    <n v="59.5"/>
    <x v="10"/>
    <n v="44235"/>
    <x v="2"/>
  </r>
  <r>
    <x v="7"/>
    <x v="2"/>
    <x v="142"/>
    <n v="3605.4"/>
    <n v="41"/>
    <x v="16"/>
    <s v="Drip"/>
    <x v="101"/>
    <n v="55"/>
    <x v="10"/>
    <n v="203317"/>
    <x v="2"/>
  </r>
  <r>
    <x v="8"/>
    <x v="2"/>
    <x v="143"/>
    <n v="3605.4"/>
    <n v="41"/>
    <x v="16"/>
    <s v="Drip"/>
    <x v="102"/>
    <n v="53"/>
    <x v="11"/>
    <n v="2134"/>
    <x v="2"/>
  </r>
  <r>
    <x v="9"/>
    <x v="2"/>
    <x v="144"/>
    <n v="3512.4"/>
    <n v="41"/>
    <x v="16"/>
    <s v="Drip"/>
    <x v="102"/>
    <n v="53.5"/>
    <x v="11"/>
    <n v="45186"/>
    <x v="2"/>
  </r>
  <r>
    <x v="10"/>
    <x v="2"/>
    <x v="145"/>
    <n v="3512.4"/>
    <n v="42"/>
    <x v="16"/>
    <s v="Drip"/>
    <x v="103"/>
    <n v="52.5"/>
    <x v="11"/>
    <n v="238542"/>
    <x v="2"/>
  </r>
  <r>
    <x v="11"/>
    <x v="3"/>
    <x v="146"/>
    <n v="3512.4"/>
    <n v="42"/>
    <x v="16"/>
    <s v="Drip"/>
    <x v="104"/>
    <n v="56"/>
    <x v="11"/>
    <n v="1516"/>
    <x v="2"/>
  </r>
  <r>
    <x v="12"/>
    <x v="3"/>
    <x v="147"/>
    <n v="3296"/>
    <n v="42"/>
    <x v="16"/>
    <s v="Drip"/>
    <x v="105"/>
    <n v="57"/>
    <x v="11"/>
    <n v="57259"/>
    <x v="2"/>
  </r>
  <r>
    <x v="13"/>
    <x v="3"/>
    <x v="148"/>
    <n v="3550"/>
    <n v="43"/>
    <x v="16"/>
    <s v="Drip"/>
    <x v="106"/>
    <n v="57.5"/>
    <x v="11"/>
    <n v="234779"/>
    <x v="2"/>
  </r>
  <r>
    <x v="14"/>
    <x v="3"/>
    <x v="73"/>
    <n v="3550"/>
    <n v="43"/>
    <x v="16"/>
    <s v="Drip"/>
    <x v="107"/>
    <n v="57"/>
    <x v="11"/>
    <n v="1493"/>
    <x v="2"/>
  </r>
  <r>
    <x v="1"/>
    <x v="3"/>
    <x v="71"/>
    <n v="3550"/>
    <n v="128"/>
    <x v="16"/>
    <s v="Drip"/>
    <x v="108"/>
    <n v="55"/>
    <x v="11"/>
    <n v="64409"/>
    <x v="2"/>
  </r>
  <r>
    <x v="2"/>
    <x v="3"/>
    <x v="149"/>
    <n v="3654"/>
    <n v="129"/>
    <x v="16"/>
    <s v="Drip"/>
    <x v="109"/>
    <n v="56"/>
    <x v="11"/>
    <n v="249978"/>
    <x v="2"/>
  </r>
  <r>
    <x v="3"/>
    <x v="3"/>
    <x v="150"/>
    <n v="3654"/>
    <n v="130"/>
    <x v="16"/>
    <s v="Drip"/>
    <x v="110"/>
    <n v="54"/>
    <x v="11"/>
    <n v="637"/>
    <x v="2"/>
  </r>
  <r>
    <x v="4"/>
    <x v="3"/>
    <x v="149"/>
    <n v="3654"/>
    <n v="131"/>
    <x v="16"/>
    <s v="Drip"/>
    <x v="111"/>
    <n v="58"/>
    <x v="11"/>
    <n v="43311"/>
    <x v="2"/>
  </r>
  <r>
    <x v="5"/>
    <x v="3"/>
    <x v="151"/>
    <n v="233"/>
    <n v="132"/>
    <x v="16"/>
    <s v="Drip"/>
    <x v="112"/>
    <n v="58"/>
    <x v="11"/>
    <n v="24848"/>
    <x v="2"/>
  </r>
  <r>
    <x v="5"/>
    <x v="3"/>
    <x v="152"/>
    <n v="233"/>
    <n v="133"/>
    <x v="16"/>
    <s v="Drip"/>
    <x v="113"/>
    <n v="59"/>
    <x v="11"/>
    <n v="761"/>
    <x v="2"/>
  </r>
  <r>
    <x v="4"/>
    <x v="3"/>
    <x v="151"/>
    <n v="233"/>
    <n v="134"/>
    <x v="16"/>
    <s v="Drip"/>
    <x v="114"/>
    <n v="50"/>
    <x v="11"/>
    <n v="45608"/>
    <x v="2"/>
  </r>
  <r>
    <x v="5"/>
    <x v="3"/>
    <x v="153"/>
    <n v="234"/>
    <n v="135"/>
    <x v="16"/>
    <s v="Drip"/>
    <x v="115"/>
    <n v="54"/>
    <x v="11"/>
    <n v="234581"/>
    <x v="2"/>
  </r>
  <r>
    <x v="6"/>
    <x v="3"/>
    <x v="154"/>
    <n v="234"/>
    <n v="136"/>
    <x v="16"/>
    <s v="Drip"/>
    <x v="116"/>
    <n v="53"/>
    <x v="0"/>
    <n v="646"/>
    <x v="2"/>
  </r>
  <r>
    <x v="1"/>
    <x v="3"/>
    <x v="155"/>
    <n v="234"/>
    <n v="137"/>
    <x v="16"/>
    <s v="Drip"/>
    <x v="117"/>
    <n v="59.5"/>
    <x v="0"/>
    <n v="43562"/>
    <x v="2"/>
  </r>
  <r>
    <x v="2"/>
    <x v="3"/>
    <x v="5"/>
    <n v="3105"/>
    <n v="138"/>
    <x v="16"/>
    <s v="Drip"/>
    <x v="118"/>
    <n v="55"/>
    <x v="0"/>
    <n v="200000"/>
    <x v="2"/>
  </r>
  <r>
    <x v="3"/>
    <x v="3"/>
    <x v="6"/>
    <n v="3105"/>
    <n v="139"/>
    <x v="16"/>
    <s v="Drip"/>
    <x v="119"/>
    <n v="53"/>
    <x v="0"/>
    <n v="4847"/>
    <x v="2"/>
  </r>
  <r>
    <x v="4"/>
    <x v="3"/>
    <x v="7"/>
    <n v="3105"/>
    <n v="140"/>
    <x v="16"/>
    <s v="Drip"/>
    <x v="120"/>
    <n v="53.5"/>
    <x v="0"/>
    <n v="51239"/>
    <x v="2"/>
  </r>
  <r>
    <x v="5"/>
    <x v="3"/>
    <x v="8"/>
    <n v="236"/>
    <n v="141"/>
    <x v="16"/>
    <s v="Drip"/>
    <x v="121"/>
    <n v="52.5"/>
    <x v="0"/>
    <n v="216396"/>
    <x v="2"/>
  </r>
  <r>
    <x v="6"/>
    <x v="3"/>
    <x v="9"/>
    <n v="236"/>
    <n v="142"/>
    <x v="16"/>
    <s v="Drip"/>
    <x v="122"/>
    <n v="56"/>
    <x v="0"/>
    <n v="2644"/>
    <x v="2"/>
  </r>
  <r>
    <x v="0"/>
    <x v="3"/>
    <x v="10"/>
    <n v="2903.1"/>
    <n v="143"/>
    <x v="16"/>
    <s v="Drip"/>
    <x v="105"/>
    <n v="57"/>
    <x v="0"/>
    <n v="44235"/>
    <x v="2"/>
  </r>
  <r>
    <x v="7"/>
    <x v="3"/>
    <x v="11"/>
    <n v="2903.1"/>
    <n v="144"/>
    <x v="16"/>
    <s v="Drip"/>
    <x v="123"/>
    <n v="57.5"/>
    <x v="0"/>
    <n v="203317"/>
    <x v="2"/>
  </r>
  <r>
    <x v="8"/>
    <x v="3"/>
    <x v="12"/>
    <n v="2903.1"/>
    <n v="145"/>
    <x v="16"/>
    <s v="Drip"/>
    <x v="0"/>
    <n v="57"/>
    <x v="0"/>
    <n v="2134"/>
    <x v="2"/>
  </r>
  <r>
    <x v="9"/>
    <x v="3"/>
    <x v="13"/>
    <n v="2996.6"/>
    <n v="146"/>
    <x v="3"/>
    <s v="Drip"/>
    <x v="1"/>
    <n v="55"/>
    <x v="0"/>
    <n v="45186"/>
    <x v="2"/>
  </r>
  <r>
    <x v="10"/>
    <x v="3"/>
    <x v="14"/>
    <n v="2996.6"/>
    <n v="147"/>
    <x v="3"/>
    <s v="Drip"/>
    <x v="2"/>
    <n v="56"/>
    <x v="0"/>
    <n v="238542"/>
    <x v="2"/>
  </r>
  <r>
    <x v="11"/>
    <x v="3"/>
    <x v="15"/>
    <n v="2996.6"/>
    <n v="148"/>
    <x v="3"/>
    <s v="Drip"/>
    <x v="3"/>
    <n v="54"/>
    <x v="0"/>
    <n v="1516"/>
    <x v="2"/>
  </r>
  <r>
    <x v="12"/>
    <x v="3"/>
    <x v="16"/>
    <n v="3296"/>
    <n v="149"/>
    <x v="3"/>
    <s v="Drip"/>
    <x v="4"/>
    <n v="58"/>
    <x v="0"/>
    <n v="200000"/>
    <x v="2"/>
  </r>
  <r>
    <x v="13"/>
    <x v="3"/>
    <x v="17"/>
    <n v="3550"/>
    <n v="150"/>
    <x v="3"/>
    <s v="Drip"/>
    <x v="5"/>
    <n v="58"/>
    <x v="0"/>
    <n v="4847"/>
    <x v="2"/>
  </r>
  <r>
    <x v="14"/>
    <x v="3"/>
    <x v="18"/>
    <n v="3550"/>
    <n v="151"/>
    <x v="3"/>
    <s v="Drip"/>
    <x v="6"/>
    <n v="59"/>
    <x v="0"/>
    <n v="51239"/>
    <x v="2"/>
  </r>
  <r>
    <x v="1"/>
    <x v="3"/>
    <x v="19"/>
    <n v="3550"/>
    <n v="152"/>
    <x v="3"/>
    <s v="Drip"/>
    <x v="7"/>
    <n v="50"/>
    <x v="6"/>
    <n v="216396"/>
    <x v="2"/>
  </r>
  <r>
    <x v="2"/>
    <x v="3"/>
    <x v="20"/>
    <n v="3654"/>
    <n v="153"/>
    <x v="3"/>
    <s v="Drip"/>
    <x v="8"/>
    <n v="54"/>
    <x v="6"/>
    <n v="2644"/>
    <x v="2"/>
  </r>
  <r>
    <x v="3"/>
    <x v="4"/>
    <x v="21"/>
    <n v="3654"/>
    <n v="154"/>
    <x v="3"/>
    <s v="Drip"/>
    <x v="9"/>
    <n v="53"/>
    <x v="6"/>
    <n v="44235"/>
    <x v="2"/>
  </r>
  <r>
    <x v="4"/>
    <x v="4"/>
    <x v="22"/>
    <n v="3654"/>
    <n v="155"/>
    <x v="3"/>
    <s v="Basin"/>
    <x v="10"/>
    <n v="59.5"/>
    <x v="6"/>
    <n v="203317"/>
    <x v="2"/>
  </r>
  <r>
    <x v="5"/>
    <x v="4"/>
    <x v="23"/>
    <n v="233"/>
    <n v="156"/>
    <x v="3"/>
    <s v="Basin"/>
    <x v="11"/>
    <n v="55"/>
    <x v="6"/>
    <n v="2134"/>
    <x v="2"/>
  </r>
  <r>
    <x v="0"/>
    <x v="4"/>
    <x v="24"/>
    <n v="233"/>
    <n v="157"/>
    <x v="3"/>
    <s v="Basin"/>
    <x v="12"/>
    <n v="53"/>
    <x v="6"/>
    <n v="45186"/>
    <x v="2"/>
  </r>
  <r>
    <x v="0"/>
    <x v="4"/>
    <x v="25"/>
    <n v="233"/>
    <n v="158"/>
    <x v="3"/>
    <s v="Basin"/>
    <x v="13"/>
    <n v="53.5"/>
    <x v="6"/>
    <n v="238542"/>
    <x v="2"/>
  </r>
  <r>
    <x v="0"/>
    <x v="4"/>
    <x v="26"/>
    <n v="234"/>
    <n v="159"/>
    <x v="3"/>
    <s v="Basin"/>
    <x v="0"/>
    <n v="52.5"/>
    <x v="6"/>
    <n v="1516"/>
    <x v="2"/>
  </r>
  <r>
    <x v="0"/>
    <x v="4"/>
    <x v="27"/>
    <n v="234"/>
    <n v="160"/>
    <x v="3"/>
    <s v="Basin"/>
    <x v="1"/>
    <n v="56"/>
    <x v="6"/>
    <n v="57259"/>
    <x v="2"/>
  </r>
  <r>
    <x v="0"/>
    <x v="4"/>
    <x v="28"/>
    <n v="234"/>
    <n v="161"/>
    <x v="3"/>
    <s v="Basin"/>
    <x v="2"/>
    <n v="57"/>
    <x v="6"/>
    <n v="234779"/>
    <x v="2"/>
  </r>
  <r>
    <x v="0"/>
    <x v="4"/>
    <x v="29"/>
    <n v="3105"/>
    <n v="162"/>
    <x v="3"/>
    <s v="Basin"/>
    <x v="3"/>
    <n v="57.5"/>
    <x v="6"/>
    <n v="1493"/>
    <x v="2"/>
  </r>
  <r>
    <x v="0"/>
    <x v="4"/>
    <x v="30"/>
    <n v="3105"/>
    <n v="163"/>
    <x v="3"/>
    <s v="Basin"/>
    <x v="4"/>
    <n v="57"/>
    <x v="6"/>
    <n v="64409"/>
    <x v="2"/>
  </r>
  <r>
    <x v="0"/>
    <x v="4"/>
    <x v="31"/>
    <n v="3105"/>
    <n v="164"/>
    <x v="3"/>
    <s v="Basin"/>
    <x v="5"/>
    <n v="55"/>
    <x v="6"/>
    <n v="249978"/>
    <x v="2"/>
  </r>
  <r>
    <x v="0"/>
    <x v="4"/>
    <x v="32"/>
    <n v="236"/>
    <n v="165"/>
    <x v="3"/>
    <s v="Basin"/>
    <x v="6"/>
    <n v="56"/>
    <x v="6"/>
    <n v="637"/>
    <x v="2"/>
  </r>
  <r>
    <x v="0"/>
    <x v="4"/>
    <x v="33"/>
    <n v="236"/>
    <n v="166"/>
    <x v="3"/>
    <s v="Basin"/>
    <x v="7"/>
    <n v="54"/>
    <x v="6"/>
    <n v="43311"/>
    <x v="2"/>
  </r>
  <r>
    <x v="0"/>
    <x v="4"/>
    <x v="34"/>
    <n v="2903.1"/>
    <n v="167"/>
    <x v="3"/>
    <s v="Drip"/>
    <x v="8"/>
    <n v="57"/>
    <x v="0"/>
    <n v="200000"/>
    <x v="2"/>
  </r>
  <r>
    <x v="0"/>
    <x v="4"/>
    <x v="35"/>
    <n v="2903.1"/>
    <n v="168"/>
    <x v="3"/>
    <s v="Drip"/>
    <x v="9"/>
    <n v="57.5"/>
    <x v="0"/>
    <n v="4847"/>
    <x v="2"/>
  </r>
  <r>
    <x v="0"/>
    <x v="4"/>
    <x v="36"/>
    <n v="2903.1"/>
    <n v="169"/>
    <x v="3"/>
    <s v="Drip"/>
    <x v="10"/>
    <n v="57"/>
    <x v="0"/>
    <n v="51239"/>
    <x v="2"/>
  </r>
  <r>
    <x v="0"/>
    <x v="4"/>
    <x v="37"/>
    <n v="2996.6"/>
    <n v="170"/>
    <x v="3"/>
    <s v="Drip"/>
    <x v="11"/>
    <n v="55"/>
    <x v="0"/>
    <n v="216396"/>
    <x v="2"/>
  </r>
  <r>
    <x v="0"/>
    <x v="4"/>
    <x v="38"/>
    <n v="2996.6"/>
    <n v="171"/>
    <x v="3"/>
    <s v="Drip"/>
    <x v="12"/>
    <n v="56"/>
    <x v="0"/>
    <n v="2644"/>
    <x v="2"/>
  </r>
  <r>
    <x v="0"/>
    <x v="4"/>
    <x v="39"/>
    <n v="2996.6"/>
    <n v="172"/>
    <x v="3"/>
    <s v="Drip"/>
    <x v="13"/>
    <n v="54"/>
    <x v="0"/>
    <n v="44235"/>
    <x v="2"/>
  </r>
  <r>
    <x v="0"/>
    <x v="4"/>
    <x v="40"/>
    <n v="2903.1"/>
    <n v="173"/>
    <x v="3"/>
    <s v="Drip"/>
    <x v="14"/>
    <n v="58"/>
    <x v="0"/>
    <n v="203317"/>
    <x v="2"/>
  </r>
  <r>
    <x v="0"/>
    <x v="4"/>
    <x v="41"/>
    <n v="2903.1"/>
    <n v="174"/>
    <x v="3"/>
    <s v="Drip"/>
    <x v="15"/>
    <n v="58"/>
    <x v="0"/>
    <n v="2134"/>
    <x v="2"/>
  </r>
  <r>
    <x v="0"/>
    <x v="4"/>
    <x v="42"/>
    <n v="2903.1"/>
    <n v="175"/>
    <x v="3"/>
    <s v="Drip"/>
    <x v="16"/>
    <n v="59"/>
    <x v="0"/>
    <n v="45186"/>
    <x v="2"/>
  </r>
  <r>
    <x v="0"/>
    <x v="4"/>
    <x v="43"/>
    <n v="2996.6"/>
    <n v="176"/>
    <x v="3"/>
    <s v="Drip"/>
    <x v="17"/>
    <n v="50"/>
    <x v="0"/>
    <n v="238542"/>
    <x v="2"/>
  </r>
  <r>
    <x v="0"/>
    <x v="4"/>
    <x v="44"/>
    <n v="2996.6"/>
    <n v="177"/>
    <x v="17"/>
    <s v="Drip"/>
    <x v="18"/>
    <n v="54"/>
    <x v="0"/>
    <n v="1516"/>
    <x v="2"/>
  </r>
  <r>
    <x v="0"/>
    <x v="4"/>
    <x v="45"/>
    <n v="2996.6"/>
    <n v="178"/>
    <x v="17"/>
    <s v="Drip"/>
    <x v="19"/>
    <n v="53"/>
    <x v="0"/>
    <n v="57259"/>
    <x v="2"/>
  </r>
  <r>
    <x v="0"/>
    <x v="4"/>
    <x v="46"/>
    <n v="3522.8"/>
    <n v="179"/>
    <x v="17"/>
    <s v="Drip"/>
    <x v="20"/>
    <n v="52"/>
    <x v="0"/>
    <n v="234779"/>
    <x v="2"/>
  </r>
  <r>
    <x v="0"/>
    <x v="4"/>
    <x v="47"/>
    <n v="3522.8"/>
    <n v="180"/>
    <x v="17"/>
    <s v="Drip"/>
    <x v="21"/>
    <n v="51"/>
    <x v="0"/>
    <n v="1493"/>
    <x v="2"/>
  </r>
  <r>
    <x v="0"/>
    <x v="4"/>
    <x v="48"/>
    <n v="3522.8"/>
    <n v="181"/>
    <x v="17"/>
    <s v="Drip"/>
    <x v="22"/>
    <n v="57"/>
    <x v="0"/>
    <n v="64409"/>
    <x v="2"/>
  </r>
  <r>
    <x v="0"/>
    <x v="4"/>
    <x v="49"/>
    <n v="3729.8"/>
    <n v="182"/>
    <x v="17"/>
    <s v="Drip"/>
    <x v="23"/>
    <n v="57"/>
    <x v="0"/>
    <n v="249978"/>
    <x v="2"/>
  </r>
  <r>
    <x v="0"/>
    <x v="4"/>
    <x v="50"/>
    <n v="3729.8"/>
    <n v="183"/>
    <x v="17"/>
    <s v="Drip"/>
    <x v="24"/>
    <n v="60"/>
    <x v="0"/>
    <n v="637"/>
    <x v="2"/>
  </r>
  <r>
    <x v="0"/>
    <x v="4"/>
    <x v="51"/>
    <n v="3729.8"/>
    <n v="184"/>
    <x v="17"/>
    <s v="Drip"/>
    <x v="25"/>
    <n v="57"/>
    <x v="0"/>
    <n v="43311"/>
    <x v="2"/>
  </r>
  <r>
    <x v="0"/>
    <x v="4"/>
    <x v="52"/>
    <n v="2746.2"/>
    <n v="185"/>
    <x v="17"/>
    <s v="Drip"/>
    <x v="26"/>
    <n v="57"/>
    <x v="0"/>
    <n v="24848"/>
    <x v="2"/>
  </r>
  <r>
    <x v="0"/>
    <x v="4"/>
    <x v="53"/>
    <n v="2746.2"/>
    <n v="186"/>
    <x v="17"/>
    <s v="Drip"/>
    <x v="27"/>
    <n v="54"/>
    <x v="0"/>
    <n v="761"/>
    <x v="2"/>
  </r>
  <r>
    <x v="0"/>
    <x v="4"/>
    <x v="54"/>
    <n v="2746.2"/>
    <n v="187"/>
    <x v="17"/>
    <s v="Drip"/>
    <x v="28"/>
    <n v="54.5"/>
    <x v="0"/>
    <n v="45608"/>
    <x v="2"/>
  </r>
  <r>
    <x v="0"/>
    <x v="4"/>
    <x v="55"/>
    <n v="3360"/>
    <n v="188"/>
    <x v="17"/>
    <s v="Drip"/>
    <x v="29"/>
    <n v="56.6"/>
    <x v="0"/>
    <n v="234581"/>
    <x v="2"/>
  </r>
  <r>
    <x v="0"/>
    <x v="4"/>
    <x v="56"/>
    <n v="3360"/>
    <n v="189"/>
    <x v="17"/>
    <s v="Drip"/>
    <x v="30"/>
    <n v="55.5"/>
    <x v="0"/>
    <n v="646"/>
    <x v="2"/>
  </r>
  <r>
    <x v="0"/>
    <x v="4"/>
    <x v="57"/>
    <n v="3360"/>
    <n v="190"/>
    <x v="17"/>
    <s v="Drip"/>
    <x v="31"/>
    <n v="58.5"/>
    <x v="0"/>
    <n v="43562"/>
    <x v="2"/>
  </r>
  <r>
    <x v="0"/>
    <x v="5"/>
    <x v="58"/>
    <n v="3605.4"/>
    <n v="191"/>
    <x v="17"/>
    <s v="Drip"/>
    <x v="32"/>
    <n v="59.5"/>
    <x v="0"/>
    <n v="200000"/>
    <x v="2"/>
  </r>
  <r>
    <x v="0"/>
    <x v="5"/>
    <x v="59"/>
    <n v="3605.4"/>
    <n v="192"/>
    <x v="17"/>
    <s v="Drip"/>
    <x v="33"/>
    <n v="55"/>
    <x v="0"/>
    <n v="4847"/>
    <x v="2"/>
  </r>
  <r>
    <x v="0"/>
    <x v="5"/>
    <x v="60"/>
    <n v="3605.4"/>
    <n v="193"/>
    <x v="17"/>
    <s v="Drip"/>
    <x v="34"/>
    <n v="53"/>
    <x v="0"/>
    <n v="51239"/>
    <x v="2"/>
  </r>
  <r>
    <x v="0"/>
    <x v="5"/>
    <x v="61"/>
    <n v="3512.4"/>
    <n v="194"/>
    <x v="17"/>
    <s v="Drip"/>
    <x v="35"/>
    <n v="53.5"/>
    <x v="0"/>
    <n v="216396"/>
    <x v="2"/>
  </r>
  <r>
    <x v="0"/>
    <x v="5"/>
    <x v="62"/>
    <n v="3512.4"/>
    <n v="195"/>
    <x v="17"/>
    <s v="Drip"/>
    <x v="36"/>
    <n v="52.5"/>
    <x v="0"/>
    <n v="2644"/>
    <x v="2"/>
  </r>
  <r>
    <x v="0"/>
    <x v="5"/>
    <x v="63"/>
    <n v="3512.4"/>
    <n v="196"/>
    <x v="17"/>
    <s v="Drip"/>
    <x v="37"/>
    <n v="56"/>
    <x v="0"/>
    <n v="44235"/>
    <x v="2"/>
  </r>
  <r>
    <x v="0"/>
    <x v="5"/>
    <x v="64"/>
    <n v="3296"/>
    <n v="197"/>
    <x v="17"/>
    <s v="Drip"/>
    <x v="38"/>
    <n v="57"/>
    <x v="0"/>
    <n v="203317"/>
    <x v="2"/>
  </r>
  <r>
    <x v="0"/>
    <x v="5"/>
    <x v="65"/>
    <n v="3296"/>
    <n v="198"/>
    <x v="17"/>
    <s v="Drip"/>
    <x v="39"/>
    <n v="57.5"/>
    <x v="0"/>
    <n v="2134"/>
    <x v="2"/>
  </r>
  <r>
    <x v="0"/>
    <x v="5"/>
    <x v="62"/>
    <n v="3296"/>
    <n v="199"/>
    <x v="17"/>
    <s v="Drip"/>
    <x v="40"/>
    <n v="57"/>
    <x v="0"/>
    <n v="45186"/>
    <x v="2"/>
  </r>
  <r>
    <x v="0"/>
    <x v="5"/>
    <x v="66"/>
    <n v="3550"/>
    <n v="200"/>
    <x v="17"/>
    <s v="Drip"/>
    <x v="41"/>
    <n v="55"/>
    <x v="0"/>
    <n v="238542"/>
    <x v="2"/>
  </r>
  <r>
    <x v="0"/>
    <x v="5"/>
    <x v="67"/>
    <n v="3550"/>
    <n v="201"/>
    <x v="17"/>
    <s v="Drip"/>
    <x v="42"/>
    <n v="56"/>
    <x v="0"/>
    <n v="1516"/>
    <x v="2"/>
  </r>
  <r>
    <x v="0"/>
    <x v="5"/>
    <x v="68"/>
    <n v="3550"/>
    <n v="202"/>
    <x v="17"/>
    <s v="Drip"/>
    <x v="43"/>
    <n v="54"/>
    <x v="0"/>
    <n v="57259"/>
    <x v="2"/>
  </r>
  <r>
    <x v="0"/>
    <x v="5"/>
    <x v="67"/>
    <n v="3654"/>
    <n v="203"/>
    <x v="17"/>
    <s v="Drip"/>
    <x v="44"/>
    <n v="58"/>
    <x v="0"/>
    <n v="234779"/>
    <x v="2"/>
  </r>
  <r>
    <x v="0"/>
    <x v="5"/>
    <x v="69"/>
    <n v="3654"/>
    <n v="204"/>
    <x v="17"/>
    <s v="Drip"/>
    <x v="45"/>
    <n v="58"/>
    <x v="0"/>
    <n v="1493"/>
    <x v="2"/>
  </r>
  <r>
    <x v="0"/>
    <x v="5"/>
    <x v="70"/>
    <n v="3654"/>
    <n v="205"/>
    <x v="17"/>
    <s v="Drip"/>
    <x v="46"/>
    <n v="59"/>
    <x v="0"/>
    <n v="64409"/>
    <x v="2"/>
  </r>
  <r>
    <x v="0"/>
    <x v="5"/>
    <x v="71"/>
    <n v="233"/>
    <n v="206"/>
    <x v="17"/>
    <s v="Drip"/>
    <x v="47"/>
    <n v="50"/>
    <x v="0"/>
    <n v="249978"/>
    <x v="2"/>
  </r>
  <r>
    <x v="0"/>
    <x v="5"/>
    <x v="64"/>
    <n v="233"/>
    <n v="207"/>
    <x v="17"/>
    <s v="Drip"/>
    <x v="48"/>
    <n v="54"/>
    <x v="0"/>
    <n v="637"/>
    <x v="2"/>
  </r>
  <r>
    <x v="0"/>
    <x v="5"/>
    <x v="63"/>
    <n v="233"/>
    <n v="208"/>
    <x v="17"/>
    <s v="Drip"/>
    <x v="49"/>
    <n v="53"/>
    <x v="0"/>
    <n v="43311"/>
    <x v="2"/>
  </r>
  <r>
    <x v="0"/>
    <x v="5"/>
    <x v="72"/>
    <n v="234"/>
    <n v="209"/>
    <x v="17"/>
    <s v="Drip"/>
    <x v="50"/>
    <n v="52"/>
    <x v="0"/>
    <n v="24848"/>
    <x v="2"/>
  </r>
  <r>
    <x v="0"/>
    <x v="5"/>
    <x v="73"/>
    <n v="234"/>
    <n v="210"/>
    <x v="17"/>
    <s v="Drip"/>
    <x v="51"/>
    <n v="51"/>
    <x v="0"/>
    <n v="761"/>
    <x v="2"/>
  </r>
  <r>
    <x v="0"/>
    <x v="5"/>
    <x v="60"/>
    <n v="234"/>
    <n v="211"/>
    <x v="17"/>
    <s v="Basin"/>
    <x v="52"/>
    <n v="57"/>
    <x v="0"/>
    <n v="45608"/>
    <x v="2"/>
  </r>
  <r>
    <x v="0"/>
    <x v="5"/>
    <x v="74"/>
    <n v="3105"/>
    <n v="212"/>
    <x v="17"/>
    <s v="Basin"/>
    <x v="53"/>
    <n v="57"/>
    <x v="0"/>
    <n v="234581"/>
    <x v="2"/>
  </r>
  <r>
    <x v="0"/>
    <x v="5"/>
    <x v="75"/>
    <n v="3105"/>
    <n v="213"/>
    <x v="17"/>
    <s v="Basin"/>
    <x v="54"/>
    <n v="60"/>
    <x v="0"/>
    <n v="646"/>
    <x v="2"/>
  </r>
  <r>
    <x v="0"/>
    <x v="5"/>
    <x v="76"/>
    <n v="3105"/>
    <n v="214"/>
    <x v="17"/>
    <s v="Basin"/>
    <x v="55"/>
    <n v="57"/>
    <x v="0"/>
    <n v="43562"/>
    <x v="2"/>
  </r>
  <r>
    <x v="0"/>
    <x v="5"/>
    <x v="77"/>
    <n v="236"/>
    <n v="215"/>
    <x v="17"/>
    <s v="Basin"/>
    <x v="56"/>
    <n v="57"/>
    <x v="0"/>
    <n v="200000"/>
    <x v="2"/>
  </r>
  <r>
    <x v="0"/>
    <x v="5"/>
    <x v="78"/>
    <n v="236"/>
    <n v="216"/>
    <x v="17"/>
    <s v="Basin"/>
    <x v="57"/>
    <n v="54"/>
    <x v="0"/>
    <n v="4847"/>
    <x v="2"/>
  </r>
  <r>
    <x v="0"/>
    <x v="5"/>
    <x v="79"/>
    <n v="2903.1"/>
    <n v="217"/>
    <x v="17"/>
    <s v="Basin"/>
    <x v="58"/>
    <n v="54.5"/>
    <x v="0"/>
    <n v="51239"/>
    <x v="2"/>
  </r>
  <r>
    <x v="0"/>
    <x v="5"/>
    <x v="80"/>
    <n v="2903.1"/>
    <n v="218"/>
    <x v="17"/>
    <s v="Basin"/>
    <x v="59"/>
    <n v="56.6"/>
    <x v="0"/>
    <n v="216396"/>
    <x v="2"/>
  </r>
  <r>
    <x v="0"/>
    <x v="5"/>
    <x v="81"/>
    <n v="2903.1"/>
    <n v="219"/>
    <x v="17"/>
    <s v="Basin"/>
    <x v="60"/>
    <n v="55.5"/>
    <x v="0"/>
    <n v="2644"/>
    <x v="2"/>
  </r>
  <r>
    <x v="0"/>
    <x v="5"/>
    <x v="82"/>
    <n v="2996.6"/>
    <n v="220"/>
    <x v="17"/>
    <s v="Basin"/>
    <x v="61"/>
    <n v="58.5"/>
    <x v="0"/>
    <n v="44235"/>
    <x v="2"/>
  </r>
  <r>
    <x v="0"/>
    <x v="8"/>
    <x v="83"/>
    <n v="2996.6"/>
    <n v="221"/>
    <x v="17"/>
    <s v="Basin"/>
    <x v="62"/>
    <n v="59.5"/>
    <x v="0"/>
    <n v="203317"/>
    <x v="2"/>
  </r>
  <r>
    <x v="0"/>
    <x v="8"/>
    <x v="84"/>
    <n v="2996.6"/>
    <n v="222"/>
    <x v="17"/>
    <s v="Basin"/>
    <x v="63"/>
    <n v="55"/>
    <x v="0"/>
    <n v="2134"/>
    <x v="2"/>
  </r>
  <r>
    <x v="0"/>
    <x v="8"/>
    <x v="85"/>
    <n v="3522.8"/>
    <n v="27"/>
    <x v="17"/>
    <s v="Basin"/>
    <x v="64"/>
    <n v="53"/>
    <x v="0"/>
    <n v="45186"/>
    <x v="2"/>
  </r>
  <r>
    <x v="0"/>
    <x v="8"/>
    <x v="86"/>
    <n v="3522.8"/>
    <n v="27"/>
    <x v="17"/>
    <s v="Basin"/>
    <x v="65"/>
    <n v="53.5"/>
    <x v="0"/>
    <n v="238542"/>
    <x v="2"/>
  </r>
  <r>
    <x v="0"/>
    <x v="8"/>
    <x v="87"/>
    <n v="3522.8"/>
    <n v="27"/>
    <x v="17"/>
    <s v="Basin"/>
    <x v="62"/>
    <n v="52.5"/>
    <x v="0"/>
    <n v="1516"/>
    <x v="2"/>
  </r>
  <r>
    <x v="0"/>
    <x v="8"/>
    <x v="88"/>
    <n v="3729.8"/>
    <n v="27"/>
    <x v="17"/>
    <s v="Basin"/>
    <x v="66"/>
    <n v="56"/>
    <x v="0"/>
    <n v="57259"/>
    <x v="2"/>
  </r>
  <r>
    <x v="0"/>
    <x v="8"/>
    <x v="89"/>
    <n v="3729.8"/>
    <n v="27"/>
    <x v="17"/>
    <s v="Basin"/>
    <x v="67"/>
    <n v="57"/>
    <x v="0"/>
    <n v="234779"/>
    <x v="2"/>
  </r>
  <r>
    <x v="0"/>
    <x v="8"/>
    <x v="90"/>
    <n v="3729.8"/>
    <n v="27.2"/>
    <x v="17"/>
    <s v="Basin"/>
    <x v="68"/>
    <n v="57.5"/>
    <x v="0"/>
    <n v="1493"/>
    <x v="2"/>
  </r>
  <r>
    <x v="0"/>
    <x v="8"/>
    <x v="91"/>
    <n v="2746.2"/>
    <n v="27.2"/>
    <x v="17"/>
    <s v="Basin"/>
    <x v="69"/>
    <n v="57"/>
    <x v="0"/>
    <n v="64409"/>
    <x v="2"/>
  </r>
  <r>
    <x v="0"/>
    <x v="8"/>
    <x v="92"/>
    <n v="2746.2"/>
    <n v="27.2"/>
    <x v="17"/>
    <s v="Basin"/>
    <x v="70"/>
    <n v="55"/>
    <x v="0"/>
    <n v="249978"/>
    <x v="2"/>
  </r>
  <r>
    <x v="0"/>
    <x v="8"/>
    <x v="64"/>
    <n v="2746.2"/>
    <n v="27"/>
    <x v="17"/>
    <s v="Basin"/>
    <x v="71"/>
    <n v="56"/>
    <x v="0"/>
    <n v="200000"/>
    <x v="2"/>
  </r>
  <r>
    <x v="0"/>
    <x v="8"/>
    <x v="93"/>
    <n v="3360"/>
    <n v="27"/>
    <x v="17"/>
    <s v="Basin"/>
    <x v="72"/>
    <n v="54"/>
    <x v="0"/>
    <n v="4847"/>
    <x v="2"/>
  </r>
  <r>
    <x v="0"/>
    <x v="8"/>
    <x v="94"/>
    <n v="3360"/>
    <n v="27"/>
    <x v="17"/>
    <s v="Basin"/>
    <x v="73"/>
    <n v="58"/>
    <x v="0"/>
    <n v="51239"/>
    <x v="2"/>
  </r>
  <r>
    <x v="0"/>
    <x v="8"/>
    <x v="95"/>
    <n v="3360"/>
    <n v="27"/>
    <x v="17"/>
    <s v="Basin"/>
    <x v="74"/>
    <n v="58"/>
    <x v="0"/>
    <n v="216396"/>
    <x v="2"/>
  </r>
  <r>
    <x v="0"/>
    <x v="8"/>
    <x v="96"/>
    <n v="3605.4"/>
    <n v="27"/>
    <x v="17"/>
    <s v="Basin"/>
    <x v="75"/>
    <n v="59"/>
    <x v="0"/>
    <n v="2644"/>
    <x v="2"/>
  </r>
  <r>
    <x v="0"/>
    <x v="8"/>
    <x v="97"/>
    <n v="3605.4"/>
    <n v="27"/>
    <x v="17"/>
    <s v="Basin"/>
    <x v="76"/>
    <n v="50"/>
    <x v="0"/>
    <n v="44235"/>
    <x v="2"/>
  </r>
  <r>
    <x v="0"/>
    <x v="8"/>
    <x v="98"/>
    <n v="3605.4"/>
    <n v="27.2"/>
    <x v="17"/>
    <s v="Basin"/>
    <x v="60"/>
    <n v="54"/>
    <x v="0"/>
    <n v="203317"/>
    <x v="2"/>
  </r>
  <r>
    <x v="0"/>
    <x v="8"/>
    <x v="99"/>
    <n v="3512.4"/>
    <n v="27.2"/>
    <x v="17"/>
    <s v="Basin"/>
    <x v="77"/>
    <n v="53"/>
    <x v="0"/>
    <n v="2134"/>
    <x v="2"/>
  </r>
  <r>
    <x v="0"/>
    <x v="8"/>
    <x v="100"/>
    <n v="3512.4"/>
    <n v="27.2"/>
    <x v="17"/>
    <s v="Basin"/>
    <x v="78"/>
    <n v="52"/>
    <x v="0"/>
    <n v="45186"/>
    <x v="2"/>
  </r>
  <r>
    <x v="0"/>
    <x v="8"/>
    <x v="101"/>
    <n v="3512.4"/>
    <n v="27.1"/>
    <x v="17"/>
    <s v="Basin"/>
    <x v="79"/>
    <n v="51"/>
    <x v="0"/>
    <n v="238542"/>
    <x v="2"/>
  </r>
  <r>
    <x v="0"/>
    <x v="8"/>
    <x v="102"/>
    <n v="3296"/>
    <n v="27.1"/>
    <x v="17"/>
    <s v="Basin"/>
    <x v="80"/>
    <n v="57"/>
    <x v="0"/>
    <n v="1516"/>
    <x v="2"/>
  </r>
  <r>
    <x v="0"/>
    <x v="8"/>
    <x v="103"/>
    <n v="3296"/>
    <n v="27.1"/>
    <x v="17"/>
    <s v="Basin"/>
    <x v="81"/>
    <n v="57"/>
    <x v="0"/>
    <n v="57259"/>
    <x v="2"/>
  </r>
  <r>
    <x v="0"/>
    <x v="8"/>
    <x v="104"/>
    <n v="3296"/>
    <n v="26.8"/>
    <x v="17"/>
    <s v="Basin"/>
    <x v="82"/>
    <n v="60"/>
    <x v="0"/>
    <n v="234779"/>
    <x v="2"/>
  </r>
  <r>
    <x v="0"/>
    <x v="8"/>
    <x v="105"/>
    <n v="3550"/>
    <n v="26.8"/>
    <x v="17"/>
    <s v="Basin"/>
    <x v="83"/>
    <n v="57"/>
    <x v="0"/>
    <n v="1493"/>
    <x v="2"/>
  </r>
  <r>
    <x v="0"/>
    <x v="8"/>
    <x v="106"/>
    <n v="3550"/>
    <n v="26.8"/>
    <x v="17"/>
    <s v="Basin"/>
    <x v="84"/>
    <n v="57"/>
    <x v="0"/>
    <n v="64409"/>
    <x v="2"/>
  </r>
  <r>
    <x v="0"/>
    <x v="8"/>
    <x v="107"/>
    <n v="3550"/>
    <n v="37"/>
    <x v="17"/>
    <s v="Basin"/>
    <x v="85"/>
    <n v="54"/>
    <x v="0"/>
    <n v="249978"/>
    <x v="2"/>
  </r>
  <r>
    <x v="0"/>
    <x v="8"/>
    <x v="108"/>
    <n v="3654"/>
    <n v="37"/>
    <x v="17"/>
    <s v="Basin"/>
    <x v="86"/>
    <n v="54.5"/>
    <x v="0"/>
    <n v="637"/>
    <x v="2"/>
  </r>
  <r>
    <x v="0"/>
    <x v="8"/>
    <x v="109"/>
    <n v="3654"/>
    <n v="37"/>
    <x v="17"/>
    <s v="Basin"/>
    <x v="87"/>
    <n v="56.6"/>
    <x v="0"/>
    <n v="43311"/>
    <x v="2"/>
  </r>
  <r>
    <x v="0"/>
    <x v="8"/>
    <x v="110"/>
    <n v="3654"/>
    <n v="38"/>
    <x v="17"/>
    <s v="Basin"/>
    <x v="88"/>
    <n v="55.5"/>
    <x v="0"/>
    <n v="24848"/>
    <x v="2"/>
  </r>
  <r>
    <x v="0"/>
    <x v="8"/>
    <x v="111"/>
    <n v="233"/>
    <n v="38"/>
    <x v="17"/>
    <s v="Basin"/>
    <x v="89"/>
    <n v="58.5"/>
    <x v="0"/>
    <n v="761"/>
    <x v="2"/>
  </r>
  <r>
    <x v="0"/>
    <x v="8"/>
    <x v="112"/>
    <n v="233"/>
    <n v="38"/>
    <x v="17"/>
    <s v="Basin"/>
    <x v="90"/>
    <n v="59.5"/>
    <x v="0"/>
    <n v="45608"/>
    <x v="2"/>
  </r>
  <r>
    <x v="0"/>
    <x v="8"/>
    <x v="113"/>
    <n v="233"/>
    <n v="39"/>
    <x v="17"/>
    <s v="Basin"/>
    <x v="91"/>
    <n v="55"/>
    <x v="0"/>
    <n v="234581"/>
    <x v="2"/>
  </r>
  <r>
    <x v="0"/>
    <x v="8"/>
    <x v="114"/>
    <n v="2903.1"/>
    <n v="39"/>
    <x v="17"/>
    <s v="Basin"/>
    <x v="92"/>
    <n v="53"/>
    <x v="0"/>
    <n v="646"/>
    <x v="2"/>
  </r>
  <r>
    <x v="0"/>
    <x v="8"/>
    <x v="115"/>
    <n v="2903.1"/>
    <n v="39"/>
    <x v="17"/>
    <s v="Spray"/>
    <x v="93"/>
    <n v="53.5"/>
    <x v="0"/>
    <n v="43562"/>
    <x v="2"/>
  </r>
  <r>
    <x v="0"/>
    <x v="8"/>
    <x v="116"/>
    <n v="2903.1"/>
    <n v="40"/>
    <x v="17"/>
    <s v="Spray"/>
    <x v="94"/>
    <n v="52.5"/>
    <x v="0"/>
    <n v="200000"/>
    <x v="2"/>
  </r>
  <r>
    <x v="0"/>
    <x v="8"/>
    <x v="117"/>
    <n v="2996.6"/>
    <n v="40"/>
    <x v="17"/>
    <s v="Spray"/>
    <x v="95"/>
    <n v="56"/>
    <x v="0"/>
    <n v="4847"/>
    <x v="2"/>
  </r>
  <r>
    <x v="0"/>
    <x v="8"/>
    <x v="118"/>
    <n v="2996.6"/>
    <n v="40"/>
    <x v="17"/>
    <s v="Spray"/>
    <x v="96"/>
    <n v="57"/>
    <x v="0"/>
    <n v="51239"/>
    <x v="2"/>
  </r>
  <r>
    <x v="0"/>
    <x v="8"/>
    <x v="119"/>
    <n v="2996.6"/>
    <n v="41"/>
    <x v="17"/>
    <s v="Spray"/>
    <x v="97"/>
    <n v="57.5"/>
    <x v="0"/>
    <n v="216396"/>
    <x v="2"/>
  </r>
  <r>
    <x v="0"/>
    <x v="8"/>
    <x v="120"/>
    <n v="3522.8"/>
    <n v="41"/>
    <x v="17"/>
    <s v="Spray"/>
    <x v="98"/>
    <n v="57"/>
    <x v="0"/>
    <n v="2644"/>
    <x v="2"/>
  </r>
  <r>
    <x v="0"/>
    <x v="8"/>
    <x v="12"/>
    <n v="3522.8"/>
    <n v="41"/>
    <x v="17"/>
    <s v="Spray"/>
    <x v="99"/>
    <n v="55"/>
    <x v="0"/>
    <n v="44235"/>
    <x v="2"/>
  </r>
  <r>
    <x v="0"/>
    <x v="8"/>
    <x v="121"/>
    <n v="3522.8"/>
    <n v="42"/>
    <x v="17"/>
    <s v="Spray"/>
    <x v="100"/>
    <n v="56"/>
    <x v="0"/>
    <n v="203317"/>
    <x v="2"/>
  </r>
  <r>
    <x v="0"/>
    <x v="8"/>
    <x v="122"/>
    <n v="3729.8"/>
    <n v="42"/>
    <x v="17"/>
    <s v="Spray"/>
    <x v="101"/>
    <n v="54"/>
    <x v="0"/>
    <n v="2134"/>
    <x v="2"/>
  </r>
  <r>
    <x v="0"/>
    <x v="8"/>
    <x v="123"/>
    <n v="3729.8"/>
    <n v="42"/>
    <x v="17"/>
    <s v="Spray"/>
    <x v="102"/>
    <n v="58"/>
    <x v="0"/>
    <n v="45186"/>
    <x v="2"/>
  </r>
  <r>
    <x v="0"/>
    <x v="8"/>
    <x v="9"/>
    <n v="3729.8"/>
    <n v="43"/>
    <x v="17"/>
    <s v="Spray"/>
    <x v="102"/>
    <n v="58"/>
    <x v="0"/>
    <n v="238542"/>
    <x v="2"/>
  </r>
  <r>
    <x v="0"/>
    <x v="8"/>
    <x v="124"/>
    <n v="2746.2"/>
    <n v="43"/>
    <x v="17"/>
    <s v="Spray"/>
    <x v="103"/>
    <n v="59"/>
    <x v="0"/>
    <n v="1516"/>
    <x v="2"/>
  </r>
  <r>
    <x v="0"/>
    <x v="8"/>
    <x v="125"/>
    <n v="2746.2"/>
    <n v="27"/>
    <x v="17"/>
    <s v="Spray"/>
    <x v="104"/>
    <n v="50"/>
    <x v="0"/>
    <n v="57259"/>
    <x v="2"/>
  </r>
  <r>
    <x v="0"/>
    <x v="8"/>
    <x v="126"/>
    <n v="2746.2"/>
    <n v="27"/>
    <x v="17"/>
    <s v="Spray"/>
    <x v="105"/>
    <n v="54"/>
    <x v="0"/>
    <n v="234779"/>
    <x v="2"/>
  </r>
  <r>
    <x v="0"/>
    <x v="8"/>
    <x v="127"/>
    <n v="3360"/>
    <n v="27"/>
    <x v="17"/>
    <s v="Spray"/>
    <x v="106"/>
    <n v="53"/>
    <x v="0"/>
    <n v="1493"/>
    <x v="2"/>
  </r>
  <r>
    <x v="0"/>
    <x v="8"/>
    <x v="128"/>
    <n v="3360"/>
    <n v="27"/>
    <x v="17"/>
    <s v="Spray"/>
    <x v="107"/>
    <n v="52"/>
    <x v="0"/>
    <n v="64409"/>
    <x v="2"/>
  </r>
  <r>
    <x v="0"/>
    <x v="8"/>
    <x v="129"/>
    <n v="3360"/>
    <n v="27"/>
    <x v="17"/>
    <s v="Spray"/>
    <x v="108"/>
    <n v="51"/>
    <x v="0"/>
    <n v="249978"/>
    <x v="2"/>
  </r>
  <r>
    <x v="0"/>
    <x v="8"/>
    <x v="130"/>
    <n v="3605.4"/>
    <n v="27"/>
    <x v="17"/>
    <s v="Spray"/>
    <x v="109"/>
    <n v="57"/>
    <x v="0"/>
    <n v="637"/>
    <x v="2"/>
  </r>
  <r>
    <x v="0"/>
    <x v="8"/>
    <x v="131"/>
    <n v="3605.4"/>
    <n v="27.2"/>
    <x v="17"/>
    <s v="Spray"/>
    <x v="110"/>
    <n v="57"/>
    <x v="0"/>
    <n v="43311"/>
    <x v="2"/>
  </r>
  <r>
    <x v="0"/>
    <x v="8"/>
    <x v="132"/>
    <n v="3605.4"/>
    <n v="27.2"/>
    <x v="17"/>
    <s v="Spray"/>
    <x v="111"/>
    <n v="60"/>
    <x v="0"/>
    <n v="24848"/>
    <x v="2"/>
  </r>
  <r>
    <x v="0"/>
    <x v="8"/>
    <x v="133"/>
    <n v="3512.4"/>
    <n v="27.2"/>
    <x v="17"/>
    <s v="Spray"/>
    <x v="112"/>
    <n v="57"/>
    <x v="0"/>
    <n v="761"/>
    <x v="2"/>
  </r>
  <r>
    <x v="0"/>
    <x v="8"/>
    <x v="134"/>
    <n v="3512.4"/>
    <n v="27"/>
    <x v="17"/>
    <s v="Spray"/>
    <x v="113"/>
    <n v="57"/>
    <x v="0"/>
    <n v="45608"/>
    <x v="2"/>
  </r>
  <r>
    <x v="0"/>
    <x v="8"/>
    <x v="135"/>
    <n v="3512.4"/>
    <n v="27"/>
    <x v="17"/>
    <s v="Spray"/>
    <x v="114"/>
    <n v="54"/>
    <x v="0"/>
    <n v="234581"/>
    <x v="2"/>
  </r>
  <r>
    <x v="0"/>
    <x v="8"/>
    <x v="136"/>
    <n v="3296"/>
    <n v="27"/>
    <x v="8"/>
    <s v="Spray"/>
    <x v="115"/>
    <n v="54.5"/>
    <x v="0"/>
    <n v="646"/>
    <x v="2"/>
  </r>
  <r>
    <x v="0"/>
    <x v="8"/>
    <x v="137"/>
    <n v="3296"/>
    <n v="27"/>
    <x v="8"/>
    <s v="Spray"/>
    <x v="116"/>
    <n v="56.6"/>
    <x v="0"/>
    <n v="43562"/>
    <x v="2"/>
  </r>
  <r>
    <x v="0"/>
    <x v="8"/>
    <x v="138"/>
    <n v="3296"/>
    <n v="27"/>
    <x v="8"/>
    <s v="Spray"/>
    <x v="117"/>
    <n v="55.5"/>
    <x v="0"/>
    <n v="200000"/>
    <x v="2"/>
  </r>
  <r>
    <x v="0"/>
    <x v="8"/>
    <x v="139"/>
    <n v="3550"/>
    <n v="27"/>
    <x v="8"/>
    <s v="Spray"/>
    <x v="118"/>
    <n v="58.5"/>
    <x v="0"/>
    <n v="4847"/>
    <x v="2"/>
  </r>
  <r>
    <x v="0"/>
    <x v="8"/>
    <x v="140"/>
    <n v="3550"/>
    <n v="27.2"/>
    <x v="8"/>
    <s v="Spray"/>
    <x v="119"/>
    <n v="59.5"/>
    <x v="0"/>
    <n v="51239"/>
    <x v="2"/>
  </r>
  <r>
    <x v="0"/>
    <x v="8"/>
    <x v="141"/>
    <n v="3550"/>
    <n v="27.2"/>
    <x v="8"/>
    <s v="Spray"/>
    <x v="120"/>
    <n v="55"/>
    <x v="0"/>
    <n v="216396"/>
    <x v="2"/>
  </r>
  <r>
    <x v="0"/>
    <x v="8"/>
    <x v="0"/>
    <n v="3654"/>
    <n v="27.2"/>
    <x v="8"/>
    <s v="Spray"/>
    <x v="121"/>
    <n v="53"/>
    <x v="0"/>
    <n v="2644"/>
    <x v="2"/>
  </r>
  <r>
    <x v="0"/>
    <x v="8"/>
    <x v="1"/>
    <n v="3654"/>
    <n v="27.1"/>
    <x v="8"/>
    <s v="Spray"/>
    <x v="122"/>
    <n v="53.5"/>
    <x v="0"/>
    <n v="44235"/>
    <x v="2"/>
  </r>
  <r>
    <x v="0"/>
    <x v="8"/>
    <x v="2"/>
    <n v="3654"/>
    <n v="27.1"/>
    <x v="8"/>
    <s v="Spray"/>
    <x v="105"/>
    <n v="52.5"/>
    <x v="0"/>
    <n v="203317"/>
    <x v="2"/>
  </r>
  <r>
    <x v="1"/>
    <x v="8"/>
    <x v="3"/>
    <n v="233"/>
    <n v="27.1"/>
    <x v="8"/>
    <s v="Spray"/>
    <x v="123"/>
    <n v="56"/>
    <x v="0"/>
    <n v="2134"/>
    <x v="2"/>
  </r>
  <r>
    <x v="2"/>
    <x v="8"/>
    <x v="4"/>
    <n v="233"/>
    <n v="26.8"/>
    <x v="8"/>
    <s v="Spray"/>
    <x v="124"/>
    <n v="57"/>
    <x v="0"/>
    <n v="45186"/>
    <x v="2"/>
  </r>
  <r>
    <x v="3"/>
    <x v="8"/>
    <x v="5"/>
    <n v="233"/>
    <n v="26.8"/>
    <x v="8"/>
    <s v="Spray"/>
    <x v="125"/>
    <n v="57.5"/>
    <x v="0"/>
    <n v="238542"/>
    <x v="2"/>
  </r>
  <r>
    <x v="4"/>
    <x v="8"/>
    <x v="6"/>
    <n v="234"/>
    <n v="26.8"/>
    <x v="8"/>
    <s v="Spray"/>
    <x v="126"/>
    <n v="57"/>
    <x v="0"/>
    <n v="1516"/>
    <x v="2"/>
  </r>
  <r>
    <x v="5"/>
    <x v="8"/>
    <x v="7"/>
    <n v="234"/>
    <n v="37"/>
    <x v="8"/>
    <s v="Spray"/>
    <x v="127"/>
    <n v="55"/>
    <x v="0"/>
    <n v="200000"/>
    <x v="2"/>
  </r>
  <r>
    <x v="6"/>
    <x v="8"/>
    <x v="8"/>
    <n v="234"/>
    <n v="37"/>
    <x v="8"/>
    <s v="Spray"/>
    <x v="128"/>
    <n v="56"/>
    <x v="0"/>
    <n v="4847"/>
    <x v="2"/>
  </r>
  <r>
    <x v="0"/>
    <x v="8"/>
    <x v="9"/>
    <n v="3105"/>
    <n v="37"/>
    <x v="8"/>
    <s v="Spray"/>
    <x v="66"/>
    <n v="54"/>
    <x v="0"/>
    <n v="51239"/>
    <x v="2"/>
  </r>
  <r>
    <x v="7"/>
    <x v="8"/>
    <x v="10"/>
    <n v="3105"/>
    <n v="38"/>
    <x v="8"/>
    <s v="Spray"/>
    <x v="129"/>
    <n v="58"/>
    <x v="0"/>
    <n v="216396"/>
    <x v="2"/>
  </r>
  <r>
    <x v="8"/>
    <x v="8"/>
    <x v="11"/>
    <n v="3105"/>
    <n v="38"/>
    <x v="8"/>
    <s v="Spray"/>
    <x v="130"/>
    <n v="58"/>
    <x v="0"/>
    <n v="2644"/>
    <x v="2"/>
  </r>
  <r>
    <x v="9"/>
    <x v="8"/>
    <x v="12"/>
    <n v="236"/>
    <n v="38"/>
    <x v="8"/>
    <s v="Spray"/>
    <x v="131"/>
    <n v="59"/>
    <x v="0"/>
    <n v="44235"/>
    <x v="2"/>
  </r>
  <r>
    <x v="10"/>
    <x v="8"/>
    <x v="13"/>
    <n v="236"/>
    <n v="39"/>
    <x v="8"/>
    <s v="Spray"/>
    <x v="132"/>
    <n v="50"/>
    <x v="0"/>
    <n v="203317"/>
    <x v="2"/>
  </r>
  <r>
    <x v="11"/>
    <x v="8"/>
    <x v="14"/>
    <n v="2903.1"/>
    <n v="39"/>
    <x v="8"/>
    <s v="Spray"/>
    <x v="124"/>
    <n v="54"/>
    <x v="0"/>
    <n v="2134"/>
    <x v="2"/>
  </r>
  <r>
    <x v="12"/>
    <x v="8"/>
    <x v="15"/>
    <n v="2903.1"/>
    <n v="39"/>
    <x v="8"/>
    <s v="Drip"/>
    <x v="133"/>
    <n v="53"/>
    <x v="1"/>
    <n v="45186"/>
    <x v="2"/>
  </r>
  <r>
    <x v="13"/>
    <x v="6"/>
    <x v="16"/>
    <n v="2903.1"/>
    <n v="40"/>
    <x v="8"/>
    <s v="Drip"/>
    <x v="134"/>
    <n v="52"/>
    <x v="1"/>
    <n v="238542"/>
    <x v="2"/>
  </r>
  <r>
    <x v="14"/>
    <x v="6"/>
    <x v="17"/>
    <n v="2996.6"/>
    <n v="40"/>
    <x v="8"/>
    <s v="Drip"/>
    <x v="135"/>
    <n v="51"/>
    <x v="1"/>
    <n v="1516"/>
    <x v="2"/>
  </r>
  <r>
    <x v="1"/>
    <x v="6"/>
    <x v="18"/>
    <n v="2996.6"/>
    <n v="40"/>
    <x v="8"/>
    <s v="Drip"/>
    <x v="136"/>
    <n v="57"/>
    <x v="1"/>
    <n v="57259"/>
    <x v="2"/>
  </r>
  <r>
    <x v="2"/>
    <x v="6"/>
    <x v="19"/>
    <n v="2996.6"/>
    <n v="41"/>
    <x v="8"/>
    <s v="Drip"/>
    <x v="137"/>
    <n v="57"/>
    <x v="1"/>
    <n v="234779"/>
    <x v="2"/>
  </r>
  <r>
    <x v="3"/>
    <x v="6"/>
    <x v="20"/>
    <n v="3522.8"/>
    <n v="41"/>
    <x v="8"/>
    <s v="Drip"/>
    <x v="138"/>
    <n v="60"/>
    <x v="1"/>
    <n v="1493"/>
    <x v="2"/>
  </r>
  <r>
    <x v="4"/>
    <x v="6"/>
    <x v="21"/>
    <n v="3522.8"/>
    <n v="41"/>
    <x v="8"/>
    <s v="Drip"/>
    <x v="139"/>
    <n v="57"/>
    <x v="2"/>
    <n v="64409"/>
    <x v="2"/>
  </r>
  <r>
    <x v="5"/>
    <x v="6"/>
    <x v="22"/>
    <n v="3522.8"/>
    <n v="42"/>
    <x v="8"/>
    <s v="Drip"/>
    <x v="140"/>
    <n v="57"/>
    <x v="2"/>
    <n v="249978"/>
    <x v="2"/>
  </r>
  <r>
    <x v="6"/>
    <x v="6"/>
    <x v="23"/>
    <n v="3729.8"/>
    <n v="42"/>
    <x v="8"/>
    <s v="Drip"/>
    <x v="141"/>
    <n v="54"/>
    <x v="2"/>
    <n v="637"/>
    <x v="2"/>
  </r>
  <r>
    <x v="0"/>
    <x v="6"/>
    <x v="24"/>
    <n v="3729.8"/>
    <n v="42"/>
    <x v="8"/>
    <s v="Drip"/>
    <x v="142"/>
    <n v="54.5"/>
    <x v="2"/>
    <n v="43311"/>
    <x v="2"/>
  </r>
  <r>
    <x v="7"/>
    <x v="6"/>
    <x v="25"/>
    <n v="3729.8"/>
    <n v="43"/>
    <x v="8"/>
    <s v="Drip"/>
    <x v="143"/>
    <n v="56.6"/>
    <x v="2"/>
    <n v="24848"/>
    <x v="2"/>
  </r>
  <r>
    <x v="8"/>
    <x v="6"/>
    <x v="26"/>
    <n v="2746.2"/>
    <n v="27"/>
    <x v="8"/>
    <s v="Drip"/>
    <x v="144"/>
    <n v="55.5"/>
    <x v="2"/>
    <n v="761"/>
    <x v="2"/>
  </r>
  <r>
    <x v="9"/>
    <x v="6"/>
    <x v="27"/>
    <n v="2746.2"/>
    <n v="27"/>
    <x v="8"/>
    <s v="Drip"/>
    <x v="145"/>
    <n v="58.5"/>
    <x v="2"/>
    <n v="45608"/>
    <x v="2"/>
  </r>
  <r>
    <x v="10"/>
    <x v="6"/>
    <x v="28"/>
    <n v="2746.2"/>
    <n v="27"/>
    <x v="0"/>
    <s v="Drip"/>
    <x v="146"/>
    <n v="59.5"/>
    <x v="2"/>
    <n v="234581"/>
    <x v="2"/>
  </r>
  <r>
    <x v="11"/>
    <x v="6"/>
    <x v="29"/>
    <n v="3360"/>
    <n v="27"/>
    <x v="0"/>
    <s v="Drip"/>
    <x v="147"/>
    <n v="55"/>
    <x v="2"/>
    <n v="646"/>
    <x v="2"/>
  </r>
  <r>
    <x v="12"/>
    <x v="6"/>
    <x v="30"/>
    <n v="3360"/>
    <n v="27"/>
    <x v="0"/>
    <s v="Drip"/>
    <x v="148"/>
    <n v="53"/>
    <x v="2"/>
    <n v="43562"/>
    <x v="2"/>
  </r>
  <r>
    <x v="13"/>
    <x v="6"/>
    <x v="31"/>
    <n v="3360"/>
    <n v="27"/>
    <x v="0"/>
    <s v="Drip"/>
    <x v="149"/>
    <n v="53.5"/>
    <x v="2"/>
    <n v="200000"/>
    <x v="2"/>
  </r>
  <r>
    <x v="14"/>
    <x v="6"/>
    <x v="32"/>
    <n v="3605.4"/>
    <n v="27"/>
    <x v="0"/>
    <s v="Drip"/>
    <x v="150"/>
    <n v="52.5"/>
    <x v="2"/>
    <n v="4847"/>
    <x v="2"/>
  </r>
  <r>
    <x v="1"/>
    <x v="6"/>
    <x v="33"/>
    <n v="3605.4"/>
    <n v="27"/>
    <x v="0"/>
    <s v="Drip"/>
    <x v="151"/>
    <n v="56"/>
    <x v="2"/>
    <n v="51239"/>
    <x v="2"/>
  </r>
  <r>
    <x v="2"/>
    <x v="6"/>
    <x v="34"/>
    <n v="3605.4"/>
    <n v="27.2"/>
    <x v="0"/>
    <s v="Drip"/>
    <x v="152"/>
    <n v="57"/>
    <x v="2"/>
    <n v="216396"/>
    <x v="2"/>
  </r>
  <r>
    <x v="3"/>
    <x v="6"/>
    <x v="35"/>
    <n v="3512.4"/>
    <n v="27.2"/>
    <x v="0"/>
    <s v="Drip"/>
    <x v="153"/>
    <n v="57.5"/>
    <x v="2"/>
    <n v="2644"/>
    <x v="2"/>
  </r>
  <r>
    <x v="4"/>
    <x v="6"/>
    <x v="36"/>
    <n v="3512.4"/>
    <n v="27.2"/>
    <x v="0"/>
    <s v="Drip"/>
    <x v="154"/>
    <n v="57"/>
    <x v="3"/>
    <n v="44235"/>
    <x v="2"/>
  </r>
  <r>
    <x v="5"/>
    <x v="6"/>
    <x v="37"/>
    <n v="3512.4"/>
    <n v="27"/>
    <x v="0"/>
    <s v="Drip"/>
    <x v="155"/>
    <n v="55"/>
    <x v="3"/>
    <n v="203317"/>
    <x v="2"/>
  </r>
  <r>
    <x v="6"/>
    <x v="6"/>
    <x v="38"/>
    <n v="3296"/>
    <n v="27"/>
    <x v="0"/>
    <s v="Drip"/>
    <x v="156"/>
    <n v="56"/>
    <x v="3"/>
    <n v="2134"/>
    <x v="2"/>
  </r>
  <r>
    <x v="0"/>
    <x v="6"/>
    <x v="39"/>
    <n v="3296"/>
    <n v="27"/>
    <x v="0"/>
    <s v="Drip"/>
    <x v="157"/>
    <n v="54"/>
    <x v="3"/>
    <n v="45186"/>
    <x v="2"/>
  </r>
  <r>
    <x v="7"/>
    <x v="6"/>
    <x v="40"/>
    <n v="3296"/>
    <n v="27"/>
    <x v="0"/>
    <s v="Drip"/>
    <x v="158"/>
    <n v="58"/>
    <x v="3"/>
    <n v="238542"/>
    <x v="2"/>
  </r>
  <r>
    <x v="8"/>
    <x v="6"/>
    <x v="41"/>
    <n v="3550"/>
    <n v="27"/>
    <x v="0"/>
    <s v="Drip"/>
    <x v="159"/>
    <n v="58"/>
    <x v="3"/>
    <n v="1516"/>
    <x v="2"/>
  </r>
  <r>
    <x v="9"/>
    <x v="6"/>
    <x v="42"/>
    <n v="3550"/>
    <n v="27"/>
    <x v="0"/>
    <s v="Drip"/>
    <x v="160"/>
    <n v="59"/>
    <x v="3"/>
    <n v="57259"/>
    <x v="2"/>
  </r>
  <r>
    <x v="10"/>
    <x v="6"/>
    <x v="43"/>
    <n v="3550"/>
    <n v="27.2"/>
    <x v="0"/>
    <s v="Drip"/>
    <x v="161"/>
    <n v="50"/>
    <x v="3"/>
    <n v="234779"/>
    <x v="2"/>
  </r>
  <r>
    <x v="11"/>
    <x v="6"/>
    <x v="44"/>
    <n v="3654"/>
    <n v="27.2"/>
    <x v="0"/>
    <s v="Drip"/>
    <x v="131"/>
    <n v="54"/>
    <x v="3"/>
    <n v="1493"/>
    <x v="2"/>
  </r>
  <r>
    <x v="12"/>
    <x v="6"/>
    <x v="45"/>
    <n v="3654"/>
    <n v="27.2"/>
    <x v="0"/>
    <s v="Drip"/>
    <x v="132"/>
    <n v="53"/>
    <x v="3"/>
    <n v="64409"/>
    <x v="2"/>
  </r>
  <r>
    <x v="13"/>
    <x v="6"/>
    <x v="46"/>
    <n v="3654"/>
    <n v="27.1"/>
    <x v="0"/>
    <s v="Drip"/>
    <x v="124"/>
    <n v="52"/>
    <x v="3"/>
    <n v="249978"/>
    <x v="2"/>
  </r>
  <r>
    <x v="14"/>
    <x v="6"/>
    <x v="47"/>
    <n v="233"/>
    <n v="27.1"/>
    <x v="0"/>
    <s v="Drip"/>
    <x v="133"/>
    <n v="51"/>
    <x v="3"/>
    <n v="637"/>
    <x v="2"/>
  </r>
  <r>
    <x v="1"/>
    <x v="6"/>
    <x v="48"/>
    <n v="233"/>
    <n v="27.1"/>
    <x v="0"/>
    <s v="Drip"/>
    <x v="134"/>
    <n v="57"/>
    <x v="3"/>
    <n v="43311"/>
    <x v="2"/>
  </r>
  <r>
    <x v="2"/>
    <x v="6"/>
    <x v="49"/>
    <n v="233"/>
    <n v="26.8"/>
    <x v="0"/>
    <s v="Drip"/>
    <x v="135"/>
    <n v="57"/>
    <x v="3"/>
    <n v="24848"/>
    <x v="2"/>
  </r>
  <r>
    <x v="3"/>
    <x v="6"/>
    <x v="50"/>
    <n v="2903.1"/>
    <n v="26.8"/>
    <x v="0"/>
    <s v="Drip"/>
    <x v="136"/>
    <n v="60"/>
    <x v="3"/>
    <n v="761"/>
    <x v="2"/>
  </r>
  <r>
    <x v="4"/>
    <x v="6"/>
    <x v="51"/>
    <n v="2903.1"/>
    <n v="27.1"/>
    <x v="0"/>
    <s v="Drip"/>
    <x v="137"/>
    <n v="57"/>
    <x v="4"/>
    <n v="45608"/>
    <x v="2"/>
  </r>
  <r>
    <x v="5"/>
    <x v="6"/>
    <x v="52"/>
    <n v="2903.1"/>
    <n v="27.1"/>
    <x v="0"/>
    <s v="Drip"/>
    <x v="138"/>
    <n v="57"/>
    <x v="4"/>
    <n v="234581"/>
    <x v="0"/>
  </r>
  <r>
    <x v="6"/>
    <x v="6"/>
    <x v="53"/>
    <n v="2996.6"/>
    <n v="26.8"/>
    <x v="0"/>
    <s v="Drip"/>
    <x v="139"/>
    <n v="54"/>
    <x v="4"/>
    <n v="646"/>
    <x v="0"/>
  </r>
  <r>
    <x v="0"/>
    <x v="6"/>
    <x v="54"/>
    <n v="2996.6"/>
    <n v="26.8"/>
    <x v="0"/>
    <s v="Drip"/>
    <x v="140"/>
    <n v="54.5"/>
    <x v="4"/>
    <n v="43562"/>
    <x v="0"/>
  </r>
  <r>
    <x v="7"/>
    <x v="6"/>
    <x v="55"/>
    <n v="2996.6"/>
    <n v="26.8"/>
    <x v="0"/>
    <s v="Drip"/>
    <x v="141"/>
    <n v="56.6"/>
    <x v="4"/>
    <n v="200000"/>
    <x v="0"/>
  </r>
  <r>
    <x v="8"/>
    <x v="6"/>
    <x v="56"/>
    <n v="3522.8"/>
    <n v="37"/>
    <x v="0"/>
    <s v="Drip"/>
    <x v="142"/>
    <n v="55.5"/>
    <x v="4"/>
    <n v="4847"/>
    <x v="0"/>
  </r>
  <r>
    <x v="9"/>
    <x v="6"/>
    <x v="57"/>
    <n v="3522.8"/>
    <n v="37"/>
    <x v="0"/>
    <s v="Drip"/>
    <x v="143"/>
    <n v="58.5"/>
    <x v="4"/>
    <n v="51239"/>
    <x v="0"/>
  </r>
  <r>
    <x v="10"/>
    <x v="6"/>
    <x v="58"/>
    <n v="3522.8"/>
    <n v="37"/>
    <x v="1"/>
    <s v="Drip"/>
    <x v="144"/>
    <n v="59.5"/>
    <x v="4"/>
    <n v="216396"/>
    <x v="0"/>
  </r>
  <r>
    <x v="11"/>
    <x v="6"/>
    <x v="59"/>
    <n v="3729.8"/>
    <n v="38"/>
    <x v="1"/>
    <s v="Basin"/>
    <x v="145"/>
    <n v="55"/>
    <x v="4"/>
    <n v="2644"/>
    <x v="0"/>
  </r>
  <r>
    <x v="12"/>
    <x v="6"/>
    <x v="60"/>
    <n v="3729.8"/>
    <n v="38"/>
    <x v="1"/>
    <s v="Basin"/>
    <x v="146"/>
    <n v="53"/>
    <x v="4"/>
    <n v="44235"/>
    <x v="0"/>
  </r>
  <r>
    <x v="13"/>
    <x v="6"/>
    <x v="61"/>
    <n v="3729.8"/>
    <n v="38"/>
    <x v="1"/>
    <s v="Basin"/>
    <x v="147"/>
    <n v="53.5"/>
    <x v="4"/>
    <n v="203317"/>
    <x v="0"/>
  </r>
  <r>
    <x v="14"/>
    <x v="6"/>
    <x v="62"/>
    <n v="2746.2"/>
    <n v="39"/>
    <x v="1"/>
    <s v="Basin"/>
    <x v="148"/>
    <n v="52.5"/>
    <x v="4"/>
    <n v="2134"/>
    <x v="0"/>
  </r>
  <r>
    <x v="1"/>
    <x v="6"/>
    <x v="63"/>
    <n v="2746.2"/>
    <n v="39"/>
    <x v="1"/>
    <s v="Basin"/>
    <x v="149"/>
    <n v="56"/>
    <x v="4"/>
    <n v="45186"/>
    <x v="0"/>
  </r>
  <r>
    <x v="2"/>
    <x v="6"/>
    <x v="64"/>
    <n v="2746.2"/>
    <n v="39"/>
    <x v="1"/>
    <s v="Basin"/>
    <x v="150"/>
    <n v="57"/>
    <x v="4"/>
    <n v="238542"/>
    <x v="0"/>
  </r>
  <r>
    <x v="3"/>
    <x v="6"/>
    <x v="65"/>
    <n v="3360"/>
    <n v="40"/>
    <x v="1"/>
    <s v="Basin"/>
    <x v="151"/>
    <n v="57.5"/>
    <x v="4"/>
    <n v="1516"/>
    <x v="0"/>
  </r>
  <r>
    <x v="4"/>
    <x v="6"/>
    <x v="62"/>
    <n v="3360"/>
    <n v="40"/>
    <x v="1"/>
    <s v="Basin"/>
    <x v="152"/>
    <n v="57"/>
    <x v="5"/>
    <n v="200000"/>
    <x v="0"/>
  </r>
  <r>
    <x v="5"/>
    <x v="6"/>
    <x v="66"/>
    <n v="3360"/>
    <n v="40"/>
    <x v="1"/>
    <s v="Basin"/>
    <x v="153"/>
    <n v="55"/>
    <x v="5"/>
    <n v="4847"/>
    <x v="0"/>
  </r>
  <r>
    <x v="6"/>
    <x v="6"/>
    <x v="67"/>
    <n v="3605.4"/>
    <n v="41"/>
    <x v="1"/>
    <s v="Basin"/>
    <x v="154"/>
    <n v="56"/>
    <x v="5"/>
    <n v="51239"/>
    <x v="0"/>
  </r>
  <r>
    <x v="0"/>
    <x v="6"/>
    <x v="68"/>
    <n v="3605.4"/>
    <n v="41"/>
    <x v="1"/>
    <s v="Basin"/>
    <x v="155"/>
    <n v="54"/>
    <x v="5"/>
    <n v="216396"/>
    <x v="0"/>
  </r>
  <r>
    <x v="7"/>
    <x v="6"/>
    <x v="67"/>
    <n v="3605.4"/>
    <n v="41"/>
    <x v="1"/>
    <s v="Basin"/>
    <x v="156"/>
    <n v="58"/>
    <x v="5"/>
    <n v="2644"/>
    <x v="0"/>
  </r>
  <r>
    <x v="8"/>
    <x v="6"/>
    <x v="69"/>
    <n v="3512.4"/>
    <n v="42"/>
    <x v="1"/>
    <s v="Basin"/>
    <x v="157"/>
    <n v="58"/>
    <x v="5"/>
    <n v="44235"/>
    <x v="0"/>
  </r>
  <r>
    <x v="9"/>
    <x v="6"/>
    <x v="70"/>
    <n v="3512.4"/>
    <n v="42"/>
    <x v="1"/>
    <s v="Basin"/>
    <x v="158"/>
    <n v="59"/>
    <x v="5"/>
    <n v="203317"/>
    <x v="0"/>
  </r>
  <r>
    <x v="10"/>
    <x v="6"/>
    <x v="71"/>
    <n v="3512.4"/>
    <n v="27"/>
    <x v="1"/>
    <s v="Basin"/>
    <x v="159"/>
    <n v="50"/>
    <x v="5"/>
    <n v="2134"/>
    <x v="0"/>
  </r>
  <r>
    <x v="11"/>
    <x v="6"/>
    <x v="64"/>
    <n v="3296"/>
    <n v="27"/>
    <x v="1"/>
    <s v="Basin"/>
    <x v="160"/>
    <n v="54"/>
    <x v="5"/>
    <n v="45186"/>
    <x v="0"/>
  </r>
  <r>
    <x v="12"/>
    <x v="6"/>
    <x v="63"/>
    <n v="3296"/>
    <n v="27"/>
    <x v="1"/>
    <s v="Basin"/>
    <x v="161"/>
    <n v="53"/>
    <x v="5"/>
    <n v="238542"/>
    <x v="0"/>
  </r>
  <r>
    <x v="13"/>
    <x v="6"/>
    <x v="72"/>
    <n v="3296"/>
    <n v="27"/>
    <x v="1"/>
    <s v="Basin"/>
    <x v="131"/>
    <n v="52"/>
    <x v="5"/>
    <n v="1516"/>
    <x v="0"/>
  </r>
  <r>
    <x v="14"/>
    <x v="6"/>
    <x v="73"/>
    <n v="3550"/>
    <n v="27"/>
    <x v="1"/>
    <s v="Basin"/>
    <x v="132"/>
    <n v="51"/>
    <x v="5"/>
    <n v="57259"/>
    <x v="0"/>
  </r>
  <r>
    <x v="1"/>
    <x v="6"/>
    <x v="60"/>
    <n v="3550"/>
    <n v="27"/>
    <x v="1"/>
    <s v="Basin"/>
    <x v="124"/>
    <n v="57"/>
    <x v="5"/>
    <n v="234779"/>
    <x v="0"/>
  </r>
  <r>
    <x v="2"/>
    <x v="6"/>
    <x v="74"/>
    <n v="3550"/>
    <n v="27.2"/>
    <x v="1"/>
    <s v="Basin"/>
    <x v="133"/>
    <n v="57"/>
    <x v="5"/>
    <n v="1493"/>
    <x v="0"/>
  </r>
  <r>
    <x v="3"/>
    <x v="6"/>
    <x v="75"/>
    <n v="3654"/>
    <n v="27.2"/>
    <x v="1"/>
    <s v="Basin"/>
    <x v="134"/>
    <n v="60"/>
    <x v="5"/>
    <n v="64409"/>
    <x v="0"/>
  </r>
  <r>
    <x v="4"/>
    <x v="6"/>
    <x v="76"/>
    <n v="3654"/>
    <n v="27.2"/>
    <x v="1"/>
    <s v="Basin"/>
    <x v="135"/>
    <n v="57"/>
    <x v="6"/>
    <n v="249978"/>
    <x v="0"/>
  </r>
  <r>
    <x v="5"/>
    <x v="6"/>
    <x v="77"/>
    <n v="3654"/>
    <n v="27"/>
    <x v="1"/>
    <s v="Basin"/>
    <x v="136"/>
    <n v="57"/>
    <x v="6"/>
    <n v="637"/>
    <x v="0"/>
  </r>
  <r>
    <x v="6"/>
    <x v="6"/>
    <x v="78"/>
    <n v="233"/>
    <n v="27"/>
    <x v="1"/>
    <s v="Basin"/>
    <x v="137"/>
    <n v="54"/>
    <x v="6"/>
    <n v="43311"/>
    <x v="0"/>
  </r>
  <r>
    <x v="0"/>
    <x v="6"/>
    <x v="79"/>
    <n v="233"/>
    <n v="27"/>
    <x v="1"/>
    <s v="Basin"/>
    <x v="138"/>
    <n v="54.5"/>
    <x v="6"/>
    <n v="24848"/>
    <x v="0"/>
  </r>
  <r>
    <x v="7"/>
    <x v="6"/>
    <x v="80"/>
    <n v="233"/>
    <n v="27"/>
    <x v="1"/>
    <s v="Basin"/>
    <x v="139"/>
    <n v="56.6"/>
    <x v="6"/>
    <n v="761"/>
    <x v="0"/>
  </r>
  <r>
    <x v="8"/>
    <x v="6"/>
    <x v="81"/>
    <n v="234"/>
    <n v="27"/>
    <x v="1"/>
    <s v="Basin"/>
    <x v="140"/>
    <n v="55.5"/>
    <x v="6"/>
    <n v="45608"/>
    <x v="0"/>
  </r>
  <r>
    <x v="9"/>
    <x v="6"/>
    <x v="82"/>
    <n v="234"/>
    <n v="27"/>
    <x v="1"/>
    <s v="Basin"/>
    <x v="141"/>
    <n v="58.5"/>
    <x v="6"/>
    <n v="234581"/>
    <x v="0"/>
  </r>
  <r>
    <x v="10"/>
    <x v="6"/>
    <x v="83"/>
    <n v="234"/>
    <n v="27.2"/>
    <x v="1"/>
    <s v="Basin"/>
    <x v="142"/>
    <n v="59.5"/>
    <x v="6"/>
    <n v="646"/>
    <x v="0"/>
  </r>
  <r>
    <x v="11"/>
    <x v="6"/>
    <x v="84"/>
    <n v="3105"/>
    <n v="27.2"/>
    <x v="1"/>
    <s v="Basin"/>
    <x v="143"/>
    <n v="55"/>
    <x v="6"/>
    <n v="43562"/>
    <x v="0"/>
  </r>
  <r>
    <x v="12"/>
    <x v="6"/>
    <x v="85"/>
    <n v="3105"/>
    <n v="27.2"/>
    <x v="1"/>
    <s v="Basin"/>
    <x v="144"/>
    <n v="53"/>
    <x v="6"/>
    <n v="200000"/>
    <x v="0"/>
  </r>
  <r>
    <x v="13"/>
    <x v="6"/>
    <x v="86"/>
    <n v="3105"/>
    <n v="27.1"/>
    <x v="1"/>
    <s v="Basin"/>
    <x v="145"/>
    <n v="53.5"/>
    <x v="6"/>
    <n v="4847"/>
    <x v="0"/>
  </r>
  <r>
    <x v="14"/>
    <x v="6"/>
    <x v="87"/>
    <n v="236"/>
    <n v="27.1"/>
    <x v="1"/>
    <s v="Basin"/>
    <x v="146"/>
    <n v="52.5"/>
    <x v="6"/>
    <n v="51239"/>
    <x v="0"/>
  </r>
  <r>
    <x v="1"/>
    <x v="6"/>
    <x v="88"/>
    <n v="236"/>
    <n v="27.1"/>
    <x v="1"/>
    <s v="Basin"/>
    <x v="147"/>
    <n v="56"/>
    <x v="6"/>
    <n v="216396"/>
    <x v="0"/>
  </r>
  <r>
    <x v="2"/>
    <x v="6"/>
    <x v="89"/>
    <n v="2903.1"/>
    <n v="26.8"/>
    <x v="7"/>
    <s v="Basin"/>
    <x v="148"/>
    <n v="57"/>
    <x v="6"/>
    <n v="2644"/>
    <x v="0"/>
  </r>
  <r>
    <x v="3"/>
    <x v="6"/>
    <x v="90"/>
    <n v="2903.1"/>
    <n v="26.8"/>
    <x v="7"/>
    <s v="Basin"/>
    <x v="149"/>
    <n v="57.5"/>
    <x v="6"/>
    <n v="44235"/>
    <x v="0"/>
  </r>
  <r>
    <x v="4"/>
    <x v="6"/>
    <x v="91"/>
    <n v="2903.1"/>
    <n v="26.8"/>
    <x v="7"/>
    <s v="Basin"/>
    <x v="150"/>
    <n v="57"/>
    <x v="7"/>
    <n v="203317"/>
    <x v="0"/>
  </r>
  <r>
    <x v="5"/>
    <x v="6"/>
    <x v="92"/>
    <n v="2996.6"/>
    <n v="37"/>
    <x v="7"/>
    <s v="Basin"/>
    <x v="151"/>
    <n v="55"/>
    <x v="7"/>
    <n v="2134"/>
    <x v="0"/>
  </r>
  <r>
    <x v="6"/>
    <x v="6"/>
    <x v="64"/>
    <n v="2996.6"/>
    <n v="37"/>
    <x v="7"/>
    <s v="Basin"/>
    <x v="152"/>
    <n v="56"/>
    <x v="7"/>
    <n v="45186"/>
    <x v="0"/>
  </r>
  <r>
    <x v="0"/>
    <x v="6"/>
    <x v="93"/>
    <n v="2996.6"/>
    <n v="37"/>
    <x v="7"/>
    <s v="Basin"/>
    <x v="153"/>
    <n v="54"/>
    <x v="7"/>
    <n v="238542"/>
    <x v="0"/>
  </r>
  <r>
    <x v="7"/>
    <x v="6"/>
    <x v="94"/>
    <n v="3522.8"/>
    <n v="38"/>
    <x v="7"/>
    <s v="Basin"/>
    <x v="154"/>
    <n v="58"/>
    <x v="7"/>
    <n v="1516"/>
    <x v="0"/>
  </r>
  <r>
    <x v="8"/>
    <x v="6"/>
    <x v="95"/>
    <n v="3522.8"/>
    <n v="38"/>
    <x v="7"/>
    <s v="Basin"/>
    <x v="155"/>
    <n v="58"/>
    <x v="7"/>
    <n v="57259"/>
    <x v="0"/>
  </r>
  <r>
    <x v="9"/>
    <x v="6"/>
    <x v="96"/>
    <n v="3522.8"/>
    <n v="38"/>
    <x v="7"/>
    <s v="Spray"/>
    <x v="156"/>
    <n v="59"/>
    <x v="7"/>
    <n v="234779"/>
    <x v="0"/>
  </r>
  <r>
    <x v="10"/>
    <x v="6"/>
    <x v="97"/>
    <n v="3729.8"/>
    <n v="39"/>
    <x v="7"/>
    <s v="Spray"/>
    <x v="157"/>
    <n v="50"/>
    <x v="7"/>
    <n v="1493"/>
    <x v="0"/>
  </r>
  <r>
    <x v="11"/>
    <x v="6"/>
    <x v="98"/>
    <n v="3729.8"/>
    <n v="39"/>
    <x v="7"/>
    <s v="Spray"/>
    <x v="158"/>
    <n v="54"/>
    <x v="7"/>
    <n v="64409"/>
    <x v="0"/>
  </r>
  <r>
    <x v="12"/>
    <x v="6"/>
    <x v="99"/>
    <n v="3729.8"/>
    <n v="39"/>
    <x v="7"/>
    <s v="Spray"/>
    <x v="159"/>
    <n v="53"/>
    <x v="7"/>
    <n v="249978"/>
    <x v="0"/>
  </r>
  <r>
    <x v="13"/>
    <x v="6"/>
    <x v="100"/>
    <n v="2746.2"/>
    <n v="40"/>
    <x v="7"/>
    <s v="Spray"/>
    <x v="160"/>
    <n v="52"/>
    <x v="7"/>
    <n v="637"/>
    <x v="0"/>
  </r>
  <r>
    <x v="14"/>
    <x v="6"/>
    <x v="101"/>
    <n v="2746.2"/>
    <n v="40"/>
    <x v="7"/>
    <s v="Spray"/>
    <x v="161"/>
    <n v="51"/>
    <x v="7"/>
    <n v="43311"/>
    <x v="0"/>
  </r>
  <r>
    <x v="1"/>
    <x v="6"/>
    <x v="102"/>
    <n v="2746.2"/>
    <n v="40"/>
    <x v="7"/>
    <s v="Spray"/>
    <x v="91"/>
    <n v="57"/>
    <x v="7"/>
    <n v="24848"/>
    <x v="0"/>
  </r>
  <r>
    <x v="2"/>
    <x v="6"/>
    <x v="103"/>
    <n v="3360"/>
    <n v="41"/>
    <x v="7"/>
    <s v="Spray"/>
    <x v="92"/>
    <n v="57"/>
    <x v="7"/>
    <n v="761"/>
    <x v="0"/>
  </r>
  <r>
    <x v="3"/>
    <x v="6"/>
    <x v="104"/>
    <n v="3360"/>
    <n v="41"/>
    <x v="7"/>
    <s v="Spray"/>
    <x v="93"/>
    <n v="60"/>
    <x v="7"/>
    <n v="45608"/>
    <x v="0"/>
  </r>
  <r>
    <x v="4"/>
    <x v="6"/>
    <x v="105"/>
    <n v="3360"/>
    <n v="41"/>
    <x v="7"/>
    <s v="Spray"/>
    <x v="94"/>
    <n v="57"/>
    <x v="8"/>
    <n v="234581"/>
    <x v="0"/>
  </r>
  <r>
    <x v="5"/>
    <x v="6"/>
    <x v="106"/>
    <n v="3605.4"/>
    <n v="42"/>
    <x v="7"/>
    <s v="Spray"/>
    <x v="95"/>
    <n v="57"/>
    <x v="8"/>
    <n v="646"/>
    <x v="0"/>
  </r>
  <r>
    <x v="6"/>
    <x v="6"/>
    <x v="107"/>
    <n v="3605.4"/>
    <n v="42"/>
    <x v="7"/>
    <s v="Spray"/>
    <x v="96"/>
    <n v="54"/>
    <x v="8"/>
    <n v="43562"/>
    <x v="0"/>
  </r>
  <r>
    <x v="0"/>
    <x v="6"/>
    <x v="108"/>
    <n v="3605.4"/>
    <n v="42"/>
    <x v="7"/>
    <s v="Spray"/>
    <x v="97"/>
    <n v="54.5"/>
    <x v="8"/>
    <n v="200000"/>
    <x v="0"/>
  </r>
  <r>
    <x v="7"/>
    <x v="6"/>
    <x v="109"/>
    <n v="3512.4"/>
    <n v="43"/>
    <x v="7"/>
    <s v="Spray"/>
    <x v="98"/>
    <n v="56.6"/>
    <x v="8"/>
    <n v="4847"/>
    <x v="0"/>
  </r>
  <r>
    <x v="8"/>
    <x v="6"/>
    <x v="110"/>
    <n v="3512.4"/>
    <n v="43"/>
    <x v="7"/>
    <s v="Spray"/>
    <x v="99"/>
    <n v="55.5"/>
    <x v="8"/>
    <n v="51239"/>
    <x v="0"/>
  </r>
  <r>
    <x v="9"/>
    <x v="6"/>
    <x v="111"/>
    <n v="3512.4"/>
    <n v="27"/>
    <x v="7"/>
    <s v="Spray"/>
    <x v="100"/>
    <n v="58.5"/>
    <x v="8"/>
    <n v="216396"/>
    <x v="0"/>
  </r>
  <r>
    <x v="10"/>
    <x v="6"/>
    <x v="112"/>
    <n v="3296"/>
    <n v="27"/>
    <x v="7"/>
    <s v="Spray"/>
    <x v="101"/>
    <n v="59.5"/>
    <x v="8"/>
    <n v="2644"/>
    <x v="0"/>
  </r>
  <r>
    <x v="11"/>
    <x v="6"/>
    <x v="113"/>
    <n v="3296"/>
    <n v="27"/>
    <x v="7"/>
    <s v="Spray"/>
    <x v="102"/>
    <n v="55"/>
    <x v="8"/>
    <n v="44235"/>
    <x v="0"/>
  </r>
  <r>
    <x v="12"/>
    <x v="6"/>
    <x v="114"/>
    <n v="3296"/>
    <n v="27"/>
    <x v="7"/>
    <s v="Spray"/>
    <x v="102"/>
    <n v="53"/>
    <x v="8"/>
    <n v="203317"/>
    <x v="0"/>
  </r>
  <r>
    <x v="13"/>
    <x v="0"/>
    <x v="115"/>
    <n v="3550"/>
    <n v="27"/>
    <x v="7"/>
    <s v="Spray"/>
    <x v="103"/>
    <n v="53.5"/>
    <x v="8"/>
    <n v="2134"/>
    <x v="0"/>
  </r>
  <r>
    <x v="14"/>
    <x v="0"/>
    <x v="116"/>
    <n v="3550"/>
    <n v="27"/>
    <x v="7"/>
    <s v="Spray"/>
    <x v="104"/>
    <n v="52.5"/>
    <x v="8"/>
    <n v="45186"/>
    <x v="0"/>
  </r>
  <r>
    <x v="1"/>
    <x v="0"/>
    <x v="117"/>
    <n v="3550"/>
    <n v="27.2"/>
    <x v="7"/>
    <s v="Spray"/>
    <x v="105"/>
    <n v="56"/>
    <x v="8"/>
    <n v="238542"/>
    <x v="0"/>
  </r>
  <r>
    <x v="2"/>
    <x v="0"/>
    <x v="118"/>
    <n v="3654"/>
    <n v="27.2"/>
    <x v="7"/>
    <s v="Spray"/>
    <x v="106"/>
    <n v="57"/>
    <x v="8"/>
    <n v="1516"/>
    <x v="0"/>
  </r>
  <r>
    <x v="3"/>
    <x v="0"/>
    <x v="119"/>
    <n v="3654"/>
    <n v="27.2"/>
    <x v="7"/>
    <s v="Spray"/>
    <x v="107"/>
    <n v="57.5"/>
    <x v="8"/>
    <n v="200000"/>
    <x v="0"/>
  </r>
  <r>
    <x v="4"/>
    <x v="0"/>
    <x v="120"/>
    <n v="3654"/>
    <n v="27"/>
    <x v="7"/>
    <s v="Spray"/>
    <x v="108"/>
    <n v="57"/>
    <x v="9"/>
    <n v="4847"/>
    <x v="0"/>
  </r>
  <r>
    <x v="5"/>
    <x v="0"/>
    <x v="12"/>
    <n v="233"/>
    <n v="27"/>
    <x v="7"/>
    <s v="Spray"/>
    <x v="109"/>
    <n v="55"/>
    <x v="9"/>
    <n v="51239"/>
    <x v="0"/>
  </r>
  <r>
    <x v="6"/>
    <x v="0"/>
    <x v="121"/>
    <n v="233"/>
    <n v="27"/>
    <x v="7"/>
    <s v="Spray"/>
    <x v="110"/>
    <n v="56"/>
    <x v="9"/>
    <n v="216396"/>
    <x v="0"/>
  </r>
  <r>
    <x v="0"/>
    <x v="0"/>
    <x v="122"/>
    <n v="233"/>
    <n v="27"/>
    <x v="7"/>
    <s v="Spray"/>
    <x v="111"/>
    <n v="54"/>
    <x v="9"/>
    <n v="2644"/>
    <x v="0"/>
  </r>
  <r>
    <x v="7"/>
    <x v="0"/>
    <x v="123"/>
    <n v="234"/>
    <n v="27"/>
    <x v="7"/>
    <s v="Spray"/>
    <x v="112"/>
    <n v="58"/>
    <x v="9"/>
    <n v="44235"/>
    <x v="0"/>
  </r>
  <r>
    <x v="8"/>
    <x v="0"/>
    <x v="9"/>
    <n v="234"/>
    <n v="27"/>
    <x v="7"/>
    <s v="Spray"/>
    <x v="113"/>
    <n v="58"/>
    <x v="9"/>
    <n v="203317"/>
    <x v="0"/>
  </r>
  <r>
    <x v="9"/>
    <x v="0"/>
    <x v="124"/>
    <n v="234"/>
    <n v="27.2"/>
    <x v="7"/>
    <s v="Spray"/>
    <x v="114"/>
    <n v="59"/>
    <x v="9"/>
    <n v="2134"/>
    <x v="0"/>
  </r>
  <r>
    <x v="10"/>
    <x v="0"/>
    <x v="125"/>
    <n v="3105"/>
    <n v="27.2"/>
    <x v="7"/>
    <s v="Spray"/>
    <x v="115"/>
    <n v="50"/>
    <x v="9"/>
    <n v="45186"/>
    <x v="0"/>
  </r>
  <r>
    <x v="11"/>
    <x v="0"/>
    <x v="126"/>
    <n v="3105"/>
    <n v="27.2"/>
    <x v="7"/>
    <s v="Spray"/>
    <x v="116"/>
    <n v="54"/>
    <x v="9"/>
    <n v="238542"/>
    <x v="0"/>
  </r>
  <r>
    <x v="12"/>
    <x v="0"/>
    <x v="127"/>
    <n v="3105"/>
    <n v="27.1"/>
    <x v="7"/>
    <s v="Spray"/>
    <x v="117"/>
    <n v="53"/>
    <x v="9"/>
    <n v="1516"/>
    <x v="0"/>
  </r>
  <r>
    <x v="13"/>
    <x v="0"/>
    <x v="128"/>
    <n v="236"/>
    <n v="27.1"/>
    <x v="7"/>
    <s v="Spray"/>
    <x v="118"/>
    <n v="52"/>
    <x v="9"/>
    <n v="57259"/>
    <x v="0"/>
  </r>
  <r>
    <x v="14"/>
    <x v="0"/>
    <x v="129"/>
    <n v="2903.1"/>
    <n v="27.1"/>
    <x v="7"/>
    <s v="Spray"/>
    <x v="119"/>
    <n v="51"/>
    <x v="9"/>
    <n v="234779"/>
    <x v="0"/>
  </r>
  <r>
    <x v="1"/>
    <x v="0"/>
    <x v="130"/>
    <n v="2903.1"/>
    <n v="26.8"/>
    <x v="7"/>
    <s v="Spray"/>
    <x v="120"/>
    <n v="57"/>
    <x v="9"/>
    <n v="1493"/>
    <x v="0"/>
  </r>
  <r>
    <x v="2"/>
    <x v="0"/>
    <x v="131"/>
    <n v="2903.1"/>
    <n v="26.8"/>
    <x v="7"/>
    <s v="Spray"/>
    <x v="121"/>
    <n v="57"/>
    <x v="9"/>
    <n v="64409"/>
    <x v="0"/>
  </r>
  <r>
    <x v="3"/>
    <x v="0"/>
    <x v="132"/>
    <n v="2996.6"/>
    <n v="26.8"/>
    <x v="7"/>
    <s v="Spray"/>
    <x v="122"/>
    <n v="60"/>
    <x v="9"/>
    <n v="249978"/>
    <x v="0"/>
  </r>
  <r>
    <x v="4"/>
    <x v="0"/>
    <x v="133"/>
    <n v="2996.6"/>
    <n v="37"/>
    <x v="7"/>
    <s v="Spray"/>
    <x v="105"/>
    <n v="57"/>
    <x v="10"/>
    <n v="637"/>
    <x v="0"/>
  </r>
  <r>
    <x v="5"/>
    <x v="0"/>
    <x v="134"/>
    <n v="2996.6"/>
    <n v="37"/>
    <x v="7"/>
    <s v="Spray"/>
    <x v="123"/>
    <n v="57"/>
    <x v="10"/>
    <n v="43311"/>
    <x v="0"/>
  </r>
  <r>
    <x v="6"/>
    <x v="0"/>
    <x v="135"/>
    <n v="3522.8"/>
    <n v="37"/>
    <x v="18"/>
    <s v="Spray"/>
    <x v="91"/>
    <n v="54"/>
    <x v="10"/>
    <n v="24848"/>
    <x v="0"/>
  </r>
  <r>
    <x v="0"/>
    <x v="0"/>
    <x v="136"/>
    <n v="3522.8"/>
    <n v="38"/>
    <x v="18"/>
    <s v="Spray"/>
    <x v="92"/>
    <n v="54.5"/>
    <x v="10"/>
    <n v="761"/>
    <x v="0"/>
  </r>
  <r>
    <x v="7"/>
    <x v="0"/>
    <x v="137"/>
    <n v="3522.8"/>
    <n v="38"/>
    <x v="18"/>
    <s v="Spray"/>
    <x v="93"/>
    <n v="56.6"/>
    <x v="10"/>
    <n v="45608"/>
    <x v="0"/>
  </r>
  <r>
    <x v="8"/>
    <x v="0"/>
    <x v="138"/>
    <n v="3729.8"/>
    <n v="38"/>
    <x v="18"/>
    <s v="Drip"/>
    <x v="94"/>
    <n v="55.5"/>
    <x v="10"/>
    <n v="234581"/>
    <x v="0"/>
  </r>
  <r>
    <x v="9"/>
    <x v="0"/>
    <x v="139"/>
    <n v="3729.8"/>
    <n v="39"/>
    <x v="18"/>
    <s v="Drip"/>
    <x v="95"/>
    <n v="58.5"/>
    <x v="10"/>
    <n v="646"/>
    <x v="0"/>
  </r>
  <r>
    <x v="10"/>
    <x v="0"/>
    <x v="140"/>
    <n v="3729.8"/>
    <n v="39"/>
    <x v="18"/>
    <s v="Drip"/>
    <x v="96"/>
    <n v="59.5"/>
    <x v="10"/>
    <n v="43562"/>
    <x v="0"/>
  </r>
  <r>
    <x v="11"/>
    <x v="0"/>
    <x v="141"/>
    <n v="2746.2"/>
    <n v="39"/>
    <x v="18"/>
    <s v="Drip"/>
    <x v="97"/>
    <n v="55"/>
    <x v="10"/>
    <n v="200000"/>
    <x v="0"/>
  </r>
  <r>
    <x v="12"/>
    <x v="0"/>
    <x v="142"/>
    <n v="2746.2"/>
    <n v="40"/>
    <x v="18"/>
    <s v="Drip"/>
    <x v="98"/>
    <n v="53"/>
    <x v="10"/>
    <n v="4847"/>
    <x v="0"/>
  </r>
  <r>
    <x v="13"/>
    <x v="0"/>
    <x v="143"/>
    <n v="2746.2"/>
    <n v="40"/>
    <x v="18"/>
    <s v="Drip"/>
    <x v="99"/>
    <n v="53.5"/>
    <x v="10"/>
    <n v="51239"/>
    <x v="0"/>
  </r>
  <r>
    <x v="14"/>
    <x v="0"/>
    <x v="144"/>
    <n v="3360"/>
    <n v="40"/>
    <x v="18"/>
    <s v="Drip"/>
    <x v="100"/>
    <n v="52.5"/>
    <x v="10"/>
    <n v="216396"/>
    <x v="0"/>
  </r>
  <r>
    <x v="1"/>
    <x v="0"/>
    <x v="145"/>
    <n v="3360"/>
    <n v="41"/>
    <x v="18"/>
    <s v="Drip"/>
    <x v="101"/>
    <n v="56"/>
    <x v="10"/>
    <n v="2644"/>
    <x v="0"/>
  </r>
  <r>
    <x v="2"/>
    <x v="0"/>
    <x v="146"/>
    <n v="3360"/>
    <n v="41"/>
    <x v="18"/>
    <s v="Drip"/>
    <x v="102"/>
    <n v="59.5"/>
    <x v="10"/>
    <n v="44235"/>
    <x v="0"/>
  </r>
  <r>
    <x v="3"/>
    <x v="0"/>
    <x v="147"/>
    <n v="3605.4"/>
    <n v="41"/>
    <x v="18"/>
    <s v="Drip"/>
    <x v="102"/>
    <n v="55"/>
    <x v="10"/>
    <n v="203317"/>
    <x v="0"/>
  </r>
  <r>
    <x v="4"/>
    <x v="0"/>
    <x v="148"/>
    <n v="3605.4"/>
    <n v="42"/>
    <x v="18"/>
    <s v="Drip"/>
    <x v="103"/>
    <n v="53"/>
    <x v="11"/>
    <n v="2134"/>
    <x v="0"/>
  </r>
  <r>
    <x v="5"/>
    <x v="0"/>
    <x v="73"/>
    <n v="3605.4"/>
    <n v="42"/>
    <x v="18"/>
    <s v="Drip"/>
    <x v="104"/>
    <n v="53.5"/>
    <x v="11"/>
    <n v="45186"/>
    <x v="0"/>
  </r>
  <r>
    <x v="6"/>
    <x v="0"/>
    <x v="71"/>
    <n v="3512.4"/>
    <n v="42"/>
    <x v="18"/>
    <s v="Drip"/>
    <x v="105"/>
    <n v="52.5"/>
    <x v="11"/>
    <n v="238542"/>
    <x v="0"/>
  </r>
  <r>
    <x v="0"/>
    <x v="0"/>
    <x v="149"/>
    <n v="3512.4"/>
    <n v="43"/>
    <x v="18"/>
    <s v="Drip"/>
    <x v="106"/>
    <n v="56"/>
    <x v="11"/>
    <n v="1516"/>
    <x v="0"/>
  </r>
  <r>
    <x v="7"/>
    <x v="0"/>
    <x v="150"/>
    <n v="3512.4"/>
    <n v="27"/>
    <x v="18"/>
    <s v="Drip"/>
    <x v="107"/>
    <n v="57"/>
    <x v="11"/>
    <n v="57259"/>
    <x v="0"/>
  </r>
  <r>
    <x v="8"/>
    <x v="0"/>
    <x v="149"/>
    <n v="3296"/>
    <n v="27"/>
    <x v="18"/>
    <s v="Drip"/>
    <x v="108"/>
    <n v="57.5"/>
    <x v="11"/>
    <n v="234779"/>
    <x v="0"/>
  </r>
  <r>
    <x v="9"/>
    <x v="0"/>
    <x v="151"/>
    <n v="3296"/>
    <n v="27"/>
    <x v="18"/>
    <s v="Drip"/>
    <x v="109"/>
    <n v="57"/>
    <x v="11"/>
    <n v="1493"/>
    <x v="0"/>
  </r>
  <r>
    <x v="10"/>
    <x v="0"/>
    <x v="152"/>
    <n v="3296"/>
    <n v="27"/>
    <x v="18"/>
    <s v="Drip"/>
    <x v="110"/>
    <n v="55"/>
    <x v="11"/>
    <n v="64409"/>
    <x v="0"/>
  </r>
  <r>
    <x v="11"/>
    <x v="0"/>
    <x v="151"/>
    <n v="3550"/>
    <n v="27"/>
    <x v="18"/>
    <s v="Drip"/>
    <x v="111"/>
    <n v="56"/>
    <x v="11"/>
    <n v="249978"/>
    <x v="0"/>
  </r>
  <r>
    <x v="12"/>
    <x v="0"/>
    <x v="153"/>
    <n v="3550"/>
    <n v="27"/>
    <x v="18"/>
    <s v="Drip"/>
    <x v="112"/>
    <n v="54"/>
    <x v="11"/>
    <n v="637"/>
    <x v="0"/>
  </r>
  <r>
    <x v="13"/>
    <x v="0"/>
    <x v="154"/>
    <n v="3550"/>
    <n v="27.2"/>
    <x v="18"/>
    <s v="Drip"/>
    <x v="113"/>
    <n v="58"/>
    <x v="11"/>
    <n v="43311"/>
    <x v="0"/>
  </r>
  <r>
    <x v="14"/>
    <x v="0"/>
    <x v="155"/>
    <n v="3654"/>
    <n v="27.2"/>
    <x v="18"/>
    <s v="Drip"/>
    <x v="114"/>
    <n v="58"/>
    <x v="11"/>
    <n v="24848"/>
    <x v="0"/>
  </r>
  <r>
    <x v="1"/>
    <x v="0"/>
    <x v="5"/>
    <n v="3654"/>
    <n v="27.2"/>
    <x v="18"/>
    <s v="Drip"/>
    <x v="115"/>
    <n v="59"/>
    <x v="11"/>
    <n v="761"/>
    <x v="0"/>
  </r>
  <r>
    <x v="2"/>
    <x v="0"/>
    <x v="6"/>
    <n v="3654"/>
    <n v="27"/>
    <x v="18"/>
    <s v="Drip"/>
    <x v="116"/>
    <n v="50"/>
    <x v="11"/>
    <n v="45608"/>
    <x v="0"/>
  </r>
  <r>
    <x v="3"/>
    <x v="0"/>
    <x v="7"/>
    <n v="233"/>
    <n v="27"/>
    <x v="18"/>
    <s v="Drip"/>
    <x v="117"/>
    <n v="54"/>
    <x v="11"/>
    <n v="234581"/>
    <x v="0"/>
  </r>
  <r>
    <x v="4"/>
    <x v="0"/>
    <x v="8"/>
    <n v="233"/>
    <n v="27"/>
    <x v="18"/>
    <s v="Drip"/>
    <x v="118"/>
    <n v="53"/>
    <x v="0"/>
    <n v="646"/>
    <x v="0"/>
  </r>
  <r>
    <x v="5"/>
    <x v="0"/>
    <x v="9"/>
    <n v="233"/>
    <n v="27"/>
    <x v="18"/>
    <s v="Drip"/>
    <x v="119"/>
    <n v="59.5"/>
    <x v="0"/>
    <n v="43562"/>
    <x v="0"/>
  </r>
  <r>
    <x v="6"/>
    <x v="0"/>
    <x v="10"/>
    <n v="234"/>
    <n v="27"/>
    <x v="3"/>
    <s v="Drip"/>
    <x v="120"/>
    <n v="55"/>
    <x v="0"/>
    <n v="200000"/>
    <x v="0"/>
  </r>
  <r>
    <x v="15"/>
    <x v="0"/>
    <x v="11"/>
    <n v="234"/>
    <n v="27"/>
    <x v="3"/>
    <s v="Drip"/>
    <x v="121"/>
    <n v="53"/>
    <x v="0"/>
    <n v="4847"/>
    <x v="0"/>
  </r>
  <r>
    <x v="0"/>
    <x v="0"/>
    <x v="12"/>
    <n v="234"/>
    <n v="27.2"/>
    <x v="3"/>
    <s v="Drip"/>
    <x v="122"/>
    <n v="53.5"/>
    <x v="0"/>
    <n v="51239"/>
    <x v="0"/>
  </r>
  <r>
    <x v="7"/>
    <x v="0"/>
    <x v="13"/>
    <n v="3105"/>
    <n v="27.2"/>
    <x v="3"/>
    <s v="Drip"/>
    <x v="105"/>
    <n v="52.5"/>
    <x v="0"/>
    <n v="216396"/>
    <x v="0"/>
  </r>
  <r>
    <x v="8"/>
    <x v="0"/>
    <x v="14"/>
    <n v="3105"/>
    <n v="27.2"/>
    <x v="3"/>
    <s v="Drip"/>
    <x v="123"/>
    <n v="56"/>
    <x v="0"/>
    <n v="2644"/>
    <x v="1"/>
  </r>
  <r>
    <x v="9"/>
    <x v="0"/>
    <x v="15"/>
    <n v="3105"/>
    <n v="27.1"/>
    <x v="3"/>
    <s v="Drip"/>
    <x v="0"/>
    <n v="57"/>
    <x v="0"/>
    <n v="44235"/>
    <x v="1"/>
  </r>
  <r>
    <x v="10"/>
    <x v="0"/>
    <x v="16"/>
    <n v="236"/>
    <n v="27.1"/>
    <x v="3"/>
    <s v="Drip"/>
    <x v="1"/>
    <n v="57.5"/>
    <x v="0"/>
    <n v="203317"/>
    <x v="1"/>
  </r>
  <r>
    <x v="11"/>
    <x v="0"/>
    <x v="17"/>
    <n v="236"/>
    <n v="27.1"/>
    <x v="3"/>
    <s v="Drip"/>
    <x v="2"/>
    <n v="57"/>
    <x v="0"/>
    <n v="2134"/>
    <x v="1"/>
  </r>
  <r>
    <x v="12"/>
    <x v="0"/>
    <x v="18"/>
    <n v="321"/>
    <n v="26.8"/>
    <x v="3"/>
    <s v="Drip"/>
    <x v="3"/>
    <n v="55"/>
    <x v="0"/>
    <n v="45186"/>
    <x v="1"/>
  </r>
  <r>
    <x v="13"/>
    <x v="0"/>
    <x v="19"/>
    <n v="3654"/>
    <n v="26.8"/>
    <x v="3"/>
    <s v="Drip"/>
    <x v="4"/>
    <n v="56"/>
    <x v="0"/>
    <n v="238542"/>
    <x v="1"/>
  </r>
  <r>
    <x v="14"/>
    <x v="0"/>
    <x v="20"/>
    <n v="323"/>
    <n v="26.8"/>
    <x v="3"/>
    <s v="Drip"/>
    <x v="5"/>
    <n v="54"/>
    <x v="0"/>
    <n v="1516"/>
    <x v="1"/>
  </r>
  <r>
    <x v="1"/>
    <x v="0"/>
    <x v="21"/>
    <n v="324"/>
    <n v="37"/>
    <x v="3"/>
    <s v="Drip"/>
    <x v="6"/>
    <n v="58"/>
    <x v="0"/>
    <n v="200000"/>
    <x v="1"/>
  </r>
  <r>
    <x v="2"/>
    <x v="0"/>
    <x v="22"/>
    <n v="3105"/>
    <n v="37"/>
    <x v="3"/>
    <s v="Drip"/>
    <x v="7"/>
    <n v="58"/>
    <x v="0"/>
    <n v="4847"/>
    <x v="1"/>
  </r>
  <r>
    <x v="3"/>
    <x v="0"/>
    <x v="23"/>
    <n v="326"/>
    <n v="37"/>
    <x v="3"/>
    <s v="Drip"/>
    <x v="8"/>
    <n v="59"/>
    <x v="0"/>
    <n v="51239"/>
    <x v="1"/>
  </r>
  <r>
    <x v="4"/>
    <x v="0"/>
    <x v="24"/>
    <n v="327"/>
    <n v="38"/>
    <x v="3"/>
    <s v="Drip"/>
    <x v="9"/>
    <n v="50"/>
    <x v="6"/>
    <n v="216396"/>
    <x v="1"/>
  </r>
  <r>
    <x v="5"/>
    <x v="0"/>
    <x v="25"/>
    <n v="328"/>
    <n v="38"/>
    <x v="3"/>
    <s v="Drip"/>
    <x v="10"/>
    <n v="54"/>
    <x v="6"/>
    <n v="2644"/>
    <x v="1"/>
  </r>
  <r>
    <x v="6"/>
    <x v="0"/>
    <x v="26"/>
    <n v="2903.1"/>
    <n v="38"/>
    <x v="3"/>
    <s v="Drip"/>
    <x v="11"/>
    <n v="53"/>
    <x v="6"/>
    <n v="44235"/>
    <x v="1"/>
  </r>
  <r>
    <x v="14"/>
    <x v="0"/>
    <x v="27"/>
    <n v="2903.1"/>
    <n v="39"/>
    <x v="3"/>
    <s v="Basin"/>
    <x v="12"/>
    <n v="59.5"/>
    <x v="6"/>
    <n v="203317"/>
    <x v="1"/>
  </r>
  <r>
    <x v="1"/>
    <x v="0"/>
    <x v="28"/>
    <n v="2903.1"/>
    <n v="39"/>
    <x v="3"/>
    <s v="Basin"/>
    <x v="13"/>
    <n v="55"/>
    <x v="6"/>
    <n v="2134"/>
    <x v="1"/>
  </r>
  <r>
    <x v="2"/>
    <x v="0"/>
    <x v="29"/>
    <n v="2996.6"/>
    <n v="39"/>
    <x v="3"/>
    <s v="Basin"/>
    <x v="0"/>
    <n v="53"/>
    <x v="6"/>
    <n v="45186"/>
    <x v="1"/>
  </r>
  <r>
    <x v="3"/>
    <x v="0"/>
    <x v="30"/>
    <n v="2996.6"/>
    <n v="40"/>
    <x v="3"/>
    <s v="Basin"/>
    <x v="1"/>
    <n v="53.5"/>
    <x v="6"/>
    <n v="238542"/>
    <x v="1"/>
  </r>
  <r>
    <x v="4"/>
    <x v="0"/>
    <x v="31"/>
    <n v="2996.6"/>
    <n v="40"/>
    <x v="19"/>
    <s v="Basin"/>
    <x v="2"/>
    <n v="52.5"/>
    <x v="6"/>
    <n v="1516"/>
    <x v="1"/>
  </r>
  <r>
    <x v="5"/>
    <x v="0"/>
    <x v="32"/>
    <n v="3522.8"/>
    <n v="40"/>
    <x v="19"/>
    <s v="Basin"/>
    <x v="3"/>
    <n v="56"/>
    <x v="6"/>
    <n v="57259"/>
    <x v="1"/>
  </r>
  <r>
    <x v="6"/>
    <x v="0"/>
    <x v="33"/>
    <n v="3522.8"/>
    <n v="41"/>
    <x v="19"/>
    <s v="Basin"/>
    <x v="4"/>
    <n v="57"/>
    <x v="6"/>
    <n v="234779"/>
    <x v="1"/>
  </r>
  <r>
    <x v="15"/>
    <x v="0"/>
    <x v="34"/>
    <n v="3522.8"/>
    <n v="41"/>
    <x v="19"/>
    <s v="Basin"/>
    <x v="5"/>
    <n v="57.5"/>
    <x v="6"/>
    <n v="1493"/>
    <x v="1"/>
  </r>
  <r>
    <x v="0"/>
    <x v="0"/>
    <x v="35"/>
    <n v="3729.8"/>
    <n v="41"/>
    <x v="19"/>
    <s v="Basin"/>
    <x v="6"/>
    <n v="57"/>
    <x v="6"/>
    <n v="64409"/>
    <x v="1"/>
  </r>
  <r>
    <x v="7"/>
    <x v="0"/>
    <x v="36"/>
    <n v="3729.8"/>
    <n v="42"/>
    <x v="19"/>
    <s v="Basin"/>
    <x v="7"/>
    <n v="55"/>
    <x v="6"/>
    <n v="249978"/>
    <x v="1"/>
  </r>
  <r>
    <x v="8"/>
    <x v="0"/>
    <x v="37"/>
    <n v="3729.8"/>
    <n v="42"/>
    <x v="19"/>
    <s v="Basin"/>
    <x v="8"/>
    <n v="56"/>
    <x v="6"/>
    <n v="637"/>
    <x v="1"/>
  </r>
  <r>
    <x v="9"/>
    <x v="0"/>
    <x v="38"/>
    <n v="2746.2"/>
    <n v="42"/>
    <x v="19"/>
    <s v="Basin"/>
    <x v="9"/>
    <n v="54"/>
    <x v="6"/>
    <n v="43311"/>
    <x v="1"/>
  </r>
  <r>
    <x v="10"/>
    <x v="0"/>
    <x v="39"/>
    <n v="2746.2"/>
    <n v="43"/>
    <x v="19"/>
    <s v="Drip"/>
    <x v="10"/>
    <n v="57"/>
    <x v="0"/>
    <n v="200000"/>
    <x v="1"/>
  </r>
  <r>
    <x v="11"/>
    <x v="0"/>
    <x v="40"/>
    <n v="2746.2"/>
    <n v="43"/>
    <x v="19"/>
    <s v="Drip"/>
    <x v="11"/>
    <n v="57.5"/>
    <x v="0"/>
    <n v="4847"/>
    <x v="1"/>
  </r>
  <r>
    <x v="12"/>
    <x v="1"/>
    <x v="41"/>
    <n v="3360"/>
    <n v="128"/>
    <x v="19"/>
    <s v="Drip"/>
    <x v="12"/>
    <n v="57"/>
    <x v="0"/>
    <n v="51239"/>
    <x v="1"/>
  </r>
  <r>
    <x v="13"/>
    <x v="1"/>
    <x v="42"/>
    <n v="3360"/>
    <n v="129"/>
    <x v="19"/>
    <s v="Drip"/>
    <x v="13"/>
    <n v="55"/>
    <x v="0"/>
    <n v="216396"/>
    <x v="1"/>
  </r>
  <r>
    <x v="14"/>
    <x v="1"/>
    <x v="43"/>
    <n v="3360"/>
    <n v="130"/>
    <x v="19"/>
    <s v="Drip"/>
    <x v="14"/>
    <n v="56"/>
    <x v="0"/>
    <n v="2644"/>
    <x v="1"/>
  </r>
  <r>
    <x v="1"/>
    <x v="1"/>
    <x v="44"/>
    <n v="3605.4"/>
    <n v="131"/>
    <x v="19"/>
    <s v="Drip"/>
    <x v="15"/>
    <n v="54"/>
    <x v="0"/>
    <n v="44235"/>
    <x v="1"/>
  </r>
  <r>
    <x v="2"/>
    <x v="1"/>
    <x v="45"/>
    <n v="3605.4"/>
    <n v="132"/>
    <x v="19"/>
    <s v="Drip"/>
    <x v="16"/>
    <n v="58"/>
    <x v="0"/>
    <n v="203317"/>
    <x v="1"/>
  </r>
  <r>
    <x v="3"/>
    <x v="1"/>
    <x v="46"/>
    <n v="3605.4"/>
    <n v="133"/>
    <x v="19"/>
    <s v="Drip"/>
    <x v="17"/>
    <n v="58"/>
    <x v="0"/>
    <n v="2134"/>
    <x v="1"/>
  </r>
  <r>
    <x v="4"/>
    <x v="1"/>
    <x v="47"/>
    <n v="3512.4"/>
    <n v="134"/>
    <x v="19"/>
    <s v="Drip"/>
    <x v="18"/>
    <n v="59"/>
    <x v="0"/>
    <n v="45186"/>
    <x v="1"/>
  </r>
  <r>
    <x v="5"/>
    <x v="1"/>
    <x v="48"/>
    <n v="3512.4"/>
    <n v="135"/>
    <x v="19"/>
    <s v="Drip"/>
    <x v="19"/>
    <n v="50"/>
    <x v="0"/>
    <n v="238542"/>
    <x v="1"/>
  </r>
  <r>
    <x v="6"/>
    <x v="1"/>
    <x v="49"/>
    <n v="3512.4"/>
    <n v="136"/>
    <x v="19"/>
    <s v="Drip"/>
    <x v="20"/>
    <n v="54"/>
    <x v="0"/>
    <n v="1516"/>
    <x v="1"/>
  </r>
  <r>
    <x v="13"/>
    <x v="1"/>
    <x v="50"/>
    <n v="3296"/>
    <n v="137"/>
    <x v="19"/>
    <s v="Drip"/>
    <x v="21"/>
    <n v="53"/>
    <x v="0"/>
    <n v="57259"/>
    <x v="1"/>
  </r>
  <r>
    <x v="14"/>
    <x v="1"/>
    <x v="51"/>
    <n v="3296"/>
    <n v="138"/>
    <x v="19"/>
    <s v="Drip"/>
    <x v="22"/>
    <n v="52"/>
    <x v="0"/>
    <n v="234779"/>
    <x v="1"/>
  </r>
  <r>
    <x v="1"/>
    <x v="1"/>
    <x v="52"/>
    <n v="3296"/>
    <n v="139"/>
    <x v="19"/>
    <s v="Drip"/>
    <x v="23"/>
    <n v="51"/>
    <x v="0"/>
    <n v="1493"/>
    <x v="1"/>
  </r>
  <r>
    <x v="2"/>
    <x v="1"/>
    <x v="53"/>
    <n v="3550"/>
    <n v="140"/>
    <x v="19"/>
    <s v="Drip"/>
    <x v="24"/>
    <n v="57"/>
    <x v="0"/>
    <n v="64409"/>
    <x v="1"/>
  </r>
  <r>
    <x v="3"/>
    <x v="1"/>
    <x v="54"/>
    <n v="3550"/>
    <n v="141"/>
    <x v="19"/>
    <s v="Drip"/>
    <x v="25"/>
    <n v="57"/>
    <x v="0"/>
    <n v="249978"/>
    <x v="1"/>
  </r>
  <r>
    <x v="4"/>
    <x v="1"/>
    <x v="55"/>
    <n v="3550"/>
    <n v="142"/>
    <x v="19"/>
    <s v="Drip"/>
    <x v="26"/>
    <n v="60"/>
    <x v="0"/>
    <n v="637"/>
    <x v="1"/>
  </r>
  <r>
    <x v="5"/>
    <x v="1"/>
    <x v="56"/>
    <n v="3654"/>
    <n v="143"/>
    <x v="19"/>
    <s v="Drip"/>
    <x v="27"/>
    <n v="57"/>
    <x v="0"/>
    <n v="43311"/>
    <x v="1"/>
  </r>
  <r>
    <x v="6"/>
    <x v="1"/>
    <x v="57"/>
    <n v="3654"/>
    <n v="144"/>
    <x v="20"/>
    <s v="Drip"/>
    <x v="28"/>
    <n v="57"/>
    <x v="0"/>
    <n v="24848"/>
    <x v="1"/>
  </r>
  <r>
    <x v="0"/>
    <x v="1"/>
    <x v="58"/>
    <n v="3654"/>
    <n v="145"/>
    <x v="20"/>
    <s v="Drip"/>
    <x v="29"/>
    <n v="54"/>
    <x v="0"/>
    <n v="761"/>
    <x v="1"/>
  </r>
  <r>
    <x v="7"/>
    <x v="1"/>
    <x v="59"/>
    <n v="233"/>
    <n v="146"/>
    <x v="20"/>
    <s v="Drip"/>
    <x v="30"/>
    <n v="54.5"/>
    <x v="0"/>
    <n v="45608"/>
    <x v="1"/>
  </r>
  <r>
    <x v="8"/>
    <x v="1"/>
    <x v="60"/>
    <n v="233"/>
    <n v="147"/>
    <x v="20"/>
    <s v="Drip"/>
    <x v="31"/>
    <n v="56.6"/>
    <x v="0"/>
    <n v="234581"/>
    <x v="1"/>
  </r>
  <r>
    <x v="9"/>
    <x v="7"/>
    <x v="61"/>
    <n v="233"/>
    <n v="148"/>
    <x v="20"/>
    <s v="Drip"/>
    <x v="32"/>
    <n v="55.5"/>
    <x v="0"/>
    <n v="646"/>
    <x v="1"/>
  </r>
  <r>
    <x v="10"/>
    <x v="7"/>
    <x v="62"/>
    <n v="234"/>
    <n v="149"/>
    <x v="20"/>
    <s v="Drip"/>
    <x v="33"/>
    <n v="58.5"/>
    <x v="0"/>
    <n v="43562"/>
    <x v="1"/>
  </r>
  <r>
    <x v="11"/>
    <x v="7"/>
    <x v="63"/>
    <n v="234"/>
    <n v="150"/>
    <x v="20"/>
    <s v="Drip"/>
    <x v="34"/>
    <n v="59.5"/>
    <x v="0"/>
    <n v="200000"/>
    <x v="1"/>
  </r>
  <r>
    <x v="12"/>
    <x v="7"/>
    <x v="64"/>
    <n v="234"/>
    <n v="151"/>
    <x v="20"/>
    <s v="Drip"/>
    <x v="35"/>
    <n v="55"/>
    <x v="0"/>
    <n v="4847"/>
    <x v="1"/>
  </r>
  <r>
    <x v="13"/>
    <x v="7"/>
    <x v="65"/>
    <n v="3105"/>
    <n v="152"/>
    <x v="20"/>
    <s v="Drip"/>
    <x v="36"/>
    <n v="53"/>
    <x v="0"/>
    <n v="51239"/>
    <x v="1"/>
  </r>
  <r>
    <x v="14"/>
    <x v="7"/>
    <x v="62"/>
    <n v="3105"/>
    <n v="153"/>
    <x v="20"/>
    <s v="Drip"/>
    <x v="37"/>
    <n v="53.5"/>
    <x v="0"/>
    <n v="216396"/>
    <x v="1"/>
  </r>
  <r>
    <x v="1"/>
    <x v="7"/>
    <x v="66"/>
    <n v="3105"/>
    <n v="154"/>
    <x v="20"/>
    <s v="Drip"/>
    <x v="38"/>
    <n v="52.5"/>
    <x v="0"/>
    <n v="2644"/>
    <x v="1"/>
  </r>
  <r>
    <x v="2"/>
    <x v="7"/>
    <x v="67"/>
    <n v="236"/>
    <n v="155"/>
    <x v="20"/>
    <s v="Drip"/>
    <x v="39"/>
    <n v="56"/>
    <x v="0"/>
    <n v="44235"/>
    <x v="1"/>
  </r>
  <r>
    <x v="3"/>
    <x v="7"/>
    <x v="68"/>
    <n v="236"/>
    <n v="156"/>
    <x v="20"/>
    <s v="Drip"/>
    <x v="40"/>
    <n v="57"/>
    <x v="0"/>
    <n v="203317"/>
    <x v="1"/>
  </r>
  <r>
    <x v="4"/>
    <x v="7"/>
    <x v="67"/>
    <n v="2903.1"/>
    <n v="157"/>
    <x v="20"/>
    <s v="Drip"/>
    <x v="41"/>
    <n v="57.5"/>
    <x v="0"/>
    <n v="2134"/>
    <x v="1"/>
  </r>
  <r>
    <x v="5"/>
    <x v="7"/>
    <x v="69"/>
    <n v="2903.1"/>
    <n v="158"/>
    <x v="20"/>
    <s v="Drip"/>
    <x v="42"/>
    <n v="57"/>
    <x v="0"/>
    <n v="45186"/>
    <x v="1"/>
  </r>
  <r>
    <x v="6"/>
    <x v="7"/>
    <x v="70"/>
    <n v="2903.1"/>
    <n v="159"/>
    <x v="20"/>
    <s v="Drip"/>
    <x v="43"/>
    <n v="55"/>
    <x v="0"/>
    <n v="238542"/>
    <x v="1"/>
  </r>
  <r>
    <x v="0"/>
    <x v="7"/>
    <x v="71"/>
    <n v="2996.6"/>
    <n v="160"/>
    <x v="20"/>
    <s v="Drip"/>
    <x v="44"/>
    <n v="56"/>
    <x v="0"/>
    <n v="1516"/>
    <x v="1"/>
  </r>
  <r>
    <x v="7"/>
    <x v="7"/>
    <x v="64"/>
    <n v="2996.6"/>
    <n v="161"/>
    <x v="20"/>
    <s v="Drip"/>
    <x v="45"/>
    <n v="54"/>
    <x v="0"/>
    <n v="57259"/>
    <x v="1"/>
  </r>
  <r>
    <x v="14"/>
    <x v="7"/>
    <x v="63"/>
    <n v="2996.6"/>
    <n v="162"/>
    <x v="20"/>
    <s v="Drip"/>
    <x v="46"/>
    <n v="58"/>
    <x v="0"/>
    <n v="234779"/>
    <x v="1"/>
  </r>
  <r>
    <x v="1"/>
    <x v="7"/>
    <x v="72"/>
    <n v="3522.8"/>
    <n v="163"/>
    <x v="20"/>
    <s v="Drip"/>
    <x v="47"/>
    <n v="58"/>
    <x v="0"/>
    <n v="1493"/>
    <x v="1"/>
  </r>
  <r>
    <x v="2"/>
    <x v="7"/>
    <x v="73"/>
    <n v="3522.8"/>
    <n v="164"/>
    <x v="20"/>
    <s v="Drip"/>
    <x v="48"/>
    <n v="59"/>
    <x v="0"/>
    <n v="64409"/>
    <x v="1"/>
  </r>
  <r>
    <x v="3"/>
    <x v="7"/>
    <x v="60"/>
    <n v="3522.8"/>
    <n v="165"/>
    <x v="20"/>
    <s v="Drip"/>
    <x v="49"/>
    <n v="50"/>
    <x v="0"/>
    <n v="249978"/>
    <x v="1"/>
  </r>
  <r>
    <x v="4"/>
    <x v="7"/>
    <x v="74"/>
    <n v="2903.1"/>
    <n v="166"/>
    <x v="20"/>
    <s v="Drip"/>
    <x v="50"/>
    <n v="54"/>
    <x v="0"/>
    <n v="637"/>
    <x v="1"/>
  </r>
  <r>
    <x v="5"/>
    <x v="2"/>
    <x v="75"/>
    <n v="2903.1"/>
    <n v="167"/>
    <x v="20"/>
    <s v="Drip"/>
    <x v="51"/>
    <n v="53"/>
    <x v="0"/>
    <n v="43311"/>
    <x v="1"/>
  </r>
  <r>
    <x v="6"/>
    <x v="2"/>
    <x v="76"/>
    <n v="2903.1"/>
    <n v="168"/>
    <x v="20"/>
    <s v="Drip"/>
    <x v="52"/>
    <n v="52"/>
    <x v="0"/>
    <n v="24848"/>
    <x v="1"/>
  </r>
  <r>
    <x v="0"/>
    <x v="2"/>
    <x v="77"/>
    <n v="2996.6"/>
    <n v="169"/>
    <x v="11"/>
    <s v="Drip"/>
    <x v="53"/>
    <n v="51"/>
    <x v="0"/>
    <n v="761"/>
    <x v="1"/>
  </r>
  <r>
    <x v="7"/>
    <x v="2"/>
    <x v="78"/>
    <n v="2996.6"/>
    <n v="170"/>
    <x v="11"/>
    <s v="Basin"/>
    <x v="54"/>
    <n v="57"/>
    <x v="0"/>
    <n v="45608"/>
    <x v="1"/>
  </r>
  <r>
    <x v="8"/>
    <x v="2"/>
    <x v="79"/>
    <n v="2996.6"/>
    <n v="171"/>
    <x v="11"/>
    <s v="Basin"/>
    <x v="55"/>
    <n v="57"/>
    <x v="0"/>
    <n v="234581"/>
    <x v="1"/>
  </r>
  <r>
    <x v="9"/>
    <x v="2"/>
    <x v="80"/>
    <n v="3522.8"/>
    <n v="172"/>
    <x v="11"/>
    <s v="Basin"/>
    <x v="56"/>
    <n v="60"/>
    <x v="0"/>
    <n v="646"/>
    <x v="1"/>
  </r>
  <r>
    <x v="10"/>
    <x v="2"/>
    <x v="81"/>
    <n v="3522.8"/>
    <n v="173"/>
    <x v="11"/>
    <s v="Basin"/>
    <x v="57"/>
    <n v="57"/>
    <x v="0"/>
    <n v="43562"/>
    <x v="1"/>
  </r>
  <r>
    <x v="11"/>
    <x v="2"/>
    <x v="82"/>
    <n v="3522.8"/>
    <n v="174"/>
    <x v="11"/>
    <s v="Basin"/>
    <x v="58"/>
    <n v="57"/>
    <x v="0"/>
    <n v="200000"/>
    <x v="1"/>
  </r>
  <r>
    <x v="12"/>
    <x v="2"/>
    <x v="83"/>
    <n v="3729.8"/>
    <n v="175"/>
    <x v="11"/>
    <s v="Basin"/>
    <x v="59"/>
    <n v="54"/>
    <x v="0"/>
    <n v="4847"/>
    <x v="1"/>
  </r>
  <r>
    <x v="13"/>
    <x v="2"/>
    <x v="84"/>
    <n v="3729.8"/>
    <n v="176"/>
    <x v="11"/>
    <s v="Basin"/>
    <x v="60"/>
    <n v="54.5"/>
    <x v="0"/>
    <n v="51239"/>
    <x v="1"/>
  </r>
  <r>
    <x v="14"/>
    <x v="2"/>
    <x v="85"/>
    <n v="3729.8"/>
    <n v="177"/>
    <x v="11"/>
    <s v="Basin"/>
    <x v="61"/>
    <n v="56.6"/>
    <x v="0"/>
    <n v="216396"/>
    <x v="1"/>
  </r>
  <r>
    <x v="1"/>
    <x v="2"/>
    <x v="86"/>
    <n v="2746.2"/>
    <n v="178"/>
    <x v="11"/>
    <s v="Basin"/>
    <x v="62"/>
    <n v="55.5"/>
    <x v="0"/>
    <n v="2644"/>
    <x v="1"/>
  </r>
  <r>
    <x v="2"/>
    <x v="2"/>
    <x v="87"/>
    <n v="2746.2"/>
    <n v="179"/>
    <x v="11"/>
    <s v="Basin"/>
    <x v="63"/>
    <n v="58.5"/>
    <x v="0"/>
    <n v="44235"/>
    <x v="1"/>
  </r>
  <r>
    <x v="3"/>
    <x v="2"/>
    <x v="88"/>
    <n v="2746.2"/>
    <n v="180"/>
    <x v="11"/>
    <s v="Basin"/>
    <x v="64"/>
    <n v="59.5"/>
    <x v="0"/>
    <n v="203317"/>
    <x v="1"/>
  </r>
  <r>
    <x v="4"/>
    <x v="2"/>
    <x v="89"/>
    <n v="3360"/>
    <n v="181"/>
    <x v="11"/>
    <s v="Basin"/>
    <x v="65"/>
    <n v="55"/>
    <x v="0"/>
    <n v="2134"/>
    <x v="1"/>
  </r>
  <r>
    <x v="5"/>
    <x v="2"/>
    <x v="90"/>
    <n v="3360"/>
    <n v="182"/>
    <x v="11"/>
    <s v="Basin"/>
    <x v="62"/>
    <n v="53"/>
    <x v="0"/>
    <n v="45186"/>
    <x v="1"/>
  </r>
  <r>
    <x v="6"/>
    <x v="2"/>
    <x v="91"/>
    <n v="3360"/>
    <n v="183"/>
    <x v="11"/>
    <s v="Basin"/>
    <x v="66"/>
    <n v="53.5"/>
    <x v="0"/>
    <n v="238542"/>
    <x v="1"/>
  </r>
  <r>
    <x v="15"/>
    <x v="2"/>
    <x v="92"/>
    <n v="3605.4"/>
    <n v="184"/>
    <x v="11"/>
    <s v="Basin"/>
    <x v="67"/>
    <n v="52.5"/>
    <x v="0"/>
    <n v="1516"/>
    <x v="1"/>
  </r>
  <r>
    <x v="0"/>
    <x v="2"/>
    <x v="64"/>
    <n v="3605.4"/>
    <n v="185"/>
    <x v="11"/>
    <s v="Basin"/>
    <x v="68"/>
    <n v="56"/>
    <x v="0"/>
    <n v="57259"/>
    <x v="1"/>
  </r>
  <r>
    <x v="1"/>
    <x v="2"/>
    <x v="93"/>
    <n v="3605.4"/>
    <n v="186"/>
    <x v="11"/>
    <s v="Basin"/>
    <x v="69"/>
    <n v="57"/>
    <x v="0"/>
    <n v="234779"/>
    <x v="1"/>
  </r>
  <r>
    <x v="2"/>
    <x v="2"/>
    <x v="94"/>
    <n v="3512.4"/>
    <n v="187"/>
    <x v="11"/>
    <s v="Basin"/>
    <x v="70"/>
    <n v="57.5"/>
    <x v="0"/>
    <n v="1493"/>
    <x v="1"/>
  </r>
  <r>
    <x v="3"/>
    <x v="2"/>
    <x v="95"/>
    <n v="3512.4"/>
    <n v="188"/>
    <x v="11"/>
    <s v="Basin"/>
    <x v="71"/>
    <n v="57"/>
    <x v="0"/>
    <n v="64409"/>
    <x v="1"/>
  </r>
  <r>
    <x v="4"/>
    <x v="2"/>
    <x v="96"/>
    <n v="3512.4"/>
    <n v="189"/>
    <x v="11"/>
    <s v="Basin"/>
    <x v="72"/>
    <n v="55"/>
    <x v="0"/>
    <n v="249978"/>
    <x v="1"/>
  </r>
  <r>
    <x v="5"/>
    <x v="2"/>
    <x v="97"/>
    <n v="3296"/>
    <n v="190"/>
    <x v="11"/>
    <s v="Basin"/>
    <x v="73"/>
    <n v="56"/>
    <x v="0"/>
    <n v="200000"/>
    <x v="1"/>
  </r>
  <r>
    <x v="6"/>
    <x v="2"/>
    <x v="98"/>
    <n v="3296"/>
    <n v="191"/>
    <x v="11"/>
    <s v="Basin"/>
    <x v="74"/>
    <n v="54"/>
    <x v="0"/>
    <n v="4847"/>
    <x v="1"/>
  </r>
  <r>
    <x v="0"/>
    <x v="2"/>
    <x v="99"/>
    <n v="3296"/>
    <n v="192"/>
    <x v="11"/>
    <s v="Basin"/>
    <x v="75"/>
    <n v="58"/>
    <x v="0"/>
    <n v="51239"/>
    <x v="1"/>
  </r>
  <r>
    <x v="7"/>
    <x v="2"/>
    <x v="100"/>
    <n v="3550"/>
    <n v="193"/>
    <x v="11"/>
    <s v="Basin"/>
    <x v="76"/>
    <n v="58"/>
    <x v="0"/>
    <n v="216396"/>
    <x v="1"/>
  </r>
  <r>
    <x v="8"/>
    <x v="2"/>
    <x v="101"/>
    <n v="3550"/>
    <n v="194"/>
    <x v="11"/>
    <s v="Basin"/>
    <x v="60"/>
    <n v="59"/>
    <x v="0"/>
    <n v="2644"/>
    <x v="1"/>
  </r>
  <r>
    <x v="9"/>
    <x v="2"/>
    <x v="102"/>
    <n v="3550"/>
    <n v="195"/>
    <x v="21"/>
    <s v="Basin"/>
    <x v="77"/>
    <n v="50"/>
    <x v="0"/>
    <n v="44235"/>
    <x v="1"/>
  </r>
  <r>
    <x v="10"/>
    <x v="2"/>
    <x v="103"/>
    <n v="3654"/>
    <n v="196"/>
    <x v="21"/>
    <s v="Basin"/>
    <x v="78"/>
    <n v="54"/>
    <x v="0"/>
    <n v="203317"/>
    <x v="1"/>
  </r>
  <r>
    <x v="11"/>
    <x v="2"/>
    <x v="104"/>
    <n v="3654"/>
    <n v="197"/>
    <x v="21"/>
    <s v="Basin"/>
    <x v="79"/>
    <n v="53"/>
    <x v="0"/>
    <n v="2134"/>
    <x v="1"/>
  </r>
  <r>
    <x v="12"/>
    <x v="2"/>
    <x v="105"/>
    <n v="3654"/>
    <n v="198"/>
    <x v="21"/>
    <s v="Basin"/>
    <x v="80"/>
    <n v="52"/>
    <x v="0"/>
    <n v="45186"/>
    <x v="1"/>
  </r>
  <r>
    <x v="13"/>
    <x v="3"/>
    <x v="106"/>
    <n v="233"/>
    <n v="199"/>
    <x v="21"/>
    <s v="Basin"/>
    <x v="81"/>
    <n v="51"/>
    <x v="0"/>
    <n v="238542"/>
    <x v="1"/>
  </r>
  <r>
    <x v="14"/>
    <x v="3"/>
    <x v="107"/>
    <n v="233"/>
    <n v="200"/>
    <x v="21"/>
    <s v="Basin"/>
    <x v="82"/>
    <n v="57"/>
    <x v="0"/>
    <n v="1516"/>
    <x v="1"/>
  </r>
  <r>
    <x v="1"/>
    <x v="3"/>
    <x v="108"/>
    <n v="233"/>
    <n v="201"/>
    <x v="21"/>
    <s v="Basin"/>
    <x v="83"/>
    <n v="57"/>
    <x v="0"/>
    <n v="57259"/>
    <x v="1"/>
  </r>
  <r>
    <x v="2"/>
    <x v="3"/>
    <x v="109"/>
    <n v="234"/>
    <n v="202"/>
    <x v="21"/>
    <s v="Basin"/>
    <x v="84"/>
    <n v="60"/>
    <x v="0"/>
    <n v="234779"/>
    <x v="1"/>
  </r>
  <r>
    <x v="3"/>
    <x v="3"/>
    <x v="110"/>
    <n v="234"/>
    <n v="203"/>
    <x v="21"/>
    <s v="Basin"/>
    <x v="85"/>
    <n v="57"/>
    <x v="0"/>
    <n v="1493"/>
    <x v="1"/>
  </r>
  <r>
    <x v="4"/>
    <x v="3"/>
    <x v="111"/>
    <n v="234"/>
    <n v="204"/>
    <x v="21"/>
    <s v="Basin"/>
    <x v="86"/>
    <n v="57"/>
    <x v="0"/>
    <n v="64409"/>
    <x v="1"/>
  </r>
  <r>
    <x v="5"/>
    <x v="3"/>
    <x v="112"/>
    <n v="3105"/>
    <n v="205"/>
    <x v="21"/>
    <s v="Basin"/>
    <x v="87"/>
    <n v="54"/>
    <x v="0"/>
    <n v="249978"/>
    <x v="1"/>
  </r>
  <r>
    <x v="6"/>
    <x v="3"/>
    <x v="113"/>
    <n v="3105"/>
    <n v="206"/>
    <x v="21"/>
    <s v="Basin"/>
    <x v="88"/>
    <n v="54.5"/>
    <x v="0"/>
    <n v="637"/>
    <x v="1"/>
  </r>
  <r>
    <x v="1"/>
    <x v="3"/>
    <x v="114"/>
    <n v="3105"/>
    <n v="207"/>
    <x v="21"/>
    <s v="Basin"/>
    <x v="89"/>
    <n v="56.6"/>
    <x v="0"/>
    <n v="43311"/>
    <x v="1"/>
  </r>
  <r>
    <x v="2"/>
    <x v="3"/>
    <x v="115"/>
    <n v="236"/>
    <n v="208"/>
    <x v="21"/>
    <s v="Basin"/>
    <x v="90"/>
    <n v="55.5"/>
    <x v="0"/>
    <n v="24848"/>
    <x v="1"/>
  </r>
  <r>
    <x v="3"/>
    <x v="3"/>
    <x v="116"/>
    <n v="236"/>
    <n v="209"/>
    <x v="21"/>
    <s v="Basin"/>
    <x v="91"/>
    <n v="58.5"/>
    <x v="0"/>
    <n v="761"/>
    <x v="1"/>
  </r>
  <r>
    <x v="4"/>
    <x v="3"/>
    <x v="117"/>
    <n v="2903.1"/>
    <n v="210"/>
    <x v="21"/>
    <s v="Basin"/>
    <x v="92"/>
    <n v="59.5"/>
    <x v="0"/>
    <n v="45608"/>
    <x v="1"/>
  </r>
  <r>
    <x v="5"/>
    <x v="3"/>
    <x v="118"/>
    <n v="2903.1"/>
    <n v="211"/>
    <x v="21"/>
    <s v="Basin"/>
    <x v="93"/>
    <n v="55"/>
    <x v="0"/>
    <n v="234581"/>
    <x v="1"/>
  </r>
  <r>
    <x v="6"/>
    <x v="3"/>
    <x v="119"/>
    <n v="2903.1"/>
    <n v="212"/>
    <x v="21"/>
    <s v="Basin"/>
    <x v="94"/>
    <n v="53"/>
    <x v="0"/>
    <n v="646"/>
    <x v="1"/>
  </r>
  <r>
    <x v="0"/>
    <x v="3"/>
    <x v="120"/>
    <n v="2996.6"/>
    <n v="213"/>
    <x v="21"/>
    <s v="Spray"/>
    <x v="95"/>
    <n v="53.5"/>
    <x v="0"/>
    <n v="43562"/>
    <x v="1"/>
  </r>
  <r>
    <x v="7"/>
    <x v="3"/>
    <x v="12"/>
    <n v="2996.6"/>
    <n v="214"/>
    <x v="21"/>
    <s v="Spray"/>
    <x v="96"/>
    <n v="52.5"/>
    <x v="0"/>
    <n v="200000"/>
    <x v="1"/>
  </r>
  <r>
    <x v="8"/>
    <x v="3"/>
    <x v="121"/>
    <n v="2996.6"/>
    <n v="215"/>
    <x v="21"/>
    <s v="Spray"/>
    <x v="97"/>
    <n v="56"/>
    <x v="0"/>
    <n v="4847"/>
    <x v="1"/>
  </r>
  <r>
    <x v="9"/>
    <x v="3"/>
    <x v="122"/>
    <n v="3522.8"/>
    <n v="216"/>
    <x v="21"/>
    <s v="Spray"/>
    <x v="98"/>
    <n v="57"/>
    <x v="0"/>
    <n v="51239"/>
    <x v="1"/>
  </r>
  <r>
    <x v="10"/>
    <x v="3"/>
    <x v="123"/>
    <n v="3522.8"/>
    <n v="217"/>
    <x v="21"/>
    <s v="Spray"/>
    <x v="99"/>
    <n v="57.5"/>
    <x v="0"/>
    <n v="216396"/>
    <x v="1"/>
  </r>
  <r>
    <x v="11"/>
    <x v="3"/>
    <x v="9"/>
    <n v="3522.8"/>
    <n v="218"/>
    <x v="19"/>
    <s v="Spray"/>
    <x v="100"/>
    <n v="57"/>
    <x v="0"/>
    <n v="2644"/>
    <x v="1"/>
  </r>
  <r>
    <x v="12"/>
    <x v="3"/>
    <x v="124"/>
    <n v="2903.1"/>
    <n v="219"/>
    <x v="19"/>
    <s v="Spray"/>
    <x v="101"/>
    <n v="55"/>
    <x v="0"/>
    <n v="44235"/>
    <x v="1"/>
  </r>
  <r>
    <x v="13"/>
    <x v="3"/>
    <x v="125"/>
    <n v="2903.1"/>
    <n v="220"/>
    <x v="19"/>
    <s v="Spray"/>
    <x v="102"/>
    <n v="56"/>
    <x v="0"/>
    <n v="203317"/>
    <x v="1"/>
  </r>
  <r>
    <x v="14"/>
    <x v="3"/>
    <x v="126"/>
    <n v="2903.1"/>
    <n v="221"/>
    <x v="19"/>
    <s v="Spray"/>
    <x v="102"/>
    <n v="54"/>
    <x v="0"/>
    <n v="2134"/>
    <x v="1"/>
  </r>
  <r>
    <x v="1"/>
    <x v="3"/>
    <x v="127"/>
    <n v="2996.6"/>
    <n v="222"/>
    <x v="19"/>
    <s v="Spray"/>
    <x v="103"/>
    <n v="58"/>
    <x v="0"/>
    <n v="45186"/>
    <x v="1"/>
  </r>
  <r>
    <x v="2"/>
    <x v="3"/>
    <x v="128"/>
    <n v="2996.6"/>
    <n v="27"/>
    <x v="19"/>
    <s v="Spray"/>
    <x v="104"/>
    <n v="58"/>
    <x v="0"/>
    <n v="238542"/>
    <x v="1"/>
  </r>
  <r>
    <x v="3"/>
    <x v="3"/>
    <x v="129"/>
    <n v="2996.6"/>
    <n v="27"/>
    <x v="19"/>
    <s v="Spray"/>
    <x v="105"/>
    <n v="59"/>
    <x v="0"/>
    <n v="1516"/>
    <x v="1"/>
  </r>
  <r>
    <x v="4"/>
    <x v="3"/>
    <x v="130"/>
    <n v="3522.8"/>
    <n v="27"/>
    <x v="19"/>
    <s v="Spray"/>
    <x v="106"/>
    <n v="50"/>
    <x v="0"/>
    <n v="57259"/>
    <x v="1"/>
  </r>
  <r>
    <x v="5"/>
    <x v="4"/>
    <x v="131"/>
    <n v="3522.8"/>
    <n v="27"/>
    <x v="19"/>
    <s v="Spray"/>
    <x v="107"/>
    <n v="54"/>
    <x v="0"/>
    <n v="234779"/>
    <x v="1"/>
  </r>
  <r>
    <x v="6"/>
    <x v="4"/>
    <x v="132"/>
    <n v="3522.8"/>
    <n v="27"/>
    <x v="19"/>
    <s v="Spray"/>
    <x v="108"/>
    <n v="53"/>
    <x v="0"/>
    <n v="1493"/>
    <x v="1"/>
  </r>
  <r>
    <x v="3"/>
    <x v="4"/>
    <x v="133"/>
    <n v="3729.8"/>
    <n v="27.2"/>
    <x v="19"/>
    <s v="Spray"/>
    <x v="109"/>
    <n v="52"/>
    <x v="0"/>
    <n v="64409"/>
    <x v="1"/>
  </r>
  <r>
    <x v="4"/>
    <x v="4"/>
    <x v="134"/>
    <n v="3729.8"/>
    <n v="27.2"/>
    <x v="19"/>
    <s v="Spray"/>
    <x v="110"/>
    <n v="51"/>
    <x v="0"/>
    <n v="249978"/>
    <x v="1"/>
  </r>
  <r>
    <x v="5"/>
    <x v="4"/>
    <x v="135"/>
    <n v="3729.8"/>
    <n v="27.2"/>
    <x v="19"/>
    <s v="Spray"/>
    <x v="111"/>
    <n v="57"/>
    <x v="0"/>
    <n v="637"/>
    <x v="1"/>
  </r>
  <r>
    <x v="6"/>
    <x v="4"/>
    <x v="136"/>
    <n v="2746.2"/>
    <n v="27"/>
    <x v="19"/>
    <s v="Spray"/>
    <x v="112"/>
    <n v="57"/>
    <x v="0"/>
    <n v="43311"/>
    <x v="1"/>
  </r>
  <r>
    <x v="1"/>
    <x v="4"/>
    <x v="137"/>
    <n v="2746.2"/>
    <n v="27"/>
    <x v="19"/>
    <s v="Spray"/>
    <x v="113"/>
    <n v="60"/>
    <x v="0"/>
    <n v="24848"/>
    <x v="1"/>
  </r>
  <r>
    <x v="2"/>
    <x v="4"/>
    <x v="138"/>
    <n v="2746.2"/>
    <n v="27"/>
    <x v="19"/>
    <s v="Spray"/>
    <x v="114"/>
    <n v="57"/>
    <x v="0"/>
    <n v="761"/>
    <x v="1"/>
  </r>
  <r>
    <x v="3"/>
    <x v="4"/>
    <x v="139"/>
    <n v="3360"/>
    <n v="27"/>
    <x v="19"/>
    <s v="Spray"/>
    <x v="115"/>
    <n v="57"/>
    <x v="0"/>
    <n v="45608"/>
    <x v="1"/>
  </r>
  <r>
    <x v="4"/>
    <x v="4"/>
    <x v="140"/>
    <n v="3360"/>
    <n v="27"/>
    <x v="19"/>
    <s v="Spray"/>
    <x v="116"/>
    <n v="54"/>
    <x v="0"/>
    <n v="234581"/>
    <x v="1"/>
  </r>
  <r>
    <x v="5"/>
    <x v="4"/>
    <x v="141"/>
    <n v="3360"/>
    <n v="27"/>
    <x v="19"/>
    <s v="Spray"/>
    <x v="117"/>
    <n v="54.5"/>
    <x v="0"/>
    <n v="646"/>
    <x v="1"/>
  </r>
  <r>
    <x v="6"/>
    <x v="4"/>
    <x v="142"/>
    <n v="3605.4"/>
    <n v="27.2"/>
    <x v="19"/>
    <s v="Spray"/>
    <x v="118"/>
    <n v="56.6"/>
    <x v="0"/>
    <n v="43562"/>
    <x v="1"/>
  </r>
  <r>
    <x v="0"/>
    <x v="4"/>
    <x v="143"/>
    <n v="3605.4"/>
    <n v="27.2"/>
    <x v="19"/>
    <s v="Spray"/>
    <x v="119"/>
    <n v="55.5"/>
    <x v="0"/>
    <n v="200000"/>
    <x v="1"/>
  </r>
  <r>
    <x v="7"/>
    <x v="4"/>
    <x v="144"/>
    <n v="3605.4"/>
    <n v="27.2"/>
    <x v="19"/>
    <s v="Spray"/>
    <x v="120"/>
    <n v="58.5"/>
    <x v="0"/>
    <n v="4847"/>
    <x v="1"/>
  </r>
  <r>
    <x v="8"/>
    <x v="4"/>
    <x v="145"/>
    <n v="3512.4"/>
    <n v="27.1"/>
    <x v="19"/>
    <s v="Spray"/>
    <x v="121"/>
    <n v="59.5"/>
    <x v="0"/>
    <n v="51239"/>
    <x v="1"/>
  </r>
  <r>
    <x v="9"/>
    <x v="4"/>
    <x v="146"/>
    <n v="3512.4"/>
    <n v="27.1"/>
    <x v="19"/>
    <s v="Spray"/>
    <x v="122"/>
    <n v="55"/>
    <x v="0"/>
    <n v="216396"/>
    <x v="1"/>
  </r>
  <r>
    <x v="10"/>
    <x v="4"/>
    <x v="0"/>
    <n v="3512.4"/>
    <n v="27.1"/>
    <x v="19"/>
    <s v="Spray"/>
    <x v="105"/>
    <n v="53"/>
    <x v="0"/>
    <n v="2644"/>
    <x v="1"/>
  </r>
  <r>
    <x v="11"/>
    <x v="4"/>
    <x v="1"/>
    <n v="3296"/>
    <n v="26.8"/>
    <x v="19"/>
    <s v="Spray"/>
    <x v="123"/>
    <n v="53.5"/>
    <x v="0"/>
    <n v="44235"/>
    <x v="1"/>
  </r>
  <r>
    <x v="12"/>
    <x v="4"/>
    <x v="2"/>
    <n v="3296"/>
    <n v="26.8"/>
    <x v="19"/>
    <s v="Spray"/>
    <x v="124"/>
    <n v="52.5"/>
    <x v="0"/>
    <n v="203317"/>
    <x v="1"/>
  </r>
  <r>
    <x v="13"/>
    <x v="4"/>
    <x v="3"/>
    <n v="3296"/>
    <n v="26.8"/>
    <x v="19"/>
    <s v="Spray"/>
    <x v="125"/>
    <n v="56"/>
    <x v="0"/>
    <n v="2134"/>
    <x v="1"/>
  </r>
  <r>
    <x v="14"/>
    <x v="4"/>
    <x v="4"/>
    <n v="3550"/>
    <n v="37"/>
    <x v="19"/>
    <s v="Spray"/>
    <x v="126"/>
    <n v="57"/>
    <x v="0"/>
    <n v="45186"/>
    <x v="1"/>
  </r>
  <r>
    <x v="1"/>
    <x v="4"/>
    <x v="5"/>
    <n v="3550"/>
    <n v="37"/>
    <x v="19"/>
    <s v="Spray"/>
    <x v="127"/>
    <n v="57.5"/>
    <x v="0"/>
    <n v="238542"/>
    <x v="1"/>
  </r>
  <r>
    <x v="2"/>
    <x v="4"/>
    <x v="6"/>
    <n v="3550"/>
    <n v="37"/>
    <x v="19"/>
    <s v="Spray"/>
    <x v="128"/>
    <n v="57"/>
    <x v="0"/>
    <n v="1516"/>
    <x v="1"/>
  </r>
  <r>
    <x v="3"/>
    <x v="4"/>
    <x v="7"/>
    <n v="3654"/>
    <n v="38"/>
    <x v="19"/>
    <s v="Spray"/>
    <x v="66"/>
    <n v="55"/>
    <x v="0"/>
    <n v="200000"/>
    <x v="1"/>
  </r>
  <r>
    <x v="4"/>
    <x v="4"/>
    <x v="8"/>
    <n v="3654"/>
    <n v="38"/>
    <x v="11"/>
    <s v="Spray"/>
    <x v="129"/>
    <n v="56"/>
    <x v="0"/>
    <n v="4847"/>
    <x v="1"/>
  </r>
  <r>
    <x v="5"/>
    <x v="4"/>
    <x v="9"/>
    <n v="3654"/>
    <n v="38"/>
    <x v="11"/>
    <s v="Spray"/>
    <x v="130"/>
    <n v="54"/>
    <x v="0"/>
    <n v="51239"/>
    <x v="1"/>
  </r>
  <r>
    <x v="4"/>
    <x v="4"/>
    <x v="10"/>
    <n v="233"/>
    <n v="39"/>
    <x v="11"/>
    <s v="Spray"/>
    <x v="131"/>
    <n v="58"/>
    <x v="0"/>
    <n v="216396"/>
    <x v="1"/>
  </r>
  <r>
    <x v="5"/>
    <x v="4"/>
    <x v="11"/>
    <n v="233"/>
    <n v="39"/>
    <x v="11"/>
    <s v="Spray"/>
    <x v="132"/>
    <n v="58"/>
    <x v="0"/>
    <n v="2644"/>
    <x v="1"/>
  </r>
  <r>
    <x v="6"/>
    <x v="4"/>
    <x v="12"/>
    <n v="233"/>
    <n v="39"/>
    <x v="11"/>
    <s v="Spray"/>
    <x v="124"/>
    <n v="59"/>
    <x v="0"/>
    <n v="44235"/>
    <x v="1"/>
  </r>
  <r>
    <x v="1"/>
    <x v="4"/>
    <x v="13"/>
    <n v="234"/>
    <n v="40"/>
    <x v="11"/>
    <s v="Spray"/>
    <x v="133"/>
    <n v="50"/>
    <x v="0"/>
    <n v="203317"/>
    <x v="1"/>
  </r>
  <r>
    <x v="2"/>
    <x v="4"/>
    <x v="14"/>
    <n v="234"/>
    <n v="40"/>
    <x v="11"/>
    <s v="Spray"/>
    <x v="134"/>
    <n v="54"/>
    <x v="0"/>
    <n v="2134"/>
    <x v="1"/>
  </r>
  <r>
    <x v="3"/>
    <x v="4"/>
    <x v="15"/>
    <n v="234"/>
    <n v="40"/>
    <x v="11"/>
    <s v="Drip"/>
    <x v="135"/>
    <n v="53"/>
    <x v="1"/>
    <n v="45186"/>
    <x v="1"/>
  </r>
  <r>
    <x v="4"/>
    <x v="4"/>
    <x v="16"/>
    <n v="3105"/>
    <n v="41"/>
    <x v="11"/>
    <s v="Drip"/>
    <x v="136"/>
    <n v="52"/>
    <x v="1"/>
    <n v="238542"/>
    <x v="1"/>
  </r>
  <r>
    <x v="5"/>
    <x v="4"/>
    <x v="17"/>
    <n v="3105"/>
    <n v="41"/>
    <x v="11"/>
    <s v="Drip"/>
    <x v="137"/>
    <n v="51"/>
    <x v="1"/>
    <n v="1516"/>
    <x v="1"/>
  </r>
  <r>
    <x v="6"/>
    <x v="4"/>
    <x v="18"/>
    <n v="3105"/>
    <n v="41"/>
    <x v="11"/>
    <s v="Drip"/>
    <x v="138"/>
    <n v="57"/>
    <x v="1"/>
    <n v="57259"/>
    <x v="1"/>
  </r>
  <r>
    <x v="0"/>
    <x v="4"/>
    <x v="19"/>
    <n v="236"/>
    <n v="42"/>
    <x v="11"/>
    <s v="Drip"/>
    <x v="139"/>
    <n v="57"/>
    <x v="1"/>
    <n v="234779"/>
    <x v="1"/>
  </r>
  <r>
    <x v="7"/>
    <x v="4"/>
    <x v="20"/>
    <n v="236"/>
    <n v="42"/>
    <x v="11"/>
    <s v="Drip"/>
    <x v="140"/>
    <n v="60"/>
    <x v="1"/>
    <n v="1493"/>
    <x v="1"/>
  </r>
  <r>
    <x v="8"/>
    <x v="4"/>
    <x v="0"/>
    <n v="2903.1"/>
    <n v="42"/>
    <x v="11"/>
    <s v="Drip"/>
    <x v="141"/>
    <n v="57"/>
    <x v="2"/>
    <n v="64409"/>
    <x v="1"/>
  </r>
  <r>
    <x v="9"/>
    <x v="4"/>
    <x v="1"/>
    <n v="2903.1"/>
    <n v="43"/>
    <x v="11"/>
    <s v="Drip"/>
    <x v="142"/>
    <n v="57"/>
    <x v="2"/>
    <n v="249978"/>
    <x v="1"/>
  </r>
  <r>
    <x v="10"/>
    <x v="5"/>
    <x v="2"/>
    <n v="2903.1"/>
    <n v="43"/>
    <x v="11"/>
    <s v="Drip"/>
    <x v="143"/>
    <n v="54"/>
    <x v="2"/>
    <n v="637"/>
    <x v="1"/>
  </r>
  <r>
    <x v="11"/>
    <x v="5"/>
    <x v="3"/>
    <n v="2996.6"/>
    <n v="27"/>
    <x v="11"/>
    <s v="Drip"/>
    <x v="144"/>
    <n v="54.5"/>
    <x v="2"/>
    <n v="43311"/>
    <x v="1"/>
  </r>
  <r>
    <x v="12"/>
    <x v="5"/>
    <x v="4"/>
    <n v="2996.6"/>
    <n v="27"/>
    <x v="11"/>
    <s v="Drip"/>
    <x v="145"/>
    <n v="56.6"/>
    <x v="2"/>
    <n v="24848"/>
    <x v="1"/>
  </r>
  <r>
    <x v="13"/>
    <x v="5"/>
    <x v="5"/>
    <n v="2996.6"/>
    <n v="27"/>
    <x v="11"/>
    <s v="Drip"/>
    <x v="146"/>
    <n v="55.5"/>
    <x v="2"/>
    <n v="761"/>
    <x v="1"/>
  </r>
  <r>
    <x v="14"/>
    <x v="5"/>
    <x v="6"/>
    <n v="3522.8"/>
    <n v="27"/>
    <x v="11"/>
    <s v="Drip"/>
    <x v="147"/>
    <n v="58.5"/>
    <x v="2"/>
    <n v="45608"/>
    <x v="1"/>
  </r>
  <r>
    <x v="1"/>
    <x v="5"/>
    <x v="7"/>
    <n v="3522.8"/>
    <n v="27"/>
    <x v="11"/>
    <s v="Drip"/>
    <x v="148"/>
    <n v="59.5"/>
    <x v="2"/>
    <n v="234581"/>
    <x v="1"/>
  </r>
  <r>
    <x v="2"/>
    <x v="5"/>
    <x v="8"/>
    <n v="3522.8"/>
    <n v="27"/>
    <x v="11"/>
    <s v="Drip"/>
    <x v="149"/>
    <n v="55"/>
    <x v="2"/>
    <n v="646"/>
    <x v="1"/>
  </r>
  <r>
    <x v="3"/>
    <x v="5"/>
    <x v="9"/>
    <n v="2903.1"/>
    <n v="27.2"/>
    <x v="11"/>
    <s v="Drip"/>
    <x v="150"/>
    <n v="53"/>
    <x v="2"/>
    <n v="43562"/>
    <x v="1"/>
  </r>
  <r>
    <x v="4"/>
    <x v="5"/>
    <x v="10"/>
    <n v="2903.1"/>
    <n v="27.2"/>
    <x v="11"/>
    <s v="Drip"/>
    <x v="151"/>
    <n v="53.5"/>
    <x v="2"/>
    <n v="200000"/>
    <x v="1"/>
  </r>
  <r>
    <x v="5"/>
    <x v="5"/>
    <x v="11"/>
    <n v="2903.1"/>
    <n v="27.2"/>
    <x v="11"/>
    <s v="Drip"/>
    <x v="152"/>
    <n v="52.5"/>
    <x v="2"/>
    <n v="4847"/>
    <x v="1"/>
  </r>
  <r>
    <x v="4"/>
    <x v="5"/>
    <x v="12"/>
    <n v="2996.6"/>
    <n v="27"/>
    <x v="11"/>
    <s v="Drip"/>
    <x v="153"/>
    <n v="56"/>
    <x v="2"/>
    <n v="51239"/>
    <x v="1"/>
  </r>
  <r>
    <x v="5"/>
    <x v="5"/>
    <x v="13"/>
    <n v="2996.6"/>
    <n v="27"/>
    <x v="11"/>
    <s v="Drip"/>
    <x v="154"/>
    <n v="57"/>
    <x v="2"/>
    <n v="216396"/>
    <x v="1"/>
  </r>
  <r>
    <x v="4"/>
    <x v="5"/>
    <x v="14"/>
    <n v="2996.6"/>
    <n v="27"/>
    <x v="11"/>
    <s v="Drip"/>
    <x v="155"/>
    <n v="57.5"/>
    <x v="2"/>
    <n v="2644"/>
    <x v="1"/>
  </r>
  <r>
    <x v="5"/>
    <x v="5"/>
    <x v="15"/>
    <n v="3522.8"/>
    <n v="27"/>
    <x v="11"/>
    <s v="Drip"/>
    <x v="156"/>
    <n v="57"/>
    <x v="3"/>
    <n v="44235"/>
    <x v="1"/>
  </r>
  <r>
    <x v="6"/>
    <x v="5"/>
    <x v="16"/>
    <n v="3522.8"/>
    <n v="27"/>
    <x v="11"/>
    <s v="Drip"/>
    <x v="157"/>
    <n v="55"/>
    <x v="3"/>
    <n v="203317"/>
    <x v="1"/>
  </r>
  <r>
    <x v="1"/>
    <x v="5"/>
    <x v="17"/>
    <n v="3522.8"/>
    <n v="27"/>
    <x v="11"/>
    <s v="Drip"/>
    <x v="158"/>
    <n v="56"/>
    <x v="3"/>
    <n v="2134"/>
    <x v="1"/>
  </r>
  <r>
    <x v="2"/>
    <x v="5"/>
    <x v="18"/>
    <n v="3729.8"/>
    <n v="27.2"/>
    <x v="11"/>
    <s v="Drip"/>
    <x v="159"/>
    <n v="54"/>
    <x v="3"/>
    <n v="45186"/>
    <x v="1"/>
  </r>
  <r>
    <x v="3"/>
    <x v="5"/>
    <x v="19"/>
    <n v="3729.8"/>
    <n v="27.2"/>
    <x v="11"/>
    <s v="Drip"/>
    <x v="160"/>
    <n v="58"/>
    <x v="3"/>
    <n v="238542"/>
    <x v="1"/>
  </r>
  <r>
    <x v="4"/>
    <x v="5"/>
    <x v="20"/>
    <n v="3729.8"/>
    <n v="27.2"/>
    <x v="22"/>
    <s v="Drip"/>
    <x v="161"/>
    <n v="58"/>
    <x v="3"/>
    <n v="1516"/>
    <x v="1"/>
  </r>
  <r>
    <x v="5"/>
    <x v="5"/>
    <x v="0"/>
    <n v="2746.2"/>
    <n v="27.1"/>
    <x v="22"/>
    <s v="Drip"/>
    <x v="131"/>
    <n v="59"/>
    <x v="3"/>
    <n v="57259"/>
    <x v="1"/>
  </r>
  <r>
    <x v="6"/>
    <x v="5"/>
    <x v="1"/>
    <n v="2746.2"/>
    <n v="27.1"/>
    <x v="22"/>
    <s v="Drip"/>
    <x v="132"/>
    <n v="50"/>
    <x v="3"/>
    <n v="234779"/>
    <x v="1"/>
  </r>
  <r>
    <x v="0"/>
    <x v="5"/>
    <x v="2"/>
    <n v="2746.2"/>
    <n v="27.1"/>
    <x v="22"/>
    <s v="Drip"/>
    <x v="124"/>
    <n v="54"/>
    <x v="3"/>
    <n v="1493"/>
    <x v="1"/>
  </r>
  <r>
    <x v="7"/>
    <x v="5"/>
    <x v="3"/>
    <n v="3360"/>
    <n v="26.8"/>
    <x v="22"/>
    <s v="Drip"/>
    <x v="133"/>
    <n v="53"/>
    <x v="3"/>
    <n v="64409"/>
    <x v="1"/>
  </r>
  <r>
    <x v="8"/>
    <x v="5"/>
    <x v="4"/>
    <n v="3360"/>
    <n v="26.8"/>
    <x v="22"/>
    <s v="Drip"/>
    <x v="134"/>
    <n v="52"/>
    <x v="3"/>
    <n v="249978"/>
    <x v="1"/>
  </r>
  <r>
    <x v="9"/>
    <x v="5"/>
    <x v="5"/>
    <n v="3360"/>
    <n v="26.8"/>
    <x v="22"/>
    <s v="Drip"/>
    <x v="135"/>
    <n v="51"/>
    <x v="3"/>
    <n v="637"/>
    <x v="1"/>
  </r>
  <r>
    <x v="10"/>
    <x v="5"/>
    <x v="6"/>
    <n v="3605.4"/>
    <n v="37"/>
    <x v="22"/>
    <s v="Drip"/>
    <x v="136"/>
    <n v="57"/>
    <x v="3"/>
    <n v="43311"/>
    <x v="1"/>
  </r>
  <r>
    <x v="11"/>
    <x v="5"/>
    <x v="7"/>
    <n v="3605.4"/>
    <n v="37"/>
    <x v="22"/>
    <s v="Drip"/>
    <x v="137"/>
    <n v="57"/>
    <x v="3"/>
    <n v="24848"/>
    <x v="1"/>
  </r>
  <r>
    <x v="12"/>
    <x v="5"/>
    <x v="8"/>
    <n v="2903.1"/>
    <n v="37"/>
    <x v="22"/>
    <s v="Drip"/>
    <x v="138"/>
    <n v="60"/>
    <x v="3"/>
    <n v="761"/>
    <x v="1"/>
  </r>
  <r>
    <x v="13"/>
    <x v="5"/>
    <x v="9"/>
    <n v="2903.1"/>
    <n v="38"/>
    <x v="22"/>
    <s v="Drip"/>
    <x v="139"/>
    <n v="57"/>
    <x v="4"/>
    <n v="45608"/>
    <x v="1"/>
  </r>
  <r>
    <x v="14"/>
    <x v="5"/>
    <x v="10"/>
    <n v="2903.1"/>
    <n v="38"/>
    <x v="22"/>
    <s v="Drip"/>
    <x v="140"/>
    <n v="57"/>
    <x v="4"/>
    <n v="234581"/>
    <x v="1"/>
  </r>
  <r>
    <x v="1"/>
    <x v="5"/>
    <x v="11"/>
    <n v="2996.6"/>
    <n v="38"/>
    <x v="22"/>
    <s v="Drip"/>
    <x v="141"/>
    <n v="54"/>
    <x v="4"/>
    <n v="646"/>
    <x v="1"/>
  </r>
  <r>
    <x v="2"/>
    <x v="5"/>
    <x v="12"/>
    <n v="2996.6"/>
    <n v="39"/>
    <x v="22"/>
    <s v="Drip"/>
    <x v="142"/>
    <n v="54.5"/>
    <x v="4"/>
    <n v="43562"/>
    <x v="1"/>
  </r>
  <r>
    <x v="3"/>
    <x v="5"/>
    <x v="13"/>
    <n v="2996.6"/>
    <n v="39"/>
    <x v="22"/>
    <s v="Drip"/>
    <x v="143"/>
    <n v="56.6"/>
    <x v="4"/>
    <n v="200000"/>
    <x v="1"/>
  </r>
  <r>
    <x v="4"/>
    <x v="8"/>
    <x v="14"/>
    <n v="3522.8"/>
    <n v="39"/>
    <x v="22"/>
    <s v="Drip"/>
    <x v="144"/>
    <n v="55.5"/>
    <x v="4"/>
    <n v="4847"/>
    <x v="1"/>
  </r>
  <r>
    <x v="5"/>
    <x v="8"/>
    <x v="0"/>
    <n v="3522.8"/>
    <n v="40"/>
    <x v="22"/>
    <s v="Drip"/>
    <x v="145"/>
    <n v="58.5"/>
    <x v="4"/>
    <n v="51239"/>
    <x v="1"/>
  </r>
  <r>
    <x v="5"/>
    <x v="8"/>
    <x v="1"/>
    <n v="3522.8"/>
    <n v="40"/>
    <x v="22"/>
    <s v="Drip"/>
    <x v="146"/>
    <n v="59.5"/>
    <x v="4"/>
    <n v="216396"/>
    <x v="1"/>
  </r>
  <r>
    <x v="4"/>
    <x v="8"/>
    <x v="2"/>
    <n v="3729.8"/>
    <n v="40"/>
    <x v="22"/>
    <s v="Basin"/>
    <x v="147"/>
    <n v="55"/>
    <x v="4"/>
    <n v="2644"/>
    <x v="1"/>
  </r>
  <r>
    <x v="5"/>
    <x v="8"/>
    <x v="3"/>
    <n v="2903.1"/>
    <n v="41"/>
    <x v="22"/>
    <s v="Basin"/>
    <x v="148"/>
    <n v="53"/>
    <x v="4"/>
    <n v="44235"/>
    <x v="1"/>
  </r>
  <r>
    <x v="6"/>
    <x v="8"/>
    <x v="4"/>
    <n v="2903.1"/>
    <n v="41"/>
    <x v="22"/>
    <s v="Basin"/>
    <x v="149"/>
    <n v="53.5"/>
    <x v="4"/>
    <n v="203317"/>
    <x v="1"/>
  </r>
  <r>
    <x v="1"/>
    <x v="8"/>
    <x v="5"/>
    <n v="2903.1"/>
    <n v="41"/>
    <x v="22"/>
    <s v="Basin"/>
    <x v="150"/>
    <n v="52.5"/>
    <x v="4"/>
    <n v="2134"/>
    <x v="1"/>
  </r>
  <r>
    <x v="2"/>
    <x v="8"/>
    <x v="6"/>
    <n v="2996.6"/>
    <n v="42"/>
    <x v="22"/>
    <s v="Basin"/>
    <x v="151"/>
    <n v="56"/>
    <x v="4"/>
    <n v="45186"/>
    <x v="1"/>
  </r>
  <r>
    <x v="3"/>
    <x v="8"/>
    <x v="7"/>
    <n v="2996.6"/>
    <n v="42"/>
    <x v="22"/>
    <s v="Basin"/>
    <x v="152"/>
    <n v="57"/>
    <x v="4"/>
    <n v="238542"/>
    <x v="1"/>
  </r>
  <r>
    <x v="4"/>
    <x v="8"/>
    <x v="8"/>
    <n v="2996.6"/>
    <n v="42"/>
    <x v="22"/>
    <s v="Basin"/>
    <x v="153"/>
    <n v="57.5"/>
    <x v="4"/>
    <n v="1516"/>
    <x v="1"/>
  </r>
  <r>
    <x v="5"/>
    <x v="8"/>
    <x v="9"/>
    <n v="3522.8"/>
    <n v="43"/>
    <x v="22"/>
    <s v="Basin"/>
    <x v="154"/>
    <n v="57"/>
    <x v="5"/>
    <n v="200000"/>
    <x v="1"/>
  </r>
  <r>
    <x v="6"/>
    <x v="8"/>
    <x v="10"/>
    <n v="3522.8"/>
    <n v="27"/>
    <x v="22"/>
    <s v="Basin"/>
    <x v="155"/>
    <n v="55"/>
    <x v="5"/>
    <n v="4847"/>
    <x v="1"/>
  </r>
  <r>
    <x v="0"/>
    <x v="8"/>
    <x v="11"/>
    <n v="3522.8"/>
    <n v="27"/>
    <x v="22"/>
    <s v="Basin"/>
    <x v="156"/>
    <n v="56"/>
    <x v="5"/>
    <n v="51239"/>
    <x v="1"/>
  </r>
  <r>
    <x v="7"/>
    <x v="8"/>
    <x v="12"/>
    <n v="3729.8"/>
    <n v="27"/>
    <x v="22"/>
    <s v="Basin"/>
    <x v="157"/>
    <n v="54"/>
    <x v="5"/>
    <n v="216396"/>
    <x v="1"/>
  </r>
  <r>
    <x v="8"/>
    <x v="8"/>
    <x v="13"/>
    <n v="3729.8"/>
    <n v="27"/>
    <x v="22"/>
    <s v="Basin"/>
    <x v="158"/>
    <n v="58"/>
    <x v="5"/>
    <n v="2644"/>
    <x v="1"/>
  </r>
  <r>
    <x v="9"/>
    <x v="8"/>
    <x v="14"/>
    <n v="3729.8"/>
    <n v="27"/>
    <x v="22"/>
    <s v="Basin"/>
    <x v="159"/>
    <n v="58"/>
    <x v="5"/>
    <n v="44235"/>
    <x v="1"/>
  </r>
  <r>
    <x v="10"/>
    <x v="8"/>
    <x v="15"/>
    <n v="2746.2"/>
    <n v="27"/>
    <x v="22"/>
    <s v="Basin"/>
    <x v="160"/>
    <n v="59"/>
    <x v="5"/>
    <n v="203317"/>
    <x v="1"/>
  </r>
  <r>
    <x v="11"/>
    <x v="8"/>
    <x v="16"/>
    <n v="2746.2"/>
    <n v="27"/>
    <x v="22"/>
    <s v="Basin"/>
    <x v="161"/>
    <n v="50"/>
    <x v="5"/>
    <n v="2134"/>
    <x v="1"/>
  </r>
  <r>
    <x v="12"/>
    <x v="8"/>
    <x v="17"/>
    <n v="2746.2"/>
    <n v="27"/>
    <x v="22"/>
    <s v="Basin"/>
    <x v="131"/>
    <n v="54"/>
    <x v="5"/>
    <n v="45186"/>
    <x v="1"/>
  </r>
  <r>
    <x v="13"/>
    <x v="8"/>
    <x v="18"/>
    <n v="3360"/>
    <n v="27.2"/>
    <x v="22"/>
    <s v="Basin"/>
    <x v="132"/>
    <n v="53"/>
    <x v="5"/>
    <n v="238542"/>
    <x v="1"/>
  </r>
  <r>
    <x v="14"/>
    <x v="8"/>
    <x v="19"/>
    <n v="3360"/>
    <n v="27.2"/>
    <x v="11"/>
    <s v="Basin"/>
    <x v="124"/>
    <n v="52"/>
    <x v="5"/>
    <n v="1516"/>
    <x v="1"/>
  </r>
  <r>
    <x v="1"/>
    <x v="8"/>
    <x v="20"/>
    <n v="3360"/>
    <n v="27.2"/>
    <x v="11"/>
    <s v="Basin"/>
    <x v="133"/>
    <n v="51"/>
    <x v="5"/>
    <n v="57259"/>
    <x v="1"/>
  </r>
  <r>
    <x v="2"/>
    <x v="8"/>
    <x v="21"/>
    <n v="3605.4"/>
    <n v="27"/>
    <x v="11"/>
    <s v="Basin"/>
    <x v="134"/>
    <n v="57"/>
    <x v="5"/>
    <n v="234779"/>
    <x v="1"/>
  </r>
  <r>
    <x v="3"/>
    <x v="8"/>
    <x v="22"/>
    <n v="3605.4"/>
    <n v="27"/>
    <x v="11"/>
    <s v="Basin"/>
    <x v="135"/>
    <n v="57"/>
    <x v="5"/>
    <n v="1493"/>
    <x v="1"/>
  </r>
  <r>
    <x v="4"/>
    <x v="8"/>
    <x v="23"/>
    <n v="3605.4"/>
    <n v="27"/>
    <x v="11"/>
    <s v="Basin"/>
    <x v="136"/>
    <n v="60"/>
    <x v="5"/>
    <n v="64409"/>
    <x v="1"/>
  </r>
  <r>
    <x v="5"/>
    <x v="8"/>
    <x v="24"/>
    <n v="3512.4"/>
    <n v="27"/>
    <x v="11"/>
    <s v="Basin"/>
    <x v="137"/>
    <n v="57"/>
    <x v="6"/>
    <n v="249978"/>
    <x v="1"/>
  </r>
  <r>
    <x v="0"/>
    <x v="8"/>
    <x v="25"/>
    <n v="3512.4"/>
    <n v="27"/>
    <x v="11"/>
    <s v="Basin"/>
    <x v="138"/>
    <n v="57"/>
    <x v="6"/>
    <n v="637"/>
    <x v="1"/>
  </r>
  <r>
    <x v="0"/>
    <x v="8"/>
    <x v="26"/>
    <n v="3512.4"/>
    <n v="27"/>
    <x v="11"/>
    <s v="Basin"/>
    <x v="139"/>
    <n v="54"/>
    <x v="6"/>
    <n v="43311"/>
    <x v="1"/>
  </r>
  <r>
    <x v="0"/>
    <x v="8"/>
    <x v="27"/>
    <n v="3296"/>
    <n v="27.2"/>
    <x v="11"/>
    <s v="Basin"/>
    <x v="140"/>
    <n v="54.5"/>
    <x v="6"/>
    <n v="24848"/>
    <x v="1"/>
  </r>
  <r>
    <x v="0"/>
    <x v="8"/>
    <x v="28"/>
    <n v="3296"/>
    <n v="27.2"/>
    <x v="11"/>
    <s v="Basin"/>
    <x v="141"/>
    <n v="56.6"/>
    <x v="6"/>
    <n v="761"/>
    <x v="1"/>
  </r>
  <r>
    <x v="0"/>
    <x v="8"/>
    <x v="29"/>
    <n v="3296"/>
    <n v="27.2"/>
    <x v="11"/>
    <s v="Basin"/>
    <x v="142"/>
    <n v="55.5"/>
    <x v="6"/>
    <n v="45608"/>
    <x v="1"/>
  </r>
  <r>
    <x v="0"/>
    <x v="8"/>
    <x v="30"/>
    <n v="3550"/>
    <n v="27.1"/>
    <x v="11"/>
    <s v="Basin"/>
    <x v="143"/>
    <n v="58.5"/>
    <x v="6"/>
    <n v="234581"/>
    <x v="1"/>
  </r>
  <r>
    <x v="0"/>
    <x v="8"/>
    <x v="31"/>
    <n v="3550"/>
    <n v="27.1"/>
    <x v="11"/>
    <s v="Basin"/>
    <x v="144"/>
    <n v="59.5"/>
    <x v="6"/>
    <n v="646"/>
    <x v="1"/>
  </r>
  <r>
    <x v="0"/>
    <x v="8"/>
    <x v="32"/>
    <n v="3550"/>
    <n v="27.1"/>
    <x v="11"/>
    <s v="Basin"/>
    <x v="145"/>
    <n v="55"/>
    <x v="6"/>
    <n v="43562"/>
    <x v="1"/>
  </r>
  <r>
    <x v="0"/>
    <x v="8"/>
    <x v="33"/>
    <n v="3654"/>
    <n v="26.8"/>
    <x v="11"/>
    <s v="Basin"/>
    <x v="146"/>
    <n v="53"/>
    <x v="6"/>
    <n v="200000"/>
    <x v="1"/>
  </r>
  <r>
    <x v="0"/>
    <x v="8"/>
    <x v="34"/>
    <n v="3654"/>
    <n v="26.8"/>
    <x v="11"/>
    <s v="Basin"/>
    <x v="147"/>
    <n v="53.5"/>
    <x v="6"/>
    <n v="4847"/>
    <x v="1"/>
  </r>
  <r>
    <x v="0"/>
    <x v="8"/>
    <x v="35"/>
    <n v="3654"/>
    <n v="27.1"/>
    <x v="11"/>
    <s v="Basin"/>
    <x v="148"/>
    <n v="52.5"/>
    <x v="6"/>
    <n v="51239"/>
    <x v="1"/>
  </r>
  <r>
    <x v="0"/>
    <x v="8"/>
    <x v="36"/>
    <n v="233"/>
    <n v="27.1"/>
    <x v="11"/>
    <s v="Basin"/>
    <x v="149"/>
    <n v="56"/>
    <x v="6"/>
    <n v="216396"/>
    <x v="1"/>
  </r>
  <r>
    <x v="0"/>
    <x v="8"/>
    <x v="37"/>
    <n v="233"/>
    <n v="26.8"/>
    <x v="11"/>
    <s v="Basin"/>
    <x v="150"/>
    <n v="57"/>
    <x v="6"/>
    <n v="2644"/>
    <x v="1"/>
  </r>
  <r>
    <x v="0"/>
    <x v="8"/>
    <x v="38"/>
    <n v="233"/>
    <n v="26.8"/>
    <x v="11"/>
    <s v="Basin"/>
    <x v="151"/>
    <n v="57.5"/>
    <x v="6"/>
    <n v="44235"/>
    <x v="1"/>
  </r>
  <r>
    <x v="0"/>
    <x v="8"/>
    <x v="39"/>
    <n v="234"/>
    <n v="26.8"/>
    <x v="11"/>
    <s v="Basin"/>
    <x v="152"/>
    <n v="57"/>
    <x v="7"/>
    <n v="203317"/>
    <x v="1"/>
  </r>
  <r>
    <x v="0"/>
    <x v="8"/>
    <x v="40"/>
    <n v="234"/>
    <n v="37"/>
    <x v="11"/>
    <s v="Basin"/>
    <x v="153"/>
    <n v="55"/>
    <x v="7"/>
    <n v="2134"/>
    <x v="1"/>
  </r>
  <r>
    <x v="0"/>
    <x v="8"/>
    <x v="41"/>
    <n v="234"/>
    <n v="37"/>
    <x v="11"/>
    <s v="Basin"/>
    <x v="154"/>
    <n v="56"/>
    <x v="7"/>
    <n v="45186"/>
    <x v="1"/>
  </r>
  <r>
    <x v="0"/>
    <x v="8"/>
    <x v="42"/>
    <n v="3105"/>
    <n v="37"/>
    <x v="11"/>
    <s v="Basin"/>
    <x v="155"/>
    <n v="54"/>
    <x v="7"/>
    <n v="238542"/>
    <x v="1"/>
  </r>
  <r>
    <x v="0"/>
    <x v="8"/>
    <x v="43"/>
    <n v="3105"/>
    <n v="38"/>
    <x v="11"/>
    <s v="Basin"/>
    <x v="156"/>
    <n v="58"/>
    <x v="7"/>
    <n v="1516"/>
    <x v="1"/>
  </r>
  <r>
    <x v="0"/>
    <x v="8"/>
    <x v="44"/>
    <n v="3105"/>
    <n v="38"/>
    <x v="11"/>
    <s v="Basin"/>
    <x v="157"/>
    <n v="58"/>
    <x v="7"/>
    <n v="57259"/>
    <x v="1"/>
  </r>
  <r>
    <x v="0"/>
    <x v="8"/>
    <x v="45"/>
    <n v="236"/>
    <n v="38"/>
    <x v="11"/>
    <s v="Spray"/>
    <x v="158"/>
    <n v="59"/>
    <x v="7"/>
    <n v="234779"/>
    <x v="1"/>
  </r>
  <r>
    <x v="0"/>
    <x v="8"/>
    <x v="46"/>
    <n v="236"/>
    <n v="39"/>
    <x v="11"/>
    <s v="Spray"/>
    <x v="159"/>
    <n v="50"/>
    <x v="7"/>
    <n v="1493"/>
    <x v="1"/>
  </r>
  <r>
    <x v="0"/>
    <x v="8"/>
    <x v="47"/>
    <n v="2903.1"/>
    <n v="39"/>
    <x v="11"/>
    <s v="Spray"/>
    <x v="160"/>
    <n v="54"/>
    <x v="7"/>
    <n v="64409"/>
    <x v="1"/>
  </r>
  <r>
    <x v="0"/>
    <x v="8"/>
    <x v="48"/>
    <n v="2903.1"/>
    <n v="39"/>
    <x v="11"/>
    <s v="Spray"/>
    <x v="161"/>
    <n v="53"/>
    <x v="7"/>
    <n v="249978"/>
    <x v="1"/>
  </r>
  <r>
    <x v="0"/>
    <x v="8"/>
    <x v="49"/>
    <n v="2903.1"/>
    <n v="40"/>
    <x v="11"/>
    <s v="Spray"/>
    <x v="91"/>
    <n v="52"/>
    <x v="7"/>
    <n v="637"/>
    <x v="1"/>
  </r>
  <r>
    <x v="0"/>
    <x v="8"/>
    <x v="50"/>
    <n v="2996.6"/>
    <n v="40"/>
    <x v="11"/>
    <s v="Spray"/>
    <x v="92"/>
    <n v="51"/>
    <x v="7"/>
    <n v="43311"/>
    <x v="1"/>
  </r>
  <r>
    <x v="0"/>
    <x v="8"/>
    <x v="51"/>
    <n v="2996.6"/>
    <n v="40"/>
    <x v="11"/>
    <s v="Spray"/>
    <x v="93"/>
    <n v="57"/>
    <x v="7"/>
    <n v="24848"/>
    <x v="1"/>
  </r>
  <r>
    <x v="0"/>
    <x v="6"/>
    <x v="52"/>
    <n v="2996.6"/>
    <n v="41"/>
    <x v="11"/>
    <s v="Spray"/>
    <x v="94"/>
    <n v="57"/>
    <x v="7"/>
    <n v="761"/>
    <x v="1"/>
  </r>
  <r>
    <x v="0"/>
    <x v="6"/>
    <x v="53"/>
    <n v="3522.8"/>
    <n v="41"/>
    <x v="11"/>
    <s v="Spray"/>
    <x v="95"/>
    <n v="60"/>
    <x v="7"/>
    <n v="45608"/>
    <x v="1"/>
  </r>
  <r>
    <x v="0"/>
    <x v="6"/>
    <x v="54"/>
    <n v="3522.8"/>
    <n v="41"/>
    <x v="11"/>
    <s v="Spray"/>
    <x v="96"/>
    <n v="57"/>
    <x v="8"/>
    <n v="234581"/>
    <x v="1"/>
  </r>
  <r>
    <x v="0"/>
    <x v="6"/>
    <x v="55"/>
    <n v="3522.8"/>
    <n v="42"/>
    <x v="11"/>
    <s v="Spray"/>
    <x v="97"/>
    <n v="57"/>
    <x v="8"/>
    <n v="646"/>
    <x v="1"/>
  </r>
  <r>
    <x v="0"/>
    <x v="6"/>
    <x v="56"/>
    <n v="3729.8"/>
    <n v="42"/>
    <x v="11"/>
    <s v="Spray"/>
    <x v="98"/>
    <n v="54"/>
    <x v="8"/>
    <n v="43562"/>
    <x v="1"/>
  </r>
  <r>
    <x v="0"/>
    <x v="6"/>
    <x v="57"/>
    <n v="3729.8"/>
    <n v="42"/>
    <x v="11"/>
    <s v="Spray"/>
    <x v="99"/>
    <n v="54.5"/>
    <x v="8"/>
    <n v="200000"/>
    <x v="1"/>
  </r>
  <r>
    <x v="0"/>
    <x v="6"/>
    <x v="58"/>
    <n v="3729.8"/>
    <n v="43"/>
    <x v="11"/>
    <s v="Spray"/>
    <x v="100"/>
    <n v="56.6"/>
    <x v="8"/>
    <n v="4847"/>
    <x v="1"/>
  </r>
  <r>
    <x v="0"/>
    <x v="6"/>
    <x v="59"/>
    <n v="2746.2"/>
    <n v="27"/>
    <x v="11"/>
    <s v="Spray"/>
    <x v="101"/>
    <n v="55.5"/>
    <x v="8"/>
    <n v="51239"/>
    <x v="1"/>
  </r>
  <r>
    <x v="0"/>
    <x v="6"/>
    <x v="60"/>
    <n v="2746.2"/>
    <n v="27"/>
    <x v="11"/>
    <s v="Spray"/>
    <x v="102"/>
    <n v="58.5"/>
    <x v="8"/>
    <n v="216396"/>
    <x v="1"/>
  </r>
  <r>
    <x v="0"/>
    <x v="6"/>
    <x v="61"/>
    <n v="2746.2"/>
    <n v="27"/>
    <x v="11"/>
    <s v="Spray"/>
    <x v="102"/>
    <n v="59.5"/>
    <x v="8"/>
    <n v="2644"/>
    <x v="1"/>
  </r>
  <r>
    <x v="0"/>
    <x v="6"/>
    <x v="62"/>
    <n v="3360"/>
    <n v="27"/>
    <x v="11"/>
    <s v="Spray"/>
    <x v="103"/>
    <n v="55"/>
    <x v="8"/>
    <n v="44235"/>
    <x v="1"/>
  </r>
  <r>
    <x v="0"/>
    <x v="6"/>
    <x v="63"/>
    <n v="3360"/>
    <n v="27"/>
    <x v="11"/>
    <s v="Spray"/>
    <x v="104"/>
    <n v="53"/>
    <x v="8"/>
    <n v="203317"/>
    <x v="1"/>
  </r>
  <r>
    <x v="0"/>
    <x v="6"/>
    <x v="64"/>
    <n v="3360"/>
    <n v="27"/>
    <x v="11"/>
    <s v="Spray"/>
    <x v="105"/>
    <n v="53.5"/>
    <x v="8"/>
    <n v="2134"/>
    <x v="1"/>
  </r>
  <r>
    <x v="0"/>
    <x v="6"/>
    <x v="65"/>
    <n v="3605.4"/>
    <n v="27.2"/>
    <x v="11"/>
    <s v="Spray"/>
    <x v="106"/>
    <n v="52.5"/>
    <x v="8"/>
    <n v="45186"/>
    <x v="1"/>
  </r>
  <r>
    <x v="0"/>
    <x v="6"/>
    <x v="62"/>
    <n v="3605.4"/>
    <n v="27.2"/>
    <x v="11"/>
    <s v="Spray"/>
    <x v="107"/>
    <n v="56"/>
    <x v="8"/>
    <n v="238542"/>
    <x v="1"/>
  </r>
  <r>
    <x v="0"/>
    <x v="6"/>
    <x v="66"/>
    <n v="3605.4"/>
    <n v="27.2"/>
    <x v="11"/>
    <s v="Spray"/>
    <x v="108"/>
    <n v="57"/>
    <x v="8"/>
    <n v="1516"/>
    <x v="1"/>
  </r>
  <r>
    <x v="0"/>
    <x v="6"/>
    <x v="67"/>
    <n v="3512.4"/>
    <n v="27"/>
    <x v="11"/>
    <s v="Spray"/>
    <x v="109"/>
    <n v="57.5"/>
    <x v="8"/>
    <n v="200000"/>
    <x v="1"/>
  </r>
  <r>
    <x v="0"/>
    <x v="6"/>
    <x v="68"/>
    <n v="3512.4"/>
    <n v="27"/>
    <x v="22"/>
    <s v="Spray"/>
    <x v="110"/>
    <n v="57"/>
    <x v="9"/>
    <n v="4847"/>
    <x v="1"/>
  </r>
  <r>
    <x v="0"/>
    <x v="6"/>
    <x v="67"/>
    <n v="3512.4"/>
    <n v="27"/>
    <x v="22"/>
    <s v="Spray"/>
    <x v="111"/>
    <n v="55"/>
    <x v="9"/>
    <n v="51239"/>
    <x v="1"/>
  </r>
  <r>
    <x v="0"/>
    <x v="6"/>
    <x v="69"/>
    <n v="3296"/>
    <n v="27"/>
    <x v="22"/>
    <s v="Spray"/>
    <x v="112"/>
    <n v="56"/>
    <x v="9"/>
    <n v="216396"/>
    <x v="1"/>
  </r>
  <r>
    <x v="0"/>
    <x v="6"/>
    <x v="70"/>
    <n v="3296"/>
    <n v="27"/>
    <x v="22"/>
    <s v="Spray"/>
    <x v="113"/>
    <n v="54"/>
    <x v="9"/>
    <n v="2644"/>
    <x v="1"/>
  </r>
  <r>
    <x v="0"/>
    <x v="6"/>
    <x v="71"/>
    <n v="3296"/>
    <n v="27"/>
    <x v="22"/>
    <s v="Spray"/>
    <x v="114"/>
    <n v="58"/>
    <x v="9"/>
    <n v="44235"/>
    <x v="1"/>
  </r>
  <r>
    <x v="0"/>
    <x v="6"/>
    <x v="64"/>
    <n v="3550"/>
    <n v="27.2"/>
    <x v="22"/>
    <s v="Spray"/>
    <x v="115"/>
    <n v="58"/>
    <x v="9"/>
    <n v="203317"/>
    <x v="1"/>
  </r>
  <r>
    <x v="0"/>
    <x v="6"/>
    <x v="63"/>
    <n v="3550"/>
    <n v="27.2"/>
    <x v="22"/>
    <s v="Spray"/>
    <x v="116"/>
    <n v="59"/>
    <x v="9"/>
    <n v="2134"/>
    <x v="1"/>
  </r>
  <r>
    <x v="0"/>
    <x v="6"/>
    <x v="72"/>
    <n v="3550"/>
    <n v="27.2"/>
    <x v="22"/>
    <s v="Spray"/>
    <x v="117"/>
    <n v="50"/>
    <x v="9"/>
    <n v="45186"/>
    <x v="1"/>
  </r>
  <r>
    <x v="0"/>
    <x v="6"/>
    <x v="73"/>
    <n v="3654"/>
    <n v="27.1"/>
    <x v="22"/>
    <s v="Spray"/>
    <x v="118"/>
    <n v="54"/>
    <x v="9"/>
    <n v="238542"/>
    <x v="1"/>
  </r>
  <r>
    <x v="0"/>
    <x v="6"/>
    <x v="60"/>
    <n v="3654"/>
    <n v="27.1"/>
    <x v="22"/>
    <s v="Spray"/>
    <x v="119"/>
    <n v="53"/>
    <x v="9"/>
    <n v="1516"/>
    <x v="1"/>
  </r>
  <r>
    <x v="0"/>
    <x v="6"/>
    <x v="74"/>
    <n v="3654"/>
    <n v="27.1"/>
    <x v="22"/>
    <s v="Spray"/>
    <x v="120"/>
    <n v="52"/>
    <x v="9"/>
    <n v="57259"/>
    <x v="1"/>
  </r>
  <r>
    <x v="0"/>
    <x v="6"/>
    <x v="75"/>
    <n v="233"/>
    <n v="26.8"/>
    <x v="22"/>
    <s v="Spray"/>
    <x v="121"/>
    <n v="51"/>
    <x v="9"/>
    <n v="234779"/>
    <x v="1"/>
  </r>
  <r>
    <x v="0"/>
    <x v="6"/>
    <x v="76"/>
    <n v="233"/>
    <n v="26.8"/>
    <x v="22"/>
    <s v="Spray"/>
    <x v="122"/>
    <n v="57"/>
    <x v="9"/>
    <n v="1493"/>
    <x v="1"/>
  </r>
  <r>
    <x v="0"/>
    <x v="6"/>
    <x v="77"/>
    <n v="233"/>
    <n v="26.8"/>
    <x v="22"/>
    <s v="Spray"/>
    <x v="105"/>
    <n v="57"/>
    <x v="9"/>
    <n v="64409"/>
    <x v="1"/>
  </r>
  <r>
    <x v="0"/>
    <x v="6"/>
    <x v="78"/>
    <n v="234"/>
    <n v="37"/>
    <x v="22"/>
    <s v="Spray"/>
    <x v="123"/>
    <n v="60"/>
    <x v="9"/>
    <n v="249978"/>
    <x v="1"/>
  </r>
  <r>
    <x v="0"/>
    <x v="6"/>
    <x v="79"/>
    <n v="234"/>
    <n v="37"/>
    <x v="22"/>
    <s v="Spray"/>
    <x v="91"/>
    <n v="57"/>
    <x v="10"/>
    <n v="637"/>
    <x v="1"/>
  </r>
  <r>
    <x v="0"/>
    <x v="6"/>
    <x v="80"/>
    <n v="234"/>
    <n v="37"/>
    <x v="22"/>
    <s v="Spray"/>
    <x v="92"/>
    <n v="57"/>
    <x v="10"/>
    <n v="43311"/>
    <x v="1"/>
  </r>
  <r>
    <x v="0"/>
    <x v="6"/>
    <x v="81"/>
    <n v="3105"/>
    <n v="38"/>
    <x v="22"/>
    <s v="Spray"/>
    <x v="93"/>
    <n v="54"/>
    <x v="10"/>
    <n v="24848"/>
    <x v="1"/>
  </r>
  <r>
    <x v="0"/>
    <x v="6"/>
    <x v="82"/>
    <n v="3105"/>
    <n v="38"/>
    <x v="22"/>
    <s v="Spray"/>
    <x v="94"/>
    <n v="54.5"/>
    <x v="10"/>
    <n v="761"/>
    <x v="1"/>
  </r>
  <r>
    <x v="0"/>
    <x v="6"/>
    <x v="83"/>
    <n v="3105"/>
    <n v="38"/>
    <x v="22"/>
    <s v="Spray"/>
    <x v="95"/>
    <n v="56.6"/>
    <x v="10"/>
    <n v="45608"/>
    <x v="1"/>
  </r>
  <r>
    <x v="0"/>
    <x v="6"/>
    <x v="84"/>
    <n v="236"/>
    <n v="39"/>
    <x v="22"/>
    <s v="Drip"/>
    <x v="96"/>
    <n v="55.5"/>
    <x v="10"/>
    <n v="234581"/>
    <x v="1"/>
  </r>
  <r>
    <x v="0"/>
    <x v="6"/>
    <x v="85"/>
    <n v="2903.1"/>
    <n v="39"/>
    <x v="22"/>
    <s v="Drip"/>
    <x v="97"/>
    <n v="58.5"/>
    <x v="10"/>
    <n v="646"/>
    <x v="1"/>
  </r>
  <r>
    <x v="0"/>
    <x v="6"/>
    <x v="86"/>
    <n v="2903.1"/>
    <n v="39"/>
    <x v="22"/>
    <s v="Drip"/>
    <x v="98"/>
    <n v="59.5"/>
    <x v="10"/>
    <n v="43562"/>
    <x v="1"/>
  </r>
  <r>
    <x v="0"/>
    <x v="6"/>
    <x v="87"/>
    <n v="2903.1"/>
    <n v="40"/>
    <x v="22"/>
    <s v="Drip"/>
    <x v="99"/>
    <n v="55"/>
    <x v="10"/>
    <n v="200000"/>
    <x v="1"/>
  </r>
  <r>
    <x v="0"/>
    <x v="6"/>
    <x v="88"/>
    <n v="2996.6"/>
    <n v="40"/>
    <x v="22"/>
    <s v="Drip"/>
    <x v="100"/>
    <n v="53"/>
    <x v="10"/>
    <n v="4847"/>
    <x v="1"/>
  </r>
  <r>
    <x v="0"/>
    <x v="6"/>
    <x v="89"/>
    <n v="2996.6"/>
    <n v="40"/>
    <x v="22"/>
    <s v="Drip"/>
    <x v="101"/>
    <n v="53.5"/>
    <x v="10"/>
    <n v="51239"/>
    <x v="1"/>
  </r>
  <r>
    <x v="0"/>
    <x v="6"/>
    <x v="90"/>
    <n v="2996.6"/>
    <n v="41"/>
    <x v="22"/>
    <s v="Drip"/>
    <x v="102"/>
    <n v="52.5"/>
    <x v="10"/>
    <n v="216396"/>
    <x v="1"/>
  </r>
  <r>
    <x v="0"/>
    <x v="6"/>
    <x v="91"/>
    <n v="3522.8"/>
    <n v="41"/>
    <x v="22"/>
    <s v="Drip"/>
    <x v="102"/>
    <n v="56"/>
    <x v="10"/>
    <n v="2644"/>
    <x v="1"/>
  </r>
  <r>
    <x v="0"/>
    <x v="6"/>
    <x v="92"/>
    <n v="3522.8"/>
    <n v="41"/>
    <x v="22"/>
    <s v="Drip"/>
    <x v="103"/>
    <n v="59.5"/>
    <x v="10"/>
    <n v="44235"/>
    <x v="1"/>
  </r>
  <r>
    <x v="0"/>
    <x v="6"/>
    <x v="64"/>
    <n v="3522.8"/>
    <n v="42"/>
    <x v="22"/>
    <s v="Drip"/>
    <x v="104"/>
    <n v="55"/>
    <x v="10"/>
    <n v="203317"/>
    <x v="1"/>
  </r>
  <r>
    <x v="0"/>
    <x v="6"/>
    <x v="93"/>
    <n v="3729.8"/>
    <n v="42"/>
    <x v="22"/>
    <s v="Drip"/>
    <x v="105"/>
    <n v="53"/>
    <x v="11"/>
    <n v="2134"/>
    <x v="1"/>
  </r>
  <r>
    <x v="0"/>
    <x v="6"/>
    <x v="94"/>
    <n v="3729.8"/>
    <n v="42"/>
    <x v="22"/>
    <s v="Drip"/>
    <x v="106"/>
    <n v="53.5"/>
    <x v="11"/>
    <n v="45186"/>
    <x v="1"/>
  </r>
  <r>
    <x v="0"/>
    <x v="6"/>
    <x v="95"/>
    <n v="3729.8"/>
    <n v="43"/>
    <x v="22"/>
    <s v="Drip"/>
    <x v="107"/>
    <n v="52.5"/>
    <x v="11"/>
    <n v="238542"/>
    <x v="1"/>
  </r>
  <r>
    <x v="0"/>
    <x v="6"/>
    <x v="96"/>
    <n v="2746.2"/>
    <n v="43"/>
    <x v="22"/>
    <s v="Drip"/>
    <x v="108"/>
    <n v="56"/>
    <x v="11"/>
    <n v="1516"/>
    <x v="1"/>
  </r>
  <r>
    <x v="0"/>
    <x v="0"/>
    <x v="97"/>
    <n v="2746.2"/>
    <n v="27"/>
    <x v="22"/>
    <s v="Drip"/>
    <x v="109"/>
    <n v="57"/>
    <x v="11"/>
    <n v="57259"/>
    <x v="1"/>
  </r>
  <r>
    <x v="0"/>
    <x v="0"/>
    <x v="98"/>
    <n v="2746.2"/>
    <n v="27"/>
    <x v="22"/>
    <s v="Drip"/>
    <x v="110"/>
    <n v="57.5"/>
    <x v="11"/>
    <n v="234779"/>
    <x v="1"/>
  </r>
  <r>
    <x v="0"/>
    <x v="0"/>
    <x v="99"/>
    <n v="3360"/>
    <n v="27"/>
    <x v="22"/>
    <s v="Drip"/>
    <x v="111"/>
    <n v="57"/>
    <x v="11"/>
    <n v="1493"/>
    <x v="1"/>
  </r>
  <r>
    <x v="0"/>
    <x v="0"/>
    <x v="100"/>
    <n v="3360"/>
    <n v="27"/>
    <x v="22"/>
    <s v="Drip"/>
    <x v="112"/>
    <n v="55"/>
    <x v="11"/>
    <n v="64409"/>
    <x v="1"/>
  </r>
  <r>
    <x v="0"/>
    <x v="0"/>
    <x v="101"/>
    <n v="3360"/>
    <n v="27"/>
    <x v="22"/>
    <s v="Drip"/>
    <x v="113"/>
    <n v="56"/>
    <x v="11"/>
    <n v="249978"/>
    <x v="1"/>
  </r>
  <r>
    <x v="0"/>
    <x v="0"/>
    <x v="102"/>
    <n v="3605.4"/>
    <n v="27"/>
    <x v="22"/>
    <s v="Drip"/>
    <x v="114"/>
    <n v="54"/>
    <x v="11"/>
    <n v="637"/>
    <x v="1"/>
  </r>
  <r>
    <x v="0"/>
    <x v="0"/>
    <x v="103"/>
    <n v="3605.4"/>
    <n v="27.2"/>
    <x v="22"/>
    <s v="Drip"/>
    <x v="115"/>
    <n v="58"/>
    <x v="11"/>
    <n v="43311"/>
    <x v="1"/>
  </r>
  <r>
    <x v="0"/>
    <x v="0"/>
    <x v="104"/>
    <n v="3605.4"/>
    <n v="27.2"/>
    <x v="22"/>
    <s v="Drip"/>
    <x v="116"/>
    <n v="58"/>
    <x v="11"/>
    <n v="24848"/>
    <x v="1"/>
  </r>
  <r>
    <x v="0"/>
    <x v="0"/>
    <x v="105"/>
    <n v="3512.4"/>
    <n v="27.2"/>
    <x v="22"/>
    <s v="Drip"/>
    <x v="117"/>
    <n v="59"/>
    <x v="11"/>
    <n v="761"/>
    <x v="1"/>
  </r>
  <r>
    <x v="0"/>
    <x v="0"/>
    <x v="106"/>
    <n v="3512.4"/>
    <n v="27"/>
    <x v="22"/>
    <s v="Drip"/>
    <x v="118"/>
    <n v="50"/>
    <x v="11"/>
    <n v="45608"/>
    <x v="1"/>
  </r>
  <r>
    <x v="0"/>
    <x v="0"/>
    <x v="107"/>
    <n v="3512.4"/>
    <n v="27"/>
    <x v="22"/>
    <s v="Drip"/>
    <x v="119"/>
    <n v="54"/>
    <x v="11"/>
    <n v="234581"/>
    <x v="1"/>
  </r>
  <r>
    <x v="0"/>
    <x v="0"/>
    <x v="108"/>
    <n v="3296"/>
    <n v="27"/>
    <x v="22"/>
    <s v="Drip"/>
    <x v="120"/>
    <n v="53"/>
    <x v="0"/>
    <n v="646"/>
    <x v="1"/>
  </r>
  <r>
    <x v="0"/>
    <x v="0"/>
    <x v="109"/>
    <n v="3296"/>
    <n v="27"/>
    <x v="22"/>
    <s v="Drip"/>
    <x v="121"/>
    <n v="59.5"/>
    <x v="0"/>
    <n v="43562"/>
    <x v="1"/>
  </r>
  <r>
    <x v="0"/>
    <x v="0"/>
    <x v="110"/>
    <n v="3296"/>
    <n v="27"/>
    <x v="22"/>
    <s v="Drip"/>
    <x v="122"/>
    <n v="55"/>
    <x v="0"/>
    <n v="200000"/>
    <x v="1"/>
  </r>
  <r>
    <x v="0"/>
    <x v="1"/>
    <x v="111"/>
    <n v="3550"/>
    <n v="27"/>
    <x v="22"/>
    <s v="Drip"/>
    <x v="105"/>
    <n v="53"/>
    <x v="0"/>
    <n v="4847"/>
    <x v="1"/>
  </r>
  <r>
    <x v="0"/>
    <x v="1"/>
    <x v="112"/>
    <n v="3550"/>
    <n v="27.2"/>
    <x v="22"/>
    <s v="Drip"/>
    <x v="123"/>
    <n v="53.5"/>
    <x v="0"/>
    <n v="51239"/>
    <x v="1"/>
  </r>
  <r>
    <x v="0"/>
    <x v="1"/>
    <x v="113"/>
    <n v="3550"/>
    <n v="27.2"/>
    <x v="23"/>
    <s v="Drip"/>
    <x v="0"/>
    <n v="52.5"/>
    <x v="0"/>
    <n v="216396"/>
    <x v="1"/>
  </r>
  <r>
    <x v="0"/>
    <x v="1"/>
    <x v="114"/>
    <n v="3654"/>
    <n v="27.2"/>
    <x v="23"/>
    <s v="Drip"/>
    <x v="1"/>
    <n v="56"/>
    <x v="0"/>
    <n v="2644"/>
    <x v="1"/>
  </r>
  <r>
    <x v="0"/>
    <x v="1"/>
    <x v="115"/>
    <n v="3654"/>
    <n v="27.1"/>
    <x v="23"/>
    <s v="Drip"/>
    <x v="2"/>
    <n v="57"/>
    <x v="0"/>
    <n v="44235"/>
    <x v="1"/>
  </r>
  <r>
    <x v="0"/>
    <x v="1"/>
    <x v="116"/>
    <n v="3654"/>
    <n v="27.1"/>
    <x v="23"/>
    <s v="Drip"/>
    <x v="3"/>
    <n v="57.5"/>
    <x v="0"/>
    <n v="203317"/>
    <x v="1"/>
  </r>
  <r>
    <x v="0"/>
    <x v="1"/>
    <x v="117"/>
    <n v="233"/>
    <n v="27.1"/>
    <x v="23"/>
    <s v="Drip"/>
    <x v="4"/>
    <n v="57"/>
    <x v="0"/>
    <n v="2134"/>
    <x v="1"/>
  </r>
  <r>
    <x v="0"/>
    <x v="1"/>
    <x v="118"/>
    <n v="233"/>
    <n v="26.8"/>
    <x v="23"/>
    <s v="Drip"/>
    <x v="5"/>
    <n v="55"/>
    <x v="0"/>
    <n v="45186"/>
    <x v="1"/>
  </r>
  <r>
    <x v="0"/>
    <x v="1"/>
    <x v="119"/>
    <n v="233"/>
    <n v="26.8"/>
    <x v="23"/>
    <s v="Drip"/>
    <x v="6"/>
    <n v="56"/>
    <x v="0"/>
    <n v="238542"/>
    <x v="1"/>
  </r>
  <r>
    <x v="0"/>
    <x v="1"/>
    <x v="120"/>
    <n v="234"/>
    <n v="26.8"/>
    <x v="23"/>
    <s v="Drip"/>
    <x v="7"/>
    <n v="54"/>
    <x v="0"/>
    <n v="1516"/>
    <x v="1"/>
  </r>
  <r>
    <x v="0"/>
    <x v="1"/>
    <x v="12"/>
    <n v="234"/>
    <n v="37"/>
    <x v="23"/>
    <s v="Drip"/>
    <x v="8"/>
    <n v="58"/>
    <x v="0"/>
    <n v="200000"/>
    <x v="1"/>
  </r>
  <r>
    <x v="0"/>
    <x v="1"/>
    <x v="121"/>
    <n v="234"/>
    <n v="37"/>
    <x v="23"/>
    <s v="Drip"/>
    <x v="9"/>
    <n v="58"/>
    <x v="0"/>
    <n v="4847"/>
    <x v="1"/>
  </r>
  <r>
    <x v="0"/>
    <x v="1"/>
    <x v="122"/>
    <n v="3105"/>
    <n v="37"/>
    <x v="23"/>
    <s v="Drip"/>
    <x v="10"/>
    <n v="59"/>
    <x v="0"/>
    <n v="51239"/>
    <x v="1"/>
  </r>
  <r>
    <x v="0"/>
    <x v="2"/>
    <x v="123"/>
    <n v="3105"/>
    <n v="38"/>
    <x v="23"/>
    <s v="Drip"/>
    <x v="11"/>
    <n v="50"/>
    <x v="6"/>
    <n v="216396"/>
    <x v="1"/>
  </r>
  <r>
    <x v="0"/>
    <x v="2"/>
    <x v="9"/>
    <n v="3105"/>
    <n v="38"/>
    <x v="23"/>
    <s v="Drip"/>
    <x v="12"/>
    <n v="54"/>
    <x v="6"/>
    <n v="2644"/>
    <x v="1"/>
  </r>
  <r>
    <x v="0"/>
    <x v="2"/>
    <x v="124"/>
    <n v="236"/>
    <n v="38"/>
    <x v="23"/>
    <s v="Drip"/>
    <x v="13"/>
    <n v="53"/>
    <x v="6"/>
    <n v="44235"/>
    <x v="1"/>
  </r>
  <r>
    <x v="0"/>
    <x v="2"/>
    <x v="125"/>
    <n v="236"/>
    <n v="39"/>
    <x v="23"/>
    <s v="Basin"/>
    <x v="0"/>
    <n v="59.5"/>
    <x v="6"/>
    <n v="203317"/>
    <x v="1"/>
  </r>
  <r>
    <x v="0"/>
    <x v="2"/>
    <x v="126"/>
    <n v="321"/>
    <n v="39"/>
    <x v="23"/>
    <s v="Basin"/>
    <x v="1"/>
    <n v="55"/>
    <x v="6"/>
    <n v="2134"/>
    <x v="1"/>
  </r>
  <r>
    <x v="0"/>
    <x v="2"/>
    <x v="127"/>
    <n v="3654"/>
    <n v="39"/>
    <x v="23"/>
    <s v="Basin"/>
    <x v="2"/>
    <n v="53"/>
    <x v="6"/>
    <n v="45186"/>
    <x v="1"/>
  </r>
  <r>
    <x v="0"/>
    <x v="2"/>
    <x v="128"/>
    <n v="323"/>
    <n v="41"/>
    <x v="23"/>
    <s v="Basin"/>
    <x v="3"/>
    <n v="53.5"/>
    <x v="6"/>
    <n v="238542"/>
    <x v="1"/>
  </r>
  <r>
    <x v="0"/>
    <x v="2"/>
    <x v="129"/>
    <n v="324"/>
    <n v="42"/>
    <x v="23"/>
    <s v="Basin"/>
    <x v="4"/>
    <n v="52.5"/>
    <x v="6"/>
    <n v="1516"/>
    <x v="1"/>
  </r>
  <r>
    <x v="0"/>
    <x v="2"/>
    <x v="130"/>
    <n v="3105"/>
    <n v="42"/>
    <x v="23"/>
    <s v="Basin"/>
    <x v="5"/>
    <n v="56"/>
    <x v="6"/>
    <n v="57259"/>
    <x v="1"/>
  </r>
  <r>
    <x v="0"/>
    <x v="2"/>
    <x v="131"/>
    <n v="326"/>
    <n v="42"/>
    <x v="23"/>
    <s v="Basin"/>
    <x v="6"/>
    <n v="57"/>
    <x v="6"/>
    <n v="234779"/>
    <x v="1"/>
  </r>
  <r>
    <x v="0"/>
    <x v="2"/>
    <x v="132"/>
    <n v="327"/>
    <n v="43"/>
    <x v="23"/>
    <s v="Basin"/>
    <x v="7"/>
    <n v="57.5"/>
    <x v="6"/>
    <n v="1493"/>
    <x v="1"/>
  </r>
  <r>
    <x v="0"/>
    <x v="2"/>
    <x v="133"/>
    <n v="328"/>
    <n v="43"/>
    <x v="23"/>
    <s v="Basin"/>
    <x v="8"/>
    <n v="57"/>
    <x v="6"/>
    <n v="64409"/>
    <x v="1"/>
  </r>
  <r>
    <x v="0"/>
    <x v="2"/>
    <x v="134"/>
    <n v="2903.1"/>
    <n v="128"/>
    <x v="23"/>
    <s v="Basin"/>
    <x v="9"/>
    <n v="55"/>
    <x v="6"/>
    <n v="249978"/>
    <x v="1"/>
  </r>
  <r>
    <x v="0"/>
    <x v="2"/>
    <x v="135"/>
    <n v="2903.1"/>
    <n v="129"/>
    <x v="23"/>
    <s v="Basin"/>
    <x v="10"/>
    <n v="56"/>
    <x v="6"/>
    <n v="637"/>
    <x v="1"/>
  </r>
  <r>
    <x v="0"/>
    <x v="2"/>
    <x v="136"/>
    <n v="2903.1"/>
    <n v="130"/>
    <x v="23"/>
    <s v="Basin"/>
    <x v="11"/>
    <n v="54"/>
    <x v="6"/>
    <n v="43311"/>
    <x v="1"/>
  </r>
  <r>
    <x v="0"/>
    <x v="3"/>
    <x v="137"/>
    <n v="2996.6"/>
    <n v="131"/>
    <x v="23"/>
    <s v="Drip"/>
    <x v="12"/>
    <n v="57"/>
    <x v="0"/>
    <n v="200000"/>
    <x v="1"/>
  </r>
  <r>
    <x v="0"/>
    <x v="3"/>
    <x v="138"/>
    <n v="2996.6"/>
    <n v="132"/>
    <x v="23"/>
    <s v="Drip"/>
    <x v="13"/>
    <n v="57.5"/>
    <x v="0"/>
    <n v="4847"/>
    <x v="1"/>
  </r>
  <r>
    <x v="0"/>
    <x v="3"/>
    <x v="139"/>
    <n v="2996.6"/>
    <n v="133"/>
    <x v="23"/>
    <s v="Drip"/>
    <x v="14"/>
    <n v="57"/>
    <x v="0"/>
    <n v="51239"/>
    <x v="1"/>
  </r>
  <r>
    <x v="0"/>
    <x v="3"/>
    <x v="140"/>
    <n v="3522.8"/>
    <n v="134"/>
    <x v="23"/>
    <s v="Drip"/>
    <x v="15"/>
    <n v="55"/>
    <x v="0"/>
    <n v="216396"/>
    <x v="1"/>
  </r>
  <r>
    <x v="0"/>
    <x v="3"/>
    <x v="141"/>
    <n v="3522.8"/>
    <n v="135"/>
    <x v="23"/>
    <s v="Drip"/>
    <x v="16"/>
    <n v="56"/>
    <x v="0"/>
    <n v="2644"/>
    <x v="1"/>
  </r>
  <r>
    <x v="0"/>
    <x v="3"/>
    <x v="142"/>
    <n v="3522.8"/>
    <n v="136"/>
    <x v="0"/>
    <s v="Drip"/>
    <x v="17"/>
    <n v="54"/>
    <x v="0"/>
    <n v="44235"/>
    <x v="1"/>
  </r>
  <r>
    <x v="0"/>
    <x v="3"/>
    <x v="143"/>
    <n v="3729.8"/>
    <n v="137"/>
    <x v="0"/>
    <s v="Drip"/>
    <x v="18"/>
    <n v="58"/>
    <x v="0"/>
    <n v="203317"/>
    <x v="1"/>
  </r>
  <r>
    <x v="0"/>
    <x v="3"/>
    <x v="144"/>
    <n v="3729.8"/>
    <n v="138"/>
    <x v="0"/>
    <s v="Drip"/>
    <x v="19"/>
    <n v="58"/>
    <x v="0"/>
    <n v="2134"/>
    <x v="1"/>
  </r>
  <r>
    <x v="0"/>
    <x v="3"/>
    <x v="145"/>
    <n v="3729.8"/>
    <n v="139"/>
    <x v="0"/>
    <s v="Drip"/>
    <x v="20"/>
    <n v="59"/>
    <x v="0"/>
    <n v="45186"/>
    <x v="1"/>
  </r>
  <r>
    <x v="1"/>
    <x v="3"/>
    <x v="146"/>
    <n v="2746.2"/>
    <n v="140"/>
    <x v="0"/>
    <s v="Drip"/>
    <x v="21"/>
    <n v="50"/>
    <x v="0"/>
    <n v="238542"/>
    <x v="1"/>
  </r>
  <r>
    <x v="2"/>
    <x v="3"/>
    <x v="147"/>
    <n v="2746.2"/>
    <n v="141"/>
    <x v="0"/>
    <s v="Drip"/>
    <x v="22"/>
    <n v="54"/>
    <x v="0"/>
    <n v="1516"/>
    <x v="1"/>
  </r>
  <r>
    <x v="3"/>
    <x v="3"/>
    <x v="148"/>
    <n v="2746.2"/>
    <n v="142"/>
    <x v="0"/>
    <s v="Drip"/>
    <x v="23"/>
    <n v="53"/>
    <x v="0"/>
    <n v="57259"/>
    <x v="1"/>
  </r>
  <r>
    <x v="4"/>
    <x v="3"/>
    <x v="73"/>
    <n v="3360"/>
    <n v="143"/>
    <x v="0"/>
    <s v="Drip"/>
    <x v="24"/>
    <n v="52"/>
    <x v="0"/>
    <n v="234779"/>
    <x v="1"/>
  </r>
  <r>
    <x v="5"/>
    <x v="3"/>
    <x v="71"/>
    <n v="3360"/>
    <n v="144"/>
    <x v="0"/>
    <s v="Drip"/>
    <x v="25"/>
    <n v="51"/>
    <x v="0"/>
    <n v="1493"/>
    <x v="1"/>
  </r>
  <r>
    <x v="6"/>
    <x v="3"/>
    <x v="149"/>
    <n v="3360"/>
    <n v="145"/>
    <x v="0"/>
    <s v="Drip"/>
    <x v="26"/>
    <n v="57"/>
    <x v="0"/>
    <n v="64409"/>
    <x v="1"/>
  </r>
  <r>
    <x v="0"/>
    <x v="3"/>
    <x v="150"/>
    <n v="3605.4"/>
    <n v="146"/>
    <x v="0"/>
    <s v="Drip"/>
    <x v="27"/>
    <n v="57"/>
    <x v="0"/>
    <n v="249978"/>
    <x v="1"/>
  </r>
  <r>
    <x v="7"/>
    <x v="3"/>
    <x v="149"/>
    <n v="3605.4"/>
    <n v="147"/>
    <x v="0"/>
    <s v="Drip"/>
    <x v="28"/>
    <n v="60"/>
    <x v="0"/>
    <n v="637"/>
    <x v="1"/>
  </r>
  <r>
    <x v="8"/>
    <x v="3"/>
    <x v="151"/>
    <n v="3605.4"/>
    <n v="148"/>
    <x v="0"/>
    <s v="Drip"/>
    <x v="29"/>
    <n v="57"/>
    <x v="0"/>
    <n v="43311"/>
    <x v="1"/>
  </r>
  <r>
    <x v="9"/>
    <x v="3"/>
    <x v="152"/>
    <n v="3512.4"/>
    <n v="149"/>
    <x v="0"/>
    <s v="Drip"/>
    <x v="30"/>
    <n v="57"/>
    <x v="0"/>
    <n v="24848"/>
    <x v="1"/>
  </r>
  <r>
    <x v="10"/>
    <x v="3"/>
    <x v="151"/>
    <n v="3512.4"/>
    <n v="150"/>
    <x v="0"/>
    <s v="Drip"/>
    <x v="31"/>
    <n v="54"/>
    <x v="0"/>
    <n v="761"/>
    <x v="1"/>
  </r>
  <r>
    <x v="11"/>
    <x v="4"/>
    <x v="153"/>
    <n v="3512.4"/>
    <n v="151"/>
    <x v="0"/>
    <s v="Drip"/>
    <x v="32"/>
    <n v="54.5"/>
    <x v="0"/>
    <n v="45608"/>
    <x v="1"/>
  </r>
  <r>
    <x v="12"/>
    <x v="4"/>
    <x v="154"/>
    <n v="3296"/>
    <n v="152"/>
    <x v="0"/>
    <s v="Drip"/>
    <x v="33"/>
    <n v="56.6"/>
    <x v="0"/>
    <n v="234581"/>
    <x v="1"/>
  </r>
  <r>
    <x v="13"/>
    <x v="4"/>
    <x v="155"/>
    <n v="3296"/>
    <n v="153"/>
    <x v="0"/>
    <s v="Drip"/>
    <x v="34"/>
    <n v="55.5"/>
    <x v="0"/>
    <n v="646"/>
    <x v="1"/>
  </r>
  <r>
    <x v="14"/>
    <x v="4"/>
    <x v="5"/>
    <n v="3296"/>
    <n v="154"/>
    <x v="0"/>
    <s v="Drip"/>
    <x v="35"/>
    <n v="58.5"/>
    <x v="0"/>
    <n v="43562"/>
    <x v="1"/>
  </r>
  <r>
    <x v="1"/>
    <x v="4"/>
    <x v="6"/>
    <n v="3550"/>
    <n v="155"/>
    <x v="0"/>
    <s v="Drip"/>
    <x v="36"/>
    <n v="59.5"/>
    <x v="0"/>
    <n v="200000"/>
    <x v="1"/>
  </r>
  <r>
    <x v="2"/>
    <x v="4"/>
    <x v="7"/>
    <n v="3550"/>
    <n v="156"/>
    <x v="0"/>
    <s v="Drip"/>
    <x v="37"/>
    <n v="55"/>
    <x v="0"/>
    <n v="4847"/>
    <x v="1"/>
  </r>
  <r>
    <x v="3"/>
    <x v="4"/>
    <x v="8"/>
    <n v="3550"/>
    <n v="157"/>
    <x v="0"/>
    <s v="Drip"/>
    <x v="38"/>
    <n v="53"/>
    <x v="0"/>
    <n v="51239"/>
    <x v="1"/>
  </r>
  <r>
    <x v="4"/>
    <x v="4"/>
    <x v="9"/>
    <n v="3654"/>
    <n v="158"/>
    <x v="0"/>
    <s v="Drip"/>
    <x v="39"/>
    <n v="53.5"/>
    <x v="0"/>
    <n v="216396"/>
    <x v="1"/>
  </r>
  <r>
    <x v="5"/>
    <x v="4"/>
    <x v="10"/>
    <n v="3654"/>
    <n v="159"/>
    <x v="0"/>
    <s v="Drip"/>
    <x v="40"/>
    <n v="52.5"/>
    <x v="0"/>
    <n v="2644"/>
    <x v="1"/>
  </r>
  <r>
    <x v="6"/>
    <x v="4"/>
    <x v="11"/>
    <n v="3654"/>
    <n v="160"/>
    <x v="0"/>
    <s v="Drip"/>
    <x v="41"/>
    <n v="56"/>
    <x v="0"/>
    <n v="44235"/>
    <x v="1"/>
  </r>
  <r>
    <x v="0"/>
    <x v="4"/>
    <x v="12"/>
    <n v="233"/>
    <n v="161"/>
    <x v="0"/>
    <s v="Drip"/>
    <x v="42"/>
    <n v="57"/>
    <x v="0"/>
    <n v="203317"/>
    <x v="1"/>
  </r>
  <r>
    <x v="7"/>
    <x v="4"/>
    <x v="13"/>
    <n v="233"/>
    <n v="162"/>
    <x v="0"/>
    <s v="Drip"/>
    <x v="43"/>
    <n v="57.5"/>
    <x v="0"/>
    <n v="2134"/>
    <x v="1"/>
  </r>
  <r>
    <x v="8"/>
    <x v="4"/>
    <x v="14"/>
    <n v="233"/>
    <n v="163"/>
    <x v="0"/>
    <s v="Drip"/>
    <x v="44"/>
    <n v="57"/>
    <x v="0"/>
    <n v="45186"/>
    <x v="1"/>
  </r>
  <r>
    <x v="9"/>
    <x v="4"/>
    <x v="15"/>
    <n v="234"/>
    <n v="164"/>
    <x v="0"/>
    <s v="Drip"/>
    <x v="45"/>
    <n v="55"/>
    <x v="0"/>
    <n v="238542"/>
    <x v="1"/>
  </r>
  <r>
    <x v="10"/>
    <x v="4"/>
    <x v="16"/>
    <n v="234"/>
    <n v="165"/>
    <x v="0"/>
    <s v="Drip"/>
    <x v="46"/>
    <n v="56"/>
    <x v="0"/>
    <n v="1516"/>
    <x v="1"/>
  </r>
  <r>
    <x v="11"/>
    <x v="4"/>
    <x v="17"/>
    <n v="234"/>
    <n v="166"/>
    <x v="0"/>
    <s v="Drip"/>
    <x v="47"/>
    <n v="54"/>
    <x v="0"/>
    <n v="57259"/>
    <x v="1"/>
  </r>
  <r>
    <x v="12"/>
    <x v="4"/>
    <x v="18"/>
    <n v="3105"/>
    <n v="167"/>
    <x v="0"/>
    <s v="Drip"/>
    <x v="48"/>
    <n v="58"/>
    <x v="0"/>
    <n v="234779"/>
    <x v="1"/>
  </r>
  <r>
    <x v="13"/>
    <x v="4"/>
    <x v="19"/>
    <n v="3105"/>
    <n v="168"/>
    <x v="0"/>
    <s v="Drip"/>
    <x v="49"/>
    <n v="58"/>
    <x v="0"/>
    <n v="1493"/>
    <x v="1"/>
  </r>
  <r>
    <x v="14"/>
    <x v="4"/>
    <x v="20"/>
    <n v="3105"/>
    <n v="169"/>
    <x v="8"/>
    <s v="Drip"/>
    <x v="50"/>
    <n v="59"/>
    <x v="0"/>
    <n v="64409"/>
    <x v="1"/>
  </r>
  <r>
    <x v="1"/>
    <x v="4"/>
    <x v="21"/>
    <n v="236"/>
    <n v="170"/>
    <x v="8"/>
    <s v="Drip"/>
    <x v="51"/>
    <n v="50"/>
    <x v="0"/>
    <n v="249978"/>
    <x v="1"/>
  </r>
  <r>
    <x v="2"/>
    <x v="4"/>
    <x v="22"/>
    <n v="236"/>
    <n v="171"/>
    <x v="8"/>
    <s v="Drip"/>
    <x v="52"/>
    <n v="54"/>
    <x v="0"/>
    <n v="637"/>
    <x v="1"/>
  </r>
  <r>
    <x v="3"/>
    <x v="4"/>
    <x v="23"/>
    <n v="2903.1"/>
    <n v="172"/>
    <x v="8"/>
    <s v="Drip"/>
    <x v="53"/>
    <n v="53"/>
    <x v="0"/>
    <n v="43311"/>
    <x v="1"/>
  </r>
  <r>
    <x v="4"/>
    <x v="4"/>
    <x v="24"/>
    <n v="2903.1"/>
    <n v="173"/>
    <x v="8"/>
    <s v="Drip"/>
    <x v="54"/>
    <n v="52"/>
    <x v="0"/>
    <n v="24848"/>
    <x v="1"/>
  </r>
  <r>
    <x v="5"/>
    <x v="4"/>
    <x v="25"/>
    <n v="2903.1"/>
    <n v="174"/>
    <x v="8"/>
    <s v="Drip"/>
    <x v="55"/>
    <n v="51"/>
    <x v="0"/>
    <n v="761"/>
    <x v="1"/>
  </r>
  <r>
    <x v="6"/>
    <x v="4"/>
    <x v="26"/>
    <n v="2996.6"/>
    <n v="175"/>
    <x v="8"/>
    <s v="Basin"/>
    <x v="56"/>
    <n v="57"/>
    <x v="0"/>
    <n v="45608"/>
    <x v="1"/>
  </r>
  <r>
    <x v="0"/>
    <x v="4"/>
    <x v="27"/>
    <n v="2996.6"/>
    <n v="176"/>
    <x v="8"/>
    <s v="Basin"/>
    <x v="57"/>
    <n v="57"/>
    <x v="0"/>
    <n v="234581"/>
    <x v="1"/>
  </r>
  <r>
    <x v="7"/>
    <x v="4"/>
    <x v="28"/>
    <n v="2996.6"/>
    <n v="177"/>
    <x v="8"/>
    <s v="Basin"/>
    <x v="58"/>
    <n v="60"/>
    <x v="0"/>
    <n v="646"/>
    <x v="1"/>
  </r>
  <r>
    <x v="8"/>
    <x v="4"/>
    <x v="29"/>
    <n v="3522.8"/>
    <n v="178"/>
    <x v="8"/>
    <s v="Basin"/>
    <x v="59"/>
    <n v="57"/>
    <x v="0"/>
    <n v="43562"/>
    <x v="1"/>
  </r>
  <r>
    <x v="9"/>
    <x v="4"/>
    <x v="30"/>
    <n v="3522.8"/>
    <n v="179"/>
    <x v="8"/>
    <s v="Basin"/>
    <x v="60"/>
    <n v="57"/>
    <x v="0"/>
    <n v="200000"/>
    <x v="1"/>
  </r>
  <r>
    <x v="10"/>
    <x v="4"/>
    <x v="31"/>
    <n v="3522.8"/>
    <n v="180"/>
    <x v="8"/>
    <s v="Basin"/>
    <x v="61"/>
    <n v="54"/>
    <x v="0"/>
    <n v="4847"/>
    <x v="1"/>
  </r>
  <r>
    <x v="11"/>
    <x v="4"/>
    <x v="32"/>
    <n v="2903.1"/>
    <n v="181"/>
    <x v="8"/>
    <s v="Basin"/>
    <x v="62"/>
    <n v="54.5"/>
    <x v="0"/>
    <n v="51239"/>
    <x v="1"/>
  </r>
  <r>
    <x v="12"/>
    <x v="4"/>
    <x v="33"/>
    <n v="2903.1"/>
    <n v="182"/>
    <x v="8"/>
    <s v="Basin"/>
    <x v="63"/>
    <n v="56.6"/>
    <x v="0"/>
    <n v="216396"/>
    <x v="1"/>
  </r>
  <r>
    <x v="13"/>
    <x v="4"/>
    <x v="34"/>
    <n v="2903.1"/>
    <n v="183"/>
    <x v="8"/>
    <s v="Basin"/>
    <x v="64"/>
    <n v="55.5"/>
    <x v="0"/>
    <n v="2644"/>
    <x v="1"/>
  </r>
  <r>
    <x v="14"/>
    <x v="4"/>
    <x v="35"/>
    <n v="2996.6"/>
    <n v="184"/>
    <x v="8"/>
    <s v="Basin"/>
    <x v="65"/>
    <n v="58.5"/>
    <x v="0"/>
    <n v="44235"/>
    <x v="1"/>
  </r>
  <r>
    <x v="1"/>
    <x v="4"/>
    <x v="36"/>
    <n v="2996.6"/>
    <n v="185"/>
    <x v="8"/>
    <s v="Basin"/>
    <x v="62"/>
    <n v="59.5"/>
    <x v="0"/>
    <n v="203317"/>
    <x v="1"/>
  </r>
  <r>
    <x v="2"/>
    <x v="4"/>
    <x v="37"/>
    <n v="2996.6"/>
    <n v="186"/>
    <x v="8"/>
    <s v="Basin"/>
    <x v="66"/>
    <n v="55"/>
    <x v="0"/>
    <n v="2134"/>
    <x v="1"/>
  </r>
  <r>
    <x v="3"/>
    <x v="4"/>
    <x v="38"/>
    <n v="3522.8"/>
    <n v="187"/>
    <x v="8"/>
    <s v="Basin"/>
    <x v="67"/>
    <n v="53"/>
    <x v="0"/>
    <n v="45186"/>
    <x v="1"/>
  </r>
  <r>
    <x v="4"/>
    <x v="4"/>
    <x v="39"/>
    <n v="3522.8"/>
    <n v="188"/>
    <x v="8"/>
    <s v="Basin"/>
    <x v="68"/>
    <n v="53.5"/>
    <x v="0"/>
    <n v="238542"/>
    <x v="1"/>
  </r>
  <r>
    <x v="5"/>
    <x v="4"/>
    <x v="40"/>
    <n v="3522.8"/>
    <n v="189"/>
    <x v="8"/>
    <s v="Basin"/>
    <x v="69"/>
    <n v="52.5"/>
    <x v="0"/>
    <n v="1516"/>
    <x v="1"/>
  </r>
  <r>
    <x v="6"/>
    <x v="4"/>
    <x v="41"/>
    <n v="3729.8"/>
    <n v="190"/>
    <x v="8"/>
    <s v="Basin"/>
    <x v="70"/>
    <n v="56"/>
    <x v="0"/>
    <n v="57259"/>
    <x v="1"/>
  </r>
  <r>
    <x v="0"/>
    <x v="4"/>
    <x v="42"/>
    <n v="3729.8"/>
    <n v="191"/>
    <x v="8"/>
    <s v="Basin"/>
    <x v="71"/>
    <n v="57"/>
    <x v="0"/>
    <n v="234779"/>
    <x v="1"/>
  </r>
  <r>
    <x v="7"/>
    <x v="4"/>
    <x v="43"/>
    <n v="3729.8"/>
    <n v="192"/>
    <x v="8"/>
    <s v="Basin"/>
    <x v="72"/>
    <n v="57.5"/>
    <x v="0"/>
    <n v="1493"/>
    <x v="1"/>
  </r>
  <r>
    <x v="8"/>
    <x v="4"/>
    <x v="44"/>
    <n v="2746.2"/>
    <n v="193"/>
    <x v="8"/>
    <s v="Basin"/>
    <x v="73"/>
    <n v="57"/>
    <x v="0"/>
    <n v="64409"/>
    <x v="1"/>
  </r>
  <r>
    <x v="9"/>
    <x v="4"/>
    <x v="45"/>
    <n v="2746.2"/>
    <n v="194"/>
    <x v="8"/>
    <s v="Basin"/>
    <x v="74"/>
    <n v="55"/>
    <x v="0"/>
    <n v="249978"/>
    <x v="1"/>
  </r>
  <r>
    <x v="10"/>
    <x v="4"/>
    <x v="46"/>
    <n v="2746.2"/>
    <n v="195"/>
    <x v="8"/>
    <s v="Basin"/>
    <x v="75"/>
    <n v="56"/>
    <x v="0"/>
    <n v="200000"/>
    <x v="1"/>
  </r>
  <r>
    <x v="11"/>
    <x v="4"/>
    <x v="47"/>
    <n v="3360"/>
    <n v="196"/>
    <x v="8"/>
    <s v="Basin"/>
    <x v="76"/>
    <n v="54"/>
    <x v="0"/>
    <n v="4847"/>
    <x v="1"/>
  </r>
  <r>
    <x v="12"/>
    <x v="4"/>
    <x v="48"/>
    <n v="3360"/>
    <n v="197"/>
    <x v="8"/>
    <s v="Basin"/>
    <x v="60"/>
    <n v="58"/>
    <x v="0"/>
    <n v="51239"/>
    <x v="1"/>
  </r>
  <r>
    <x v="13"/>
    <x v="4"/>
    <x v="49"/>
    <n v="3360"/>
    <n v="198"/>
    <x v="8"/>
    <s v="Basin"/>
    <x v="77"/>
    <n v="58"/>
    <x v="0"/>
    <n v="216396"/>
    <x v="1"/>
  </r>
  <r>
    <x v="14"/>
    <x v="4"/>
    <x v="50"/>
    <n v="3605.4"/>
    <n v="199"/>
    <x v="2"/>
    <s v="Basin"/>
    <x v="78"/>
    <n v="59"/>
    <x v="0"/>
    <n v="2644"/>
    <x v="1"/>
  </r>
  <r>
    <x v="1"/>
    <x v="4"/>
    <x v="51"/>
    <n v="3605.4"/>
    <n v="200"/>
    <x v="2"/>
    <s v="Basin"/>
    <x v="79"/>
    <n v="50"/>
    <x v="0"/>
    <n v="44235"/>
    <x v="1"/>
  </r>
  <r>
    <x v="2"/>
    <x v="4"/>
    <x v="52"/>
    <n v="3605.4"/>
    <n v="201"/>
    <x v="2"/>
    <s v="Basin"/>
    <x v="80"/>
    <n v="54"/>
    <x v="0"/>
    <n v="203317"/>
    <x v="1"/>
  </r>
  <r>
    <x v="3"/>
    <x v="4"/>
    <x v="53"/>
    <n v="3512.4"/>
    <n v="202"/>
    <x v="2"/>
    <s v="Basin"/>
    <x v="81"/>
    <n v="53"/>
    <x v="0"/>
    <n v="2134"/>
    <x v="1"/>
  </r>
  <r>
    <x v="4"/>
    <x v="4"/>
    <x v="54"/>
    <n v="3512.4"/>
    <n v="203"/>
    <x v="2"/>
    <s v="Basin"/>
    <x v="82"/>
    <n v="52"/>
    <x v="0"/>
    <n v="45186"/>
    <x v="1"/>
  </r>
  <r>
    <x v="5"/>
    <x v="4"/>
    <x v="55"/>
    <n v="3512.4"/>
    <n v="204"/>
    <x v="2"/>
    <s v="Basin"/>
    <x v="83"/>
    <n v="51"/>
    <x v="0"/>
    <n v="238542"/>
    <x v="1"/>
  </r>
  <r>
    <x v="6"/>
    <x v="4"/>
    <x v="56"/>
    <n v="3296"/>
    <n v="205"/>
    <x v="19"/>
    <s v="Basin"/>
    <x v="84"/>
    <n v="57"/>
    <x v="0"/>
    <n v="1516"/>
    <x v="1"/>
  </r>
  <r>
    <x v="0"/>
    <x v="4"/>
    <x v="57"/>
    <n v="3296"/>
    <n v="206"/>
    <x v="19"/>
    <s v="Basin"/>
    <x v="85"/>
    <n v="57"/>
    <x v="0"/>
    <n v="57259"/>
    <x v="1"/>
  </r>
  <r>
    <x v="7"/>
    <x v="4"/>
    <x v="58"/>
    <n v="3296"/>
    <n v="207"/>
    <x v="19"/>
    <s v="Basin"/>
    <x v="86"/>
    <n v="60"/>
    <x v="0"/>
    <n v="234779"/>
    <x v="1"/>
  </r>
  <r>
    <x v="8"/>
    <x v="4"/>
    <x v="59"/>
    <n v="3550"/>
    <n v="208"/>
    <x v="19"/>
    <s v="Basin"/>
    <x v="87"/>
    <n v="57"/>
    <x v="0"/>
    <n v="1493"/>
    <x v="1"/>
  </r>
  <r>
    <x v="9"/>
    <x v="4"/>
    <x v="60"/>
    <n v="3550"/>
    <n v="209"/>
    <x v="19"/>
    <s v="Basin"/>
    <x v="88"/>
    <n v="57"/>
    <x v="0"/>
    <n v="64409"/>
    <x v="1"/>
  </r>
  <r>
    <x v="10"/>
    <x v="4"/>
    <x v="61"/>
    <n v="3550"/>
    <n v="210"/>
    <x v="19"/>
    <s v="Basin"/>
    <x v="89"/>
    <n v="54"/>
    <x v="0"/>
    <n v="249978"/>
    <x v="1"/>
  </r>
  <r>
    <x v="11"/>
    <x v="4"/>
    <x v="62"/>
    <n v="3654"/>
    <n v="211"/>
    <x v="19"/>
    <s v="Basin"/>
    <x v="90"/>
    <n v="54.5"/>
    <x v="0"/>
    <n v="637"/>
    <x v="1"/>
  </r>
  <r>
    <x v="12"/>
    <x v="4"/>
    <x v="63"/>
    <n v="3654"/>
    <n v="212"/>
    <x v="19"/>
    <s v="Basin"/>
    <x v="91"/>
    <n v="56.6"/>
    <x v="0"/>
    <n v="43311"/>
    <x v="1"/>
  </r>
  <r>
    <x v="13"/>
    <x v="4"/>
    <x v="64"/>
    <n v="3654"/>
    <n v="213"/>
    <x v="19"/>
    <s v="Basin"/>
    <x v="92"/>
    <n v="55.5"/>
    <x v="0"/>
    <n v="24848"/>
    <x v="1"/>
  </r>
  <r>
    <x v="14"/>
    <x v="4"/>
    <x v="65"/>
    <n v="233"/>
    <n v="214"/>
    <x v="19"/>
    <s v="Basin"/>
    <x v="93"/>
    <n v="58.5"/>
    <x v="0"/>
    <n v="761"/>
    <x v="1"/>
  </r>
  <r>
    <x v="1"/>
    <x v="4"/>
    <x v="62"/>
    <n v="233"/>
    <n v="215"/>
    <x v="19"/>
    <s v="Basin"/>
    <x v="94"/>
    <n v="59.5"/>
    <x v="0"/>
    <n v="45608"/>
    <x v="1"/>
  </r>
  <r>
    <x v="2"/>
    <x v="4"/>
    <x v="66"/>
    <n v="233"/>
    <n v="216"/>
    <x v="19"/>
    <s v="Basin"/>
    <x v="95"/>
    <n v="55"/>
    <x v="0"/>
    <n v="234581"/>
    <x v="1"/>
  </r>
  <r>
    <x v="3"/>
    <x v="4"/>
    <x v="67"/>
    <n v="234"/>
    <n v="217"/>
    <x v="19"/>
    <s v="Basin"/>
    <x v="96"/>
    <n v="53"/>
    <x v="0"/>
    <n v="646"/>
    <x v="1"/>
  </r>
  <r>
    <x v="4"/>
    <x v="4"/>
    <x v="68"/>
    <n v="234"/>
    <n v="218"/>
    <x v="19"/>
    <s v="Spray"/>
    <x v="97"/>
    <n v="53.5"/>
    <x v="0"/>
    <n v="43562"/>
    <x v="1"/>
  </r>
  <r>
    <x v="5"/>
    <x v="4"/>
    <x v="67"/>
    <n v="234"/>
    <n v="219"/>
    <x v="19"/>
    <s v="Spray"/>
    <x v="98"/>
    <n v="52.5"/>
    <x v="0"/>
    <n v="200000"/>
    <x v="1"/>
  </r>
  <r>
    <x v="6"/>
    <x v="4"/>
    <x v="69"/>
    <n v="3105"/>
    <n v="220"/>
    <x v="19"/>
    <s v="Spray"/>
    <x v="99"/>
    <n v="56"/>
    <x v="0"/>
    <n v="4847"/>
    <x v="1"/>
  </r>
  <r>
    <x v="0"/>
    <x v="4"/>
    <x v="70"/>
    <n v="3105"/>
    <n v="221"/>
    <x v="19"/>
    <s v="Spray"/>
    <x v="100"/>
    <n v="57"/>
    <x v="0"/>
    <n v="51239"/>
    <x v="1"/>
  </r>
  <r>
    <x v="7"/>
    <x v="4"/>
    <x v="71"/>
    <n v="3105"/>
    <n v="222"/>
    <x v="19"/>
    <s v="Spray"/>
    <x v="101"/>
    <n v="57.5"/>
    <x v="0"/>
    <n v="216396"/>
    <x v="1"/>
  </r>
  <r>
    <x v="8"/>
    <x v="4"/>
    <x v="64"/>
    <n v="236"/>
    <n v="27"/>
    <x v="19"/>
    <s v="Spray"/>
    <x v="102"/>
    <n v="57"/>
    <x v="0"/>
    <n v="2644"/>
    <x v="1"/>
  </r>
  <r>
    <x v="9"/>
    <x v="4"/>
    <x v="63"/>
    <n v="236"/>
    <n v="27"/>
    <x v="19"/>
    <s v="Spray"/>
    <x v="102"/>
    <n v="55"/>
    <x v="0"/>
    <n v="44235"/>
    <x v="1"/>
  </r>
  <r>
    <x v="10"/>
    <x v="4"/>
    <x v="72"/>
    <n v="2903.1"/>
    <n v="27"/>
    <x v="19"/>
    <s v="Spray"/>
    <x v="103"/>
    <n v="56"/>
    <x v="0"/>
    <n v="203317"/>
    <x v="1"/>
  </r>
  <r>
    <x v="11"/>
    <x v="4"/>
    <x v="73"/>
    <n v="2903.1"/>
    <n v="27"/>
    <x v="19"/>
    <s v="Spray"/>
    <x v="104"/>
    <n v="54"/>
    <x v="0"/>
    <n v="2134"/>
    <x v="1"/>
  </r>
  <r>
    <x v="12"/>
    <x v="4"/>
    <x v="60"/>
    <n v="2903.1"/>
    <n v="27"/>
    <x v="19"/>
    <s v="Spray"/>
    <x v="105"/>
    <n v="58"/>
    <x v="0"/>
    <n v="45186"/>
    <x v="1"/>
  </r>
  <r>
    <x v="13"/>
    <x v="4"/>
    <x v="74"/>
    <n v="2996.6"/>
    <n v="27.2"/>
    <x v="19"/>
    <s v="Spray"/>
    <x v="106"/>
    <n v="58"/>
    <x v="0"/>
    <n v="238542"/>
    <x v="1"/>
  </r>
  <r>
    <x v="14"/>
    <x v="4"/>
    <x v="75"/>
    <n v="2996.6"/>
    <n v="27.2"/>
    <x v="19"/>
    <s v="Spray"/>
    <x v="107"/>
    <n v="59"/>
    <x v="0"/>
    <n v="1516"/>
    <x v="1"/>
  </r>
  <r>
    <x v="1"/>
    <x v="4"/>
    <x v="76"/>
    <n v="2996.6"/>
    <n v="27.2"/>
    <x v="19"/>
    <s v="Spray"/>
    <x v="108"/>
    <n v="50"/>
    <x v="0"/>
    <n v="57259"/>
    <x v="1"/>
  </r>
  <r>
    <x v="2"/>
    <x v="4"/>
    <x v="77"/>
    <n v="3522.8"/>
    <n v="27"/>
    <x v="19"/>
    <s v="Spray"/>
    <x v="109"/>
    <n v="54"/>
    <x v="0"/>
    <n v="234779"/>
    <x v="1"/>
  </r>
  <r>
    <x v="3"/>
    <x v="4"/>
    <x v="78"/>
    <n v="3522.8"/>
    <n v="27"/>
    <x v="19"/>
    <s v="Spray"/>
    <x v="110"/>
    <n v="53"/>
    <x v="0"/>
    <n v="1493"/>
    <x v="1"/>
  </r>
  <r>
    <x v="4"/>
    <x v="4"/>
    <x v="79"/>
    <n v="3522.8"/>
    <n v="27"/>
    <x v="19"/>
    <s v="Spray"/>
    <x v="111"/>
    <n v="52"/>
    <x v="0"/>
    <n v="64409"/>
    <x v="1"/>
  </r>
  <r>
    <x v="5"/>
    <x v="4"/>
    <x v="80"/>
    <n v="2903.1"/>
    <n v="27"/>
    <x v="19"/>
    <s v="Spray"/>
    <x v="112"/>
    <n v="51"/>
    <x v="0"/>
    <n v="249978"/>
    <x v="1"/>
  </r>
  <r>
    <x v="6"/>
    <x v="4"/>
    <x v="81"/>
    <n v="2903.1"/>
    <n v="27"/>
    <x v="19"/>
    <s v="Spray"/>
    <x v="113"/>
    <n v="57"/>
    <x v="0"/>
    <n v="637"/>
    <x v="1"/>
  </r>
  <r>
    <x v="0"/>
    <x v="4"/>
    <x v="82"/>
    <n v="2903.1"/>
    <n v="27"/>
    <x v="19"/>
    <s v="Spray"/>
    <x v="114"/>
    <n v="57"/>
    <x v="0"/>
    <n v="43311"/>
    <x v="1"/>
  </r>
  <r>
    <x v="7"/>
    <x v="4"/>
    <x v="83"/>
    <n v="2996.6"/>
    <n v="27.2"/>
    <x v="19"/>
    <s v="Spray"/>
    <x v="115"/>
    <n v="60"/>
    <x v="0"/>
    <n v="24848"/>
    <x v="1"/>
  </r>
  <r>
    <x v="8"/>
    <x v="4"/>
    <x v="84"/>
    <n v="2996.6"/>
    <n v="27.2"/>
    <x v="19"/>
    <s v="Spray"/>
    <x v="116"/>
    <n v="57"/>
    <x v="0"/>
    <n v="761"/>
    <x v="1"/>
  </r>
  <r>
    <x v="9"/>
    <x v="4"/>
    <x v="85"/>
    <n v="2996.6"/>
    <n v="27.2"/>
    <x v="19"/>
    <s v="Spray"/>
    <x v="117"/>
    <n v="57"/>
    <x v="0"/>
    <n v="45608"/>
    <x v="1"/>
  </r>
  <r>
    <x v="10"/>
    <x v="4"/>
    <x v="86"/>
    <n v="3522.8"/>
    <n v="27.1"/>
    <x v="11"/>
    <s v="Spray"/>
    <x v="118"/>
    <n v="54"/>
    <x v="0"/>
    <n v="234581"/>
    <x v="1"/>
  </r>
  <r>
    <x v="11"/>
    <x v="4"/>
    <x v="87"/>
    <n v="3522.8"/>
    <n v="27.1"/>
    <x v="23"/>
    <s v="Spray"/>
    <x v="119"/>
    <n v="54.5"/>
    <x v="0"/>
    <n v="646"/>
    <x v="1"/>
  </r>
  <r>
    <x v="12"/>
    <x v="4"/>
    <x v="88"/>
    <n v="3522.8"/>
    <n v="27.1"/>
    <x v="23"/>
    <s v="Spray"/>
    <x v="120"/>
    <n v="56.6"/>
    <x v="0"/>
    <n v="43562"/>
    <x v="1"/>
  </r>
  <r>
    <x v="13"/>
    <x v="4"/>
    <x v="89"/>
    <n v="3729.8"/>
    <n v="26.8"/>
    <x v="23"/>
    <s v="Spray"/>
    <x v="121"/>
    <n v="55.5"/>
    <x v="0"/>
    <n v="200000"/>
    <x v="1"/>
  </r>
  <r>
    <x v="14"/>
    <x v="4"/>
    <x v="90"/>
    <n v="3729.8"/>
    <n v="26.8"/>
    <x v="23"/>
    <s v="Spray"/>
    <x v="122"/>
    <n v="58.5"/>
    <x v="0"/>
    <n v="4847"/>
    <x v="1"/>
  </r>
  <r>
    <x v="1"/>
    <x v="4"/>
    <x v="91"/>
    <n v="3729.8"/>
    <n v="26.8"/>
    <x v="23"/>
    <s v="Spray"/>
    <x v="105"/>
    <n v="59.5"/>
    <x v="0"/>
    <n v="51239"/>
    <x v="1"/>
  </r>
  <r>
    <x v="2"/>
    <x v="4"/>
    <x v="92"/>
    <n v="2746.2"/>
    <n v="37"/>
    <x v="23"/>
    <s v="Spray"/>
    <x v="123"/>
    <n v="55"/>
    <x v="0"/>
    <n v="216396"/>
    <x v="1"/>
  </r>
  <r>
    <x v="3"/>
    <x v="4"/>
    <x v="64"/>
    <n v="2746.2"/>
    <n v="37"/>
    <x v="23"/>
    <s v="Spray"/>
    <x v="124"/>
    <n v="53"/>
    <x v="0"/>
    <n v="2644"/>
    <x v="1"/>
  </r>
  <r>
    <x v="4"/>
    <x v="4"/>
    <x v="93"/>
    <n v="2746.2"/>
    <n v="37"/>
    <x v="23"/>
    <s v="Spray"/>
    <x v="125"/>
    <n v="53.5"/>
    <x v="0"/>
    <n v="44235"/>
    <x v="1"/>
  </r>
  <r>
    <x v="5"/>
    <x v="4"/>
    <x v="94"/>
    <n v="3360"/>
    <n v="38"/>
    <x v="23"/>
    <s v="Spray"/>
    <x v="126"/>
    <n v="52.5"/>
    <x v="0"/>
    <n v="203317"/>
    <x v="1"/>
  </r>
  <r>
    <x v="6"/>
    <x v="4"/>
    <x v="95"/>
    <n v="3360"/>
    <n v="38"/>
    <x v="23"/>
    <s v="Spray"/>
    <x v="127"/>
    <n v="56"/>
    <x v="0"/>
    <n v="2134"/>
    <x v="1"/>
  </r>
  <r>
    <x v="0"/>
    <x v="4"/>
    <x v="96"/>
    <n v="3360"/>
    <n v="38"/>
    <x v="23"/>
    <s v="Spray"/>
    <x v="128"/>
    <n v="57"/>
    <x v="0"/>
    <n v="45186"/>
    <x v="1"/>
  </r>
  <r>
    <x v="7"/>
    <x v="4"/>
    <x v="97"/>
    <n v="3605.4"/>
    <n v="39"/>
    <x v="23"/>
    <s v="Spray"/>
    <x v="66"/>
    <n v="57.5"/>
    <x v="0"/>
    <n v="238542"/>
    <x v="1"/>
  </r>
  <r>
    <x v="8"/>
    <x v="4"/>
    <x v="98"/>
    <n v="3605.4"/>
    <n v="39"/>
    <x v="23"/>
    <s v="Spray"/>
    <x v="129"/>
    <n v="57"/>
    <x v="0"/>
    <n v="1516"/>
    <x v="1"/>
  </r>
  <r>
    <x v="9"/>
    <x v="4"/>
    <x v="99"/>
    <n v="3605.4"/>
    <n v="39"/>
    <x v="23"/>
    <s v="Spray"/>
    <x v="130"/>
    <n v="55"/>
    <x v="0"/>
    <n v="200000"/>
    <x v="1"/>
  </r>
  <r>
    <x v="10"/>
    <x v="4"/>
    <x v="100"/>
    <n v="3512.4"/>
    <n v="40"/>
    <x v="23"/>
    <s v="Spray"/>
    <x v="131"/>
    <n v="56"/>
    <x v="0"/>
    <n v="4847"/>
    <x v="1"/>
  </r>
  <r>
    <x v="11"/>
    <x v="5"/>
    <x v="101"/>
    <n v="3512.4"/>
    <n v="40"/>
    <x v="23"/>
    <s v="Spray"/>
    <x v="132"/>
    <n v="54"/>
    <x v="0"/>
    <n v="51239"/>
    <x v="1"/>
  </r>
  <r>
    <x v="12"/>
    <x v="5"/>
    <x v="102"/>
    <n v="3512.4"/>
    <n v="40"/>
    <x v="23"/>
    <s v="Spray"/>
    <x v="124"/>
    <n v="58"/>
    <x v="0"/>
    <n v="216396"/>
    <x v="1"/>
  </r>
  <r>
    <x v="13"/>
    <x v="5"/>
    <x v="103"/>
    <n v="3296"/>
    <n v="41"/>
    <x v="23"/>
    <s v="Spray"/>
    <x v="133"/>
    <n v="58"/>
    <x v="0"/>
    <n v="2644"/>
    <x v="1"/>
  </r>
  <r>
    <x v="14"/>
    <x v="5"/>
    <x v="104"/>
    <n v="3296"/>
    <n v="41"/>
    <x v="23"/>
    <s v="Spray"/>
    <x v="134"/>
    <n v="59"/>
    <x v="0"/>
    <n v="44235"/>
    <x v="1"/>
  </r>
  <r>
    <x v="1"/>
    <x v="5"/>
    <x v="105"/>
    <n v="3296"/>
    <n v="41"/>
    <x v="23"/>
    <s v="Spray"/>
    <x v="135"/>
    <n v="50"/>
    <x v="0"/>
    <n v="203317"/>
    <x v="1"/>
  </r>
  <r>
    <x v="2"/>
    <x v="5"/>
    <x v="106"/>
    <n v="3550"/>
    <n v="42"/>
    <x v="23"/>
    <s v="Spray"/>
    <x v="136"/>
    <n v="54"/>
    <x v="0"/>
    <n v="2134"/>
    <x v="1"/>
  </r>
  <r>
    <x v="3"/>
    <x v="5"/>
    <x v="107"/>
    <n v="3550"/>
    <n v="42"/>
    <x v="23"/>
    <s v="Drip"/>
    <x v="137"/>
    <n v="53"/>
    <x v="1"/>
    <n v="45186"/>
    <x v="1"/>
  </r>
  <r>
    <x v="4"/>
    <x v="5"/>
    <x v="108"/>
    <n v="3550"/>
    <n v="42"/>
    <x v="23"/>
    <s v="Drip"/>
    <x v="138"/>
    <n v="52"/>
    <x v="1"/>
    <n v="238542"/>
    <x v="1"/>
  </r>
  <r>
    <x v="5"/>
    <x v="5"/>
    <x v="109"/>
    <n v="3654"/>
    <n v="43"/>
    <x v="23"/>
    <s v="Drip"/>
    <x v="139"/>
    <n v="51"/>
    <x v="1"/>
    <n v="1516"/>
    <x v="1"/>
  </r>
  <r>
    <x v="6"/>
    <x v="5"/>
    <x v="110"/>
    <n v="3654"/>
    <n v="43"/>
    <x v="23"/>
    <s v="Drip"/>
    <x v="140"/>
    <n v="57"/>
    <x v="1"/>
    <n v="57259"/>
    <x v="1"/>
  </r>
  <r>
    <x v="0"/>
    <x v="5"/>
    <x v="111"/>
    <n v="3654"/>
    <n v="27"/>
    <x v="23"/>
    <s v="Drip"/>
    <x v="141"/>
    <n v="57"/>
    <x v="1"/>
    <n v="234779"/>
    <x v="1"/>
  </r>
  <r>
    <x v="7"/>
    <x v="5"/>
    <x v="112"/>
    <n v="233"/>
    <n v="27"/>
    <x v="23"/>
    <s v="Drip"/>
    <x v="142"/>
    <n v="60"/>
    <x v="1"/>
    <n v="1493"/>
    <x v="1"/>
  </r>
  <r>
    <x v="8"/>
    <x v="5"/>
    <x v="113"/>
    <n v="233"/>
    <n v="27"/>
    <x v="23"/>
    <s v="Drip"/>
    <x v="143"/>
    <n v="57"/>
    <x v="2"/>
    <n v="64409"/>
    <x v="1"/>
  </r>
  <r>
    <x v="9"/>
    <x v="5"/>
    <x v="114"/>
    <n v="233"/>
    <n v="27"/>
    <x v="23"/>
    <s v="Drip"/>
    <x v="144"/>
    <n v="57"/>
    <x v="2"/>
    <n v="249978"/>
    <x v="1"/>
  </r>
  <r>
    <x v="10"/>
    <x v="5"/>
    <x v="115"/>
    <n v="234"/>
    <n v="27"/>
    <x v="23"/>
    <s v="Drip"/>
    <x v="145"/>
    <n v="54"/>
    <x v="2"/>
    <n v="637"/>
    <x v="1"/>
  </r>
  <r>
    <x v="11"/>
    <x v="5"/>
    <x v="116"/>
    <n v="234"/>
    <n v="27"/>
    <x v="23"/>
    <s v="Drip"/>
    <x v="146"/>
    <n v="54.5"/>
    <x v="2"/>
    <n v="43311"/>
    <x v="1"/>
  </r>
  <r>
    <x v="12"/>
    <x v="5"/>
    <x v="117"/>
    <n v="234"/>
    <n v="27.2"/>
    <x v="23"/>
    <s v="Drip"/>
    <x v="147"/>
    <n v="56.6"/>
    <x v="2"/>
    <n v="24848"/>
    <x v="1"/>
  </r>
  <r>
    <x v="13"/>
    <x v="5"/>
    <x v="118"/>
    <n v="3105"/>
    <n v="27.2"/>
    <x v="23"/>
    <s v="Drip"/>
    <x v="148"/>
    <n v="55.5"/>
    <x v="2"/>
    <n v="761"/>
    <x v="1"/>
  </r>
  <r>
    <x v="14"/>
    <x v="5"/>
    <x v="119"/>
    <n v="3105"/>
    <n v="27.2"/>
    <x v="2"/>
    <s v="Drip"/>
    <x v="149"/>
    <n v="58.5"/>
    <x v="2"/>
    <n v="45608"/>
    <x v="1"/>
  </r>
  <r>
    <x v="1"/>
    <x v="5"/>
    <x v="120"/>
    <n v="3105"/>
    <n v="27"/>
    <x v="2"/>
    <s v="Drip"/>
    <x v="150"/>
    <n v="59.5"/>
    <x v="2"/>
    <n v="234581"/>
    <x v="1"/>
  </r>
  <r>
    <x v="2"/>
    <x v="5"/>
    <x v="12"/>
    <n v="236"/>
    <n v="27"/>
    <x v="2"/>
    <s v="Drip"/>
    <x v="151"/>
    <n v="55"/>
    <x v="2"/>
    <n v="646"/>
    <x v="1"/>
  </r>
  <r>
    <x v="3"/>
    <x v="5"/>
    <x v="121"/>
    <n v="236"/>
    <n v="27"/>
    <x v="2"/>
    <s v="Drip"/>
    <x v="152"/>
    <n v="53"/>
    <x v="2"/>
    <n v="43562"/>
    <x v="1"/>
  </r>
  <r>
    <x v="4"/>
    <x v="5"/>
    <x v="122"/>
    <n v="2903.1"/>
    <n v="27"/>
    <x v="2"/>
    <s v="Drip"/>
    <x v="153"/>
    <n v="53.5"/>
    <x v="2"/>
    <n v="200000"/>
    <x v="1"/>
  </r>
  <r>
    <x v="5"/>
    <x v="5"/>
    <x v="123"/>
    <n v="2903.1"/>
    <n v="27"/>
    <x v="2"/>
    <s v="Drip"/>
    <x v="154"/>
    <n v="52.5"/>
    <x v="2"/>
    <n v="4847"/>
    <x v="1"/>
  </r>
  <r>
    <x v="6"/>
    <x v="5"/>
    <x v="9"/>
    <n v="2903.1"/>
    <n v="27"/>
    <x v="2"/>
    <s v="Drip"/>
    <x v="155"/>
    <n v="56"/>
    <x v="2"/>
    <n v="51239"/>
    <x v="1"/>
  </r>
  <r>
    <x v="0"/>
    <x v="5"/>
    <x v="124"/>
    <n v="2996.6"/>
    <n v="27.2"/>
    <x v="2"/>
    <s v="Drip"/>
    <x v="156"/>
    <n v="57"/>
    <x v="2"/>
    <n v="216396"/>
    <x v="1"/>
  </r>
  <r>
    <x v="7"/>
    <x v="5"/>
    <x v="125"/>
    <n v="2996.6"/>
    <n v="27.2"/>
    <x v="2"/>
    <s v="Drip"/>
    <x v="157"/>
    <n v="57.5"/>
    <x v="2"/>
    <n v="2644"/>
    <x v="1"/>
  </r>
  <r>
    <x v="8"/>
    <x v="5"/>
    <x v="126"/>
    <n v="2996.6"/>
    <n v="27.2"/>
    <x v="2"/>
    <s v="Drip"/>
    <x v="158"/>
    <n v="57"/>
    <x v="3"/>
    <n v="44235"/>
    <x v="1"/>
  </r>
  <r>
    <x v="9"/>
    <x v="6"/>
    <x v="127"/>
    <n v="3522.8"/>
    <n v="27.1"/>
    <x v="2"/>
    <s v="Drip"/>
    <x v="159"/>
    <n v="55"/>
    <x v="3"/>
    <n v="203317"/>
    <x v="1"/>
  </r>
  <r>
    <x v="10"/>
    <x v="6"/>
    <x v="128"/>
    <n v="3522.8"/>
    <n v="27.1"/>
    <x v="2"/>
    <s v="Drip"/>
    <x v="160"/>
    <n v="56"/>
    <x v="3"/>
    <n v="2134"/>
    <x v="1"/>
  </r>
  <r>
    <x v="11"/>
    <x v="6"/>
    <x v="129"/>
    <n v="3522.8"/>
    <n v="27.1"/>
    <x v="2"/>
    <s v="Drip"/>
    <x v="161"/>
    <n v="54"/>
    <x v="3"/>
    <n v="45186"/>
    <x v="1"/>
  </r>
  <r>
    <x v="12"/>
    <x v="6"/>
    <x v="130"/>
    <n v="2903.1"/>
    <n v="26.8"/>
    <x v="2"/>
    <s v="Drip"/>
    <x v="131"/>
    <n v="58"/>
    <x v="3"/>
    <n v="238542"/>
    <x v="1"/>
  </r>
  <r>
    <x v="13"/>
    <x v="6"/>
    <x v="131"/>
    <n v="2903.1"/>
    <n v="26.8"/>
    <x v="2"/>
    <s v="Drip"/>
    <x v="132"/>
    <n v="58"/>
    <x v="3"/>
    <n v="1516"/>
    <x v="1"/>
  </r>
  <r>
    <x v="14"/>
    <x v="6"/>
    <x v="132"/>
    <n v="2903.1"/>
    <n v="26.8"/>
    <x v="2"/>
    <s v="Drip"/>
    <x v="124"/>
    <n v="59"/>
    <x v="3"/>
    <n v="57259"/>
    <x v="1"/>
  </r>
  <r>
    <x v="1"/>
    <x v="6"/>
    <x v="133"/>
    <n v="2996.6"/>
    <n v="37"/>
    <x v="2"/>
    <s v="Drip"/>
    <x v="133"/>
    <n v="50"/>
    <x v="3"/>
    <n v="234779"/>
    <x v="1"/>
  </r>
  <r>
    <x v="2"/>
    <x v="6"/>
    <x v="134"/>
    <n v="2996.6"/>
    <n v="37"/>
    <x v="2"/>
    <s v="Drip"/>
    <x v="134"/>
    <n v="54"/>
    <x v="3"/>
    <n v="1493"/>
    <x v="1"/>
  </r>
  <r>
    <x v="3"/>
    <x v="6"/>
    <x v="135"/>
    <n v="2996.6"/>
    <n v="37"/>
    <x v="2"/>
    <s v="Drip"/>
    <x v="135"/>
    <n v="53"/>
    <x v="3"/>
    <n v="64409"/>
    <x v="1"/>
  </r>
  <r>
    <x v="4"/>
    <x v="6"/>
    <x v="136"/>
    <n v="3522.8"/>
    <n v="38"/>
    <x v="2"/>
    <s v="Drip"/>
    <x v="136"/>
    <n v="52"/>
    <x v="3"/>
    <n v="249978"/>
    <x v="1"/>
  </r>
  <r>
    <x v="5"/>
    <x v="6"/>
    <x v="137"/>
    <n v="3522.8"/>
    <n v="38"/>
    <x v="2"/>
    <s v="Drip"/>
    <x v="137"/>
    <n v="51"/>
    <x v="3"/>
    <n v="637"/>
    <x v="1"/>
  </r>
  <r>
    <x v="6"/>
    <x v="6"/>
    <x v="138"/>
    <n v="3522.8"/>
    <n v="38"/>
    <x v="2"/>
    <s v="Drip"/>
    <x v="138"/>
    <n v="57"/>
    <x v="3"/>
    <n v="43311"/>
    <x v="1"/>
  </r>
  <r>
    <x v="0"/>
    <x v="6"/>
    <x v="139"/>
    <n v="3729.8"/>
    <n v="39"/>
    <x v="2"/>
    <s v="Drip"/>
    <x v="139"/>
    <n v="57"/>
    <x v="3"/>
    <n v="24848"/>
    <x v="1"/>
  </r>
  <r>
    <x v="7"/>
    <x v="6"/>
    <x v="140"/>
    <n v="3729.8"/>
    <n v="39"/>
    <x v="2"/>
    <s v="Drip"/>
    <x v="140"/>
    <n v="60"/>
    <x v="3"/>
    <n v="761"/>
    <x v="1"/>
  </r>
  <r>
    <x v="8"/>
    <x v="6"/>
    <x v="141"/>
    <n v="3729.8"/>
    <n v="39"/>
    <x v="2"/>
    <s v="Drip"/>
    <x v="141"/>
    <n v="57"/>
    <x v="4"/>
    <n v="45608"/>
    <x v="1"/>
  </r>
  <r>
    <x v="9"/>
    <x v="6"/>
    <x v="142"/>
    <n v="2746.2"/>
    <n v="40"/>
    <x v="2"/>
    <s v="Drip"/>
    <x v="142"/>
    <n v="57"/>
    <x v="4"/>
    <n v="234581"/>
    <x v="1"/>
  </r>
  <r>
    <x v="10"/>
    <x v="6"/>
    <x v="143"/>
    <n v="2746.2"/>
    <n v="40"/>
    <x v="2"/>
    <s v="Drip"/>
    <x v="143"/>
    <n v="54"/>
    <x v="4"/>
    <n v="646"/>
    <x v="1"/>
  </r>
  <r>
    <x v="11"/>
    <x v="6"/>
    <x v="144"/>
    <n v="2746.2"/>
    <n v="27"/>
    <x v="2"/>
    <s v="Drip"/>
    <x v="144"/>
    <n v="54.5"/>
    <x v="4"/>
    <n v="43562"/>
    <x v="1"/>
  </r>
  <r>
    <x v="12"/>
    <x v="6"/>
    <x v="145"/>
    <n v="3360"/>
    <n v="27"/>
    <x v="2"/>
    <s v="Drip"/>
    <x v="145"/>
    <n v="56.6"/>
    <x v="4"/>
    <n v="200000"/>
    <x v="1"/>
  </r>
  <r>
    <x v="13"/>
    <x v="6"/>
    <x v="146"/>
    <n v="3360"/>
    <n v="27"/>
    <x v="2"/>
    <s v="Drip"/>
    <x v="146"/>
    <n v="55.5"/>
    <x v="4"/>
    <n v="4847"/>
    <x v="1"/>
  </r>
  <r>
    <x v="14"/>
    <x v="6"/>
    <x v="0"/>
    <n v="3360"/>
    <n v="27"/>
    <x v="2"/>
    <s v="Drip"/>
    <x v="147"/>
    <n v="58.5"/>
    <x v="4"/>
    <n v="51239"/>
    <x v="1"/>
  </r>
  <r>
    <x v="1"/>
    <x v="6"/>
    <x v="1"/>
    <n v="3605.4"/>
    <n v="27"/>
    <x v="24"/>
    <s v="Drip"/>
    <x v="148"/>
    <n v="59.5"/>
    <x v="4"/>
    <n v="216396"/>
    <x v="1"/>
  </r>
  <r>
    <x v="2"/>
    <x v="6"/>
    <x v="2"/>
    <n v="3605.4"/>
    <n v="27"/>
    <x v="24"/>
    <s v="Basin"/>
    <x v="149"/>
    <n v="55"/>
    <x v="4"/>
    <n v="2644"/>
    <x v="1"/>
  </r>
  <r>
    <x v="3"/>
    <x v="6"/>
    <x v="3"/>
    <n v="2903.1"/>
    <n v="27.2"/>
    <x v="24"/>
    <s v="Basin"/>
    <x v="150"/>
    <n v="53"/>
    <x v="4"/>
    <n v="44235"/>
    <x v="1"/>
  </r>
  <r>
    <x v="4"/>
    <x v="6"/>
    <x v="4"/>
    <n v="2903.1"/>
    <n v="27.2"/>
    <x v="24"/>
    <s v="Basin"/>
    <x v="151"/>
    <n v="53.5"/>
    <x v="4"/>
    <n v="203317"/>
    <x v="1"/>
  </r>
  <r>
    <x v="5"/>
    <x v="6"/>
    <x v="5"/>
    <n v="2903.1"/>
    <n v="27.2"/>
    <x v="24"/>
    <s v="Basin"/>
    <x v="152"/>
    <n v="52.5"/>
    <x v="4"/>
    <n v="2134"/>
    <x v="1"/>
  </r>
  <r>
    <x v="6"/>
    <x v="6"/>
    <x v="6"/>
    <n v="2996.6"/>
    <n v="27"/>
    <x v="24"/>
    <s v="Basin"/>
    <x v="153"/>
    <n v="56"/>
    <x v="4"/>
    <n v="45186"/>
    <x v="1"/>
  </r>
  <r>
    <x v="15"/>
    <x v="6"/>
    <x v="7"/>
    <n v="2996.6"/>
    <n v="27"/>
    <x v="24"/>
    <s v="Basin"/>
    <x v="154"/>
    <n v="57"/>
    <x v="4"/>
    <n v="238542"/>
    <x v="1"/>
  </r>
  <r>
    <x v="0"/>
    <x v="6"/>
    <x v="8"/>
    <n v="2996.6"/>
    <n v="27"/>
    <x v="24"/>
    <s v="Basin"/>
    <x v="155"/>
    <n v="57.5"/>
    <x v="4"/>
    <n v="1516"/>
    <x v="1"/>
  </r>
  <r>
    <x v="7"/>
    <x v="6"/>
    <x v="9"/>
    <n v="3522.8"/>
    <n v="27"/>
    <x v="24"/>
    <s v="Basin"/>
    <x v="156"/>
    <n v="57"/>
    <x v="5"/>
    <n v="200000"/>
    <x v="1"/>
  </r>
  <r>
    <x v="8"/>
    <x v="6"/>
    <x v="10"/>
    <n v="3522.8"/>
    <n v="27"/>
    <x v="24"/>
    <s v="Basin"/>
    <x v="157"/>
    <n v="55"/>
    <x v="5"/>
    <n v="4847"/>
    <x v="1"/>
  </r>
  <r>
    <x v="9"/>
    <x v="6"/>
    <x v="11"/>
    <n v="3522.8"/>
    <n v="27"/>
    <x v="24"/>
    <s v="Basin"/>
    <x v="158"/>
    <n v="56"/>
    <x v="5"/>
    <n v="51239"/>
    <x v="1"/>
  </r>
  <r>
    <x v="10"/>
    <x v="6"/>
    <x v="12"/>
    <n v="2746.2"/>
    <n v="27.2"/>
    <x v="24"/>
    <s v="Basin"/>
    <x v="159"/>
    <n v="54"/>
    <x v="5"/>
    <n v="216396"/>
    <x v="1"/>
  </r>
  <r>
    <x v="11"/>
    <x v="6"/>
    <x v="13"/>
    <n v="2746.2"/>
    <n v="27.2"/>
    <x v="24"/>
    <s v="Basin"/>
    <x v="160"/>
    <n v="58"/>
    <x v="5"/>
    <n v="2644"/>
    <x v="1"/>
  </r>
  <r>
    <x v="12"/>
    <x v="6"/>
    <x v="14"/>
    <n v="3360"/>
    <n v="27.2"/>
    <x v="24"/>
    <s v="Basin"/>
    <x v="161"/>
    <n v="58"/>
    <x v="5"/>
    <n v="44235"/>
    <x v="1"/>
  </r>
  <r>
    <x v="13"/>
    <x v="6"/>
    <x v="15"/>
    <n v="3360"/>
    <n v="27.1"/>
    <x v="24"/>
    <s v="Basin"/>
    <x v="131"/>
    <n v="59"/>
    <x v="5"/>
    <n v="203317"/>
    <x v="1"/>
  </r>
  <r>
    <x v="14"/>
    <x v="6"/>
    <x v="16"/>
    <n v="3360"/>
    <n v="27.1"/>
    <x v="24"/>
    <s v="Basin"/>
    <x v="132"/>
    <n v="50"/>
    <x v="5"/>
    <n v="2134"/>
    <x v="1"/>
  </r>
  <r>
    <x v="1"/>
    <x v="6"/>
    <x v="17"/>
    <n v="3605.4"/>
    <n v="27.1"/>
    <x v="24"/>
    <s v="Basin"/>
    <x v="124"/>
    <n v="54"/>
    <x v="5"/>
    <n v="45186"/>
    <x v="1"/>
  </r>
  <r>
    <x v="2"/>
    <x v="6"/>
    <x v="18"/>
    <n v="3605.4"/>
    <n v="26.8"/>
    <x v="24"/>
    <s v="Basin"/>
    <x v="133"/>
    <n v="53"/>
    <x v="5"/>
    <n v="238542"/>
    <x v="1"/>
  </r>
  <r>
    <x v="3"/>
    <x v="6"/>
    <x v="19"/>
    <n v="3605.4"/>
    <n v="26.8"/>
    <x v="24"/>
    <s v="Basin"/>
    <x v="134"/>
    <n v="52"/>
    <x v="5"/>
    <n v="1516"/>
    <x v="1"/>
  </r>
  <r>
    <x v="4"/>
    <x v="6"/>
    <x v="20"/>
    <n v="3512.4"/>
    <n v="26.8"/>
    <x v="24"/>
    <s v="Basin"/>
    <x v="135"/>
    <n v="51"/>
    <x v="5"/>
    <n v="57259"/>
    <x v="1"/>
  </r>
  <r>
    <x v="5"/>
    <x v="6"/>
    <x v="0"/>
    <n v="3512.4"/>
    <n v="37"/>
    <x v="24"/>
    <s v="Basin"/>
    <x v="136"/>
    <n v="57"/>
    <x v="5"/>
    <n v="234779"/>
    <x v="1"/>
  </r>
  <r>
    <x v="6"/>
    <x v="6"/>
    <x v="1"/>
    <n v="3512.4"/>
    <n v="37"/>
    <x v="24"/>
    <s v="Basin"/>
    <x v="137"/>
    <n v="57"/>
    <x v="5"/>
    <n v="1493"/>
    <x v="1"/>
  </r>
  <r>
    <x v="14"/>
    <x v="6"/>
    <x v="2"/>
    <n v="3296"/>
    <n v="37"/>
    <x v="24"/>
    <s v="Basin"/>
    <x v="138"/>
    <n v="60"/>
    <x v="5"/>
    <n v="64409"/>
    <x v="1"/>
  </r>
  <r>
    <x v="1"/>
    <x v="6"/>
    <x v="3"/>
    <n v="3296"/>
    <n v="38"/>
    <x v="24"/>
    <s v="Basin"/>
    <x v="139"/>
    <n v="57"/>
    <x v="6"/>
    <n v="249978"/>
    <x v="1"/>
  </r>
  <r>
    <x v="2"/>
    <x v="6"/>
    <x v="4"/>
    <n v="3296"/>
    <n v="38"/>
    <x v="24"/>
    <s v="Basin"/>
    <x v="140"/>
    <n v="57"/>
    <x v="6"/>
    <n v="637"/>
    <x v="1"/>
  </r>
  <r>
    <x v="3"/>
    <x v="6"/>
    <x v="5"/>
    <n v="3550"/>
    <n v="38"/>
    <x v="24"/>
    <s v="Basin"/>
    <x v="141"/>
    <n v="54"/>
    <x v="6"/>
    <n v="43311"/>
    <x v="1"/>
  </r>
  <r>
    <x v="4"/>
    <x v="6"/>
    <x v="6"/>
    <n v="3550"/>
    <n v="39"/>
    <x v="24"/>
    <s v="Basin"/>
    <x v="142"/>
    <n v="54.5"/>
    <x v="6"/>
    <n v="24848"/>
    <x v="1"/>
  </r>
  <r>
    <x v="5"/>
    <x v="6"/>
    <x v="7"/>
    <n v="3550"/>
    <n v="39"/>
    <x v="24"/>
    <s v="Basin"/>
    <x v="143"/>
    <n v="56.6"/>
    <x v="6"/>
    <n v="761"/>
    <x v="1"/>
  </r>
  <r>
    <x v="6"/>
    <x v="6"/>
    <x v="8"/>
    <n v="3654"/>
    <n v="39"/>
    <x v="24"/>
    <s v="Basin"/>
    <x v="144"/>
    <n v="55.5"/>
    <x v="6"/>
    <n v="45608"/>
    <x v="1"/>
  </r>
  <r>
    <x v="15"/>
    <x v="6"/>
    <x v="9"/>
    <n v="3654"/>
    <n v="40"/>
    <x v="24"/>
    <s v="Basin"/>
    <x v="145"/>
    <n v="58.5"/>
    <x v="6"/>
    <n v="234581"/>
    <x v="1"/>
  </r>
  <r>
    <x v="0"/>
    <x v="6"/>
    <x v="10"/>
    <n v="3654"/>
    <n v="40"/>
    <x v="24"/>
    <s v="Basin"/>
    <x v="146"/>
    <n v="59.5"/>
    <x v="6"/>
    <n v="646"/>
    <x v="1"/>
  </r>
  <r>
    <x v="7"/>
    <x v="6"/>
    <x v="11"/>
    <n v="233"/>
    <n v="40"/>
    <x v="24"/>
    <s v="Basin"/>
    <x v="147"/>
    <n v="55"/>
    <x v="6"/>
    <n v="43562"/>
    <x v="1"/>
  </r>
  <r>
    <x v="8"/>
    <x v="6"/>
    <x v="12"/>
    <n v="233"/>
    <n v="41"/>
    <x v="24"/>
    <s v="Basin"/>
    <x v="148"/>
    <n v="53"/>
    <x v="6"/>
    <n v="200000"/>
    <x v="1"/>
  </r>
  <r>
    <x v="9"/>
    <x v="6"/>
    <x v="13"/>
    <n v="233"/>
    <n v="41"/>
    <x v="24"/>
    <s v="Basin"/>
    <x v="149"/>
    <n v="53.5"/>
    <x v="6"/>
    <n v="4847"/>
    <x v="1"/>
  </r>
  <r>
    <x v="10"/>
    <x v="6"/>
    <x v="14"/>
    <n v="234"/>
    <n v="41"/>
    <x v="24"/>
    <s v="Basin"/>
    <x v="150"/>
    <n v="52.5"/>
    <x v="6"/>
    <n v="51239"/>
    <x v="1"/>
  </r>
  <r>
    <x v="11"/>
    <x v="6"/>
    <x v="15"/>
    <n v="234"/>
    <n v="42"/>
    <x v="24"/>
    <s v="Basin"/>
    <x v="151"/>
    <n v="56"/>
    <x v="6"/>
    <n v="216396"/>
    <x v="1"/>
  </r>
  <r>
    <x v="12"/>
    <x v="6"/>
    <x v="16"/>
    <n v="234"/>
    <n v="42"/>
    <x v="24"/>
    <s v="Basin"/>
    <x v="152"/>
    <n v="57"/>
    <x v="6"/>
    <n v="2644"/>
    <x v="1"/>
  </r>
  <r>
    <x v="13"/>
    <x v="6"/>
    <x v="17"/>
    <n v="3105"/>
    <n v="42"/>
    <x v="24"/>
    <s v="Basin"/>
    <x v="153"/>
    <n v="57.5"/>
    <x v="6"/>
    <n v="44235"/>
    <x v="1"/>
  </r>
  <r>
    <x v="14"/>
    <x v="6"/>
    <x v="18"/>
    <n v="3105"/>
    <n v="43"/>
    <x v="24"/>
    <s v="Basin"/>
    <x v="154"/>
    <n v="57"/>
    <x v="7"/>
    <n v="203317"/>
    <x v="1"/>
  </r>
  <r>
    <x v="1"/>
    <x v="6"/>
    <x v="19"/>
    <n v="3105"/>
    <n v="43"/>
    <x v="24"/>
    <s v="Basin"/>
    <x v="155"/>
    <n v="55"/>
    <x v="7"/>
    <n v="2134"/>
    <x v="1"/>
  </r>
  <r>
    <x v="2"/>
    <x v="6"/>
    <x v="20"/>
    <n v="236"/>
    <n v="27"/>
    <x v="3"/>
    <s v="Basin"/>
    <x v="156"/>
    <n v="56"/>
    <x v="7"/>
    <n v="45186"/>
    <x v="1"/>
  </r>
  <r>
    <x v="3"/>
    <x v="6"/>
    <x v="0"/>
    <n v="236"/>
    <n v="27"/>
    <x v="3"/>
    <s v="Basin"/>
    <x v="157"/>
    <n v="54"/>
    <x v="7"/>
    <n v="238542"/>
    <x v="1"/>
  </r>
  <r>
    <x v="4"/>
    <x v="6"/>
    <x v="1"/>
    <n v="2903.1"/>
    <n v="27"/>
    <x v="3"/>
    <s v="Basin"/>
    <x v="158"/>
    <n v="58"/>
    <x v="7"/>
    <n v="1516"/>
    <x v="1"/>
  </r>
  <r>
    <x v="5"/>
    <x v="6"/>
    <x v="2"/>
    <n v="2903.1"/>
    <n v="27"/>
    <x v="3"/>
    <s v="Basin"/>
    <x v="159"/>
    <n v="58"/>
    <x v="7"/>
    <n v="57259"/>
    <x v="1"/>
  </r>
  <r>
    <x v="6"/>
    <x v="6"/>
    <x v="3"/>
    <n v="2903.1"/>
    <n v="27"/>
    <x v="3"/>
    <s v="Spray"/>
    <x v="160"/>
    <n v="59"/>
    <x v="7"/>
    <n v="234779"/>
    <x v="1"/>
  </r>
  <r>
    <x v="13"/>
    <x v="6"/>
    <x v="4"/>
    <n v="2996.6"/>
    <n v="27"/>
    <x v="3"/>
    <s v="Spray"/>
    <x v="161"/>
    <n v="50"/>
    <x v="7"/>
    <n v="1493"/>
    <x v="1"/>
  </r>
  <r>
    <x v="14"/>
    <x v="6"/>
    <x v="5"/>
    <n v="2996.6"/>
    <n v="27.2"/>
    <x v="3"/>
    <s v="Spray"/>
    <x v="91"/>
    <n v="54"/>
    <x v="7"/>
    <n v="64409"/>
    <x v="1"/>
  </r>
  <r>
    <x v="1"/>
    <x v="6"/>
    <x v="6"/>
    <n v="2996.6"/>
    <n v="27.2"/>
    <x v="3"/>
    <s v="Spray"/>
    <x v="92"/>
    <n v="53"/>
    <x v="7"/>
    <n v="249978"/>
    <x v="1"/>
  </r>
  <r>
    <x v="2"/>
    <x v="6"/>
    <x v="7"/>
    <n v="3522.8"/>
    <n v="27.2"/>
    <x v="3"/>
    <s v="Spray"/>
    <x v="93"/>
    <n v="52"/>
    <x v="7"/>
    <n v="637"/>
    <x v="1"/>
  </r>
  <r>
    <x v="3"/>
    <x v="6"/>
    <x v="8"/>
    <n v="3522.8"/>
    <n v="27"/>
    <x v="3"/>
    <s v="Spray"/>
    <x v="94"/>
    <n v="51"/>
    <x v="7"/>
    <n v="43311"/>
    <x v="1"/>
  </r>
  <r>
    <x v="4"/>
    <x v="6"/>
    <x v="9"/>
    <n v="3522.8"/>
    <n v="27"/>
    <x v="3"/>
    <s v="Spray"/>
    <x v="95"/>
    <n v="57"/>
    <x v="7"/>
    <n v="24848"/>
    <x v="1"/>
  </r>
  <r>
    <x v="5"/>
    <x v="6"/>
    <x v="10"/>
    <n v="2903.1"/>
    <n v="27"/>
    <x v="3"/>
    <s v="Spray"/>
    <x v="96"/>
    <n v="57"/>
    <x v="7"/>
    <n v="761"/>
    <x v="1"/>
  </r>
  <r>
    <x v="6"/>
    <x v="6"/>
    <x v="11"/>
    <n v="2903.1"/>
    <n v="27"/>
    <x v="3"/>
    <s v="Spray"/>
    <x v="97"/>
    <n v="60"/>
    <x v="7"/>
    <n v="45608"/>
    <x v="1"/>
  </r>
  <r>
    <x v="0"/>
    <x v="6"/>
    <x v="12"/>
    <n v="2903.1"/>
    <n v="27"/>
    <x v="3"/>
    <s v="Spray"/>
    <x v="98"/>
    <n v="57"/>
    <x v="8"/>
    <n v="234581"/>
    <x v="1"/>
  </r>
  <r>
    <x v="7"/>
    <x v="6"/>
    <x v="13"/>
    <n v="2996.6"/>
    <n v="27"/>
    <x v="3"/>
    <s v="Spray"/>
    <x v="99"/>
    <n v="57"/>
    <x v="8"/>
    <n v="646"/>
    <x v="1"/>
  </r>
  <r>
    <x v="8"/>
    <x v="6"/>
    <x v="14"/>
    <n v="2996.6"/>
    <n v="27.2"/>
    <x v="3"/>
    <s v="Spray"/>
    <x v="100"/>
    <n v="54"/>
    <x v="8"/>
    <n v="43562"/>
    <x v="1"/>
  </r>
  <r>
    <x v="9"/>
    <x v="6"/>
    <x v="0"/>
    <n v="2996.6"/>
    <n v="27.2"/>
    <x v="3"/>
    <s v="Spray"/>
    <x v="101"/>
    <n v="54.5"/>
    <x v="8"/>
    <n v="200000"/>
    <x v="1"/>
  </r>
  <r>
    <x v="10"/>
    <x v="6"/>
    <x v="1"/>
    <n v="3522.8"/>
    <n v="27.2"/>
    <x v="3"/>
    <s v="Spray"/>
    <x v="102"/>
    <n v="56.6"/>
    <x v="8"/>
    <n v="4847"/>
    <x v="1"/>
  </r>
  <r>
    <x v="11"/>
    <x v="6"/>
    <x v="2"/>
    <n v="3522.8"/>
    <n v="27.1"/>
    <x v="3"/>
    <s v="Spray"/>
    <x v="102"/>
    <n v="55.5"/>
    <x v="8"/>
    <n v="51239"/>
    <x v="1"/>
  </r>
  <r>
    <x v="12"/>
    <x v="6"/>
    <x v="3"/>
    <n v="3522.8"/>
    <n v="27.1"/>
    <x v="3"/>
    <s v="Spray"/>
    <x v="103"/>
    <n v="58.5"/>
    <x v="8"/>
    <n v="216396"/>
    <x v="1"/>
  </r>
  <r>
    <x v="13"/>
    <x v="6"/>
    <x v="4"/>
    <n v="3729.8"/>
    <n v="27.1"/>
    <x v="3"/>
    <s v="Spray"/>
    <x v="104"/>
    <n v="59.5"/>
    <x v="8"/>
    <n v="2644"/>
    <x v="1"/>
  </r>
  <r>
    <x v="14"/>
    <x v="6"/>
    <x v="5"/>
    <n v="3729.8"/>
    <n v="26.8"/>
    <x v="3"/>
    <s v="Spray"/>
    <x v="105"/>
    <n v="55"/>
    <x v="8"/>
    <n v="44235"/>
    <x v="1"/>
  </r>
  <r>
    <x v="1"/>
    <x v="6"/>
    <x v="6"/>
    <n v="3729.8"/>
    <n v="26.8"/>
    <x v="3"/>
    <s v="Spray"/>
    <x v="106"/>
    <n v="53"/>
    <x v="8"/>
    <n v="203317"/>
    <x v="1"/>
  </r>
  <r>
    <x v="2"/>
    <x v="6"/>
    <x v="7"/>
    <n v="2746.2"/>
    <n v="26.8"/>
    <x v="3"/>
    <s v="Spray"/>
    <x v="107"/>
    <n v="53.5"/>
    <x v="8"/>
    <n v="2134"/>
    <x v="1"/>
  </r>
  <r>
    <x v="3"/>
    <x v="6"/>
    <x v="8"/>
    <n v="2746.2"/>
    <n v="37"/>
    <x v="21"/>
    <s v="Spray"/>
    <x v="108"/>
    <n v="52.5"/>
    <x v="8"/>
    <n v="45186"/>
    <x v="1"/>
  </r>
  <r>
    <x v="4"/>
    <x v="6"/>
    <x v="9"/>
    <n v="2746.2"/>
    <n v="37"/>
    <x v="21"/>
    <s v="Spray"/>
    <x v="109"/>
    <n v="56"/>
    <x v="8"/>
    <n v="238542"/>
    <x v="1"/>
  </r>
  <r>
    <x v="5"/>
    <x v="6"/>
    <x v="10"/>
    <n v="3360"/>
    <n v="37"/>
    <x v="21"/>
    <s v="Spray"/>
    <x v="110"/>
    <n v="57"/>
    <x v="8"/>
    <n v="1516"/>
    <x v="1"/>
  </r>
  <r>
    <x v="6"/>
    <x v="6"/>
    <x v="11"/>
    <n v="3360"/>
    <n v="38"/>
    <x v="21"/>
    <s v="Spray"/>
    <x v="111"/>
    <n v="57.5"/>
    <x v="8"/>
    <n v="200000"/>
    <x v="1"/>
  </r>
  <r>
    <x v="0"/>
    <x v="6"/>
    <x v="12"/>
    <n v="3360"/>
    <n v="38"/>
    <x v="21"/>
    <s v="Spray"/>
    <x v="112"/>
    <n v="57"/>
    <x v="9"/>
    <n v="4847"/>
    <x v="1"/>
  </r>
  <r>
    <x v="7"/>
    <x v="6"/>
    <x v="13"/>
    <n v="3605.4"/>
    <n v="38"/>
    <x v="21"/>
    <s v="Spray"/>
    <x v="113"/>
    <n v="55"/>
    <x v="9"/>
    <n v="51239"/>
    <x v="1"/>
  </r>
  <r>
    <x v="14"/>
    <x v="6"/>
    <x v="14"/>
    <n v="3605.4"/>
    <n v="39"/>
    <x v="21"/>
    <s v="Spray"/>
    <x v="114"/>
    <n v="56"/>
    <x v="9"/>
    <n v="216396"/>
    <x v="1"/>
  </r>
  <r>
    <x v="1"/>
    <x v="6"/>
    <x v="15"/>
    <n v="3605.4"/>
    <n v="39"/>
    <x v="21"/>
    <s v="Spray"/>
    <x v="115"/>
    <n v="54"/>
    <x v="9"/>
    <n v="2644"/>
    <x v="1"/>
  </r>
  <r>
    <x v="2"/>
    <x v="6"/>
    <x v="16"/>
    <n v="3512.4"/>
    <n v="39"/>
    <x v="21"/>
    <s v="Spray"/>
    <x v="116"/>
    <n v="58"/>
    <x v="9"/>
    <n v="44235"/>
    <x v="1"/>
  </r>
  <r>
    <x v="3"/>
    <x v="6"/>
    <x v="17"/>
    <n v="3512.4"/>
    <n v="40"/>
    <x v="21"/>
    <s v="Spray"/>
    <x v="117"/>
    <n v="58"/>
    <x v="9"/>
    <n v="203317"/>
    <x v="1"/>
  </r>
  <r>
    <x v="4"/>
    <x v="6"/>
    <x v="18"/>
    <n v="3512.4"/>
    <n v="40"/>
    <x v="21"/>
    <s v="Spray"/>
    <x v="118"/>
    <n v="59"/>
    <x v="9"/>
    <n v="2134"/>
    <x v="1"/>
  </r>
  <r>
    <x v="5"/>
    <x v="6"/>
    <x v="19"/>
    <n v="3296"/>
    <n v="40"/>
    <x v="21"/>
    <s v="Spray"/>
    <x v="119"/>
    <n v="50"/>
    <x v="9"/>
    <n v="45186"/>
    <x v="1"/>
  </r>
  <r>
    <x v="6"/>
    <x v="6"/>
    <x v="20"/>
    <n v="3296"/>
    <n v="41"/>
    <x v="21"/>
    <s v="Spray"/>
    <x v="120"/>
    <n v="54"/>
    <x v="9"/>
    <n v="238542"/>
    <x v="1"/>
  </r>
  <r>
    <x v="0"/>
    <x v="6"/>
    <x v="21"/>
    <n v="3296"/>
    <n v="41"/>
    <x v="21"/>
    <s v="Spray"/>
    <x v="121"/>
    <n v="53"/>
    <x v="9"/>
    <n v="1516"/>
    <x v="1"/>
  </r>
  <r>
    <x v="7"/>
    <x v="6"/>
    <x v="22"/>
    <n v="3550"/>
    <n v="41"/>
    <x v="21"/>
    <s v="Spray"/>
    <x v="122"/>
    <n v="52"/>
    <x v="9"/>
    <n v="57259"/>
    <x v="1"/>
  </r>
  <r>
    <x v="8"/>
    <x v="6"/>
    <x v="23"/>
    <n v="3550"/>
    <n v="42"/>
    <x v="21"/>
    <s v="Spray"/>
    <x v="105"/>
    <n v="51"/>
    <x v="9"/>
    <n v="234779"/>
    <x v="1"/>
  </r>
  <r>
    <x v="9"/>
    <x v="6"/>
    <x v="24"/>
    <n v="3550"/>
    <n v="42"/>
    <x v="25"/>
    <s v="Spray"/>
    <x v="123"/>
    <n v="57"/>
    <x v="9"/>
    <n v="1493"/>
    <x v="1"/>
  </r>
  <r>
    <x v="10"/>
    <x v="6"/>
    <x v="25"/>
    <n v="3654"/>
    <n v="42"/>
    <x v="25"/>
    <s v="Spray"/>
    <x v="91"/>
    <n v="57"/>
    <x v="9"/>
    <n v="64409"/>
    <x v="1"/>
  </r>
  <r>
    <x v="11"/>
    <x v="6"/>
    <x v="26"/>
    <n v="3654"/>
    <n v="43"/>
    <x v="25"/>
    <s v="Spray"/>
    <x v="92"/>
    <n v="60"/>
    <x v="9"/>
    <n v="249978"/>
    <x v="1"/>
  </r>
  <r>
    <x v="12"/>
    <x v="6"/>
    <x v="27"/>
    <n v="3654"/>
    <n v="27"/>
    <x v="25"/>
    <s v="Spray"/>
    <x v="93"/>
    <n v="57"/>
    <x v="10"/>
    <n v="637"/>
    <x v="1"/>
  </r>
  <r>
    <x v="13"/>
    <x v="6"/>
    <x v="28"/>
    <n v="233"/>
    <n v="27"/>
    <x v="25"/>
    <s v="Spray"/>
    <x v="94"/>
    <n v="57"/>
    <x v="10"/>
    <n v="43311"/>
    <x v="1"/>
  </r>
  <r>
    <x v="14"/>
    <x v="6"/>
    <x v="29"/>
    <n v="233"/>
    <n v="27"/>
    <x v="25"/>
    <s v="Spray"/>
    <x v="95"/>
    <n v="54"/>
    <x v="10"/>
    <n v="24848"/>
    <x v="1"/>
  </r>
  <r>
    <x v="1"/>
    <x v="6"/>
    <x v="30"/>
    <n v="233"/>
    <n v="27"/>
    <x v="25"/>
    <s v="Spray"/>
    <x v="96"/>
    <n v="54.5"/>
    <x v="10"/>
    <n v="761"/>
    <x v="1"/>
  </r>
  <r>
    <x v="2"/>
    <x v="6"/>
    <x v="31"/>
    <n v="234"/>
    <n v="27"/>
    <x v="25"/>
    <s v="Spray"/>
    <x v="97"/>
    <n v="56.6"/>
    <x v="10"/>
    <n v="45608"/>
    <x v="1"/>
  </r>
  <r>
    <x v="3"/>
    <x v="6"/>
    <x v="32"/>
    <n v="234"/>
    <n v="27"/>
    <x v="25"/>
    <s v="Drip"/>
    <x v="98"/>
    <n v="55.5"/>
    <x v="10"/>
    <n v="234581"/>
    <x v="1"/>
  </r>
  <r>
    <x v="4"/>
    <x v="6"/>
    <x v="33"/>
    <n v="234"/>
    <n v="27.2"/>
    <x v="25"/>
    <s v="Drip"/>
    <x v="99"/>
    <n v="58.5"/>
    <x v="10"/>
    <n v="646"/>
    <x v="1"/>
  </r>
  <r>
    <x v="5"/>
    <x v="6"/>
    <x v="34"/>
    <n v="3105"/>
    <n v="27.2"/>
    <x v="25"/>
    <s v="Drip"/>
    <x v="100"/>
    <n v="59.5"/>
    <x v="10"/>
    <n v="43562"/>
    <x v="1"/>
  </r>
  <r>
    <x v="6"/>
    <x v="6"/>
    <x v="35"/>
    <n v="3105"/>
    <n v="27.2"/>
    <x v="25"/>
    <s v="Drip"/>
    <x v="101"/>
    <n v="55"/>
    <x v="10"/>
    <n v="200000"/>
    <x v="1"/>
  </r>
  <r>
    <x v="15"/>
    <x v="6"/>
    <x v="36"/>
    <n v="3105"/>
    <n v="27"/>
    <x v="25"/>
    <s v="Drip"/>
    <x v="102"/>
    <n v="53"/>
    <x v="10"/>
    <n v="4847"/>
    <x v="1"/>
  </r>
  <r>
    <x v="0"/>
    <x v="6"/>
    <x v="37"/>
    <n v="236"/>
    <n v="27"/>
    <x v="25"/>
    <s v="Drip"/>
    <x v="102"/>
    <n v="53.5"/>
    <x v="10"/>
    <n v="51239"/>
    <x v="1"/>
  </r>
  <r>
    <x v="1"/>
    <x v="6"/>
    <x v="38"/>
    <n v="236"/>
    <n v="27"/>
    <x v="25"/>
    <s v="Drip"/>
    <x v="103"/>
    <n v="52.5"/>
    <x v="10"/>
    <n v="216396"/>
    <x v="1"/>
  </r>
  <r>
    <x v="2"/>
    <x v="6"/>
    <x v="39"/>
    <n v="2903.1"/>
    <n v="27"/>
    <x v="25"/>
    <s v="Drip"/>
    <x v="104"/>
    <n v="56"/>
    <x v="10"/>
    <n v="2644"/>
    <x v="1"/>
  </r>
  <r>
    <x v="3"/>
    <x v="6"/>
    <x v="40"/>
    <n v="2903.1"/>
    <n v="27"/>
    <x v="25"/>
    <s v="Drip"/>
    <x v="105"/>
    <n v="59.5"/>
    <x v="10"/>
    <n v="44235"/>
    <x v="1"/>
  </r>
  <r>
    <x v="4"/>
    <x v="6"/>
    <x v="41"/>
    <n v="2903.1"/>
    <n v="27"/>
    <x v="25"/>
    <s v="Drip"/>
    <x v="106"/>
    <n v="55"/>
    <x v="10"/>
    <n v="203317"/>
    <x v="1"/>
  </r>
  <r>
    <x v="5"/>
    <x v="6"/>
    <x v="42"/>
    <n v="2996.6"/>
    <n v="27.2"/>
    <x v="25"/>
    <s v="Drip"/>
    <x v="107"/>
    <n v="53"/>
    <x v="11"/>
    <n v="2134"/>
    <x v="1"/>
  </r>
  <r>
    <x v="6"/>
    <x v="6"/>
    <x v="43"/>
    <n v="2996.6"/>
    <n v="27.2"/>
    <x v="25"/>
    <s v="Drip"/>
    <x v="108"/>
    <n v="53.5"/>
    <x v="11"/>
    <n v="45186"/>
    <x v="1"/>
  </r>
  <r>
    <x v="0"/>
    <x v="6"/>
    <x v="44"/>
    <n v="2996.6"/>
    <n v="27.2"/>
    <x v="8"/>
    <s v="Drip"/>
    <x v="109"/>
    <n v="52.5"/>
    <x v="11"/>
    <n v="238542"/>
    <x v="1"/>
  </r>
  <r>
    <x v="7"/>
    <x v="6"/>
    <x v="45"/>
    <n v="3522.8"/>
    <n v="27.1"/>
    <x v="8"/>
    <s v="Drip"/>
    <x v="110"/>
    <n v="56"/>
    <x v="11"/>
    <n v="1516"/>
    <x v="1"/>
  </r>
  <r>
    <x v="8"/>
    <x v="6"/>
    <x v="46"/>
    <n v="3522.8"/>
    <n v="27.1"/>
    <x v="8"/>
    <s v="Drip"/>
    <x v="111"/>
    <n v="57"/>
    <x v="11"/>
    <n v="57259"/>
    <x v="1"/>
  </r>
  <r>
    <x v="9"/>
    <x v="6"/>
    <x v="47"/>
    <n v="3522.8"/>
    <n v="27.1"/>
    <x v="8"/>
    <s v="Drip"/>
    <x v="112"/>
    <n v="57.5"/>
    <x v="11"/>
    <n v="234779"/>
    <x v="1"/>
  </r>
  <r>
    <x v="10"/>
    <x v="6"/>
    <x v="48"/>
    <n v="2903.1"/>
    <n v="26.8"/>
    <x v="8"/>
    <s v="Drip"/>
    <x v="113"/>
    <n v="57"/>
    <x v="11"/>
    <n v="1493"/>
    <x v="1"/>
  </r>
  <r>
    <x v="11"/>
    <x v="6"/>
    <x v="49"/>
    <n v="2903.1"/>
    <n v="26.8"/>
    <x v="8"/>
    <s v="Drip"/>
    <x v="114"/>
    <n v="55"/>
    <x v="11"/>
    <n v="64409"/>
    <x v="1"/>
  </r>
  <r>
    <x v="12"/>
    <x v="0"/>
    <x v="50"/>
    <n v="2903.1"/>
    <n v="26.8"/>
    <x v="8"/>
    <s v="Drip"/>
    <x v="115"/>
    <n v="56"/>
    <x v="11"/>
    <n v="249978"/>
    <x v="1"/>
  </r>
  <r>
    <x v="13"/>
    <x v="0"/>
    <x v="51"/>
    <n v="2996.6"/>
    <n v="37"/>
    <x v="8"/>
    <s v="Drip"/>
    <x v="116"/>
    <n v="54"/>
    <x v="11"/>
    <n v="637"/>
    <x v="1"/>
  </r>
  <r>
    <x v="14"/>
    <x v="0"/>
    <x v="52"/>
    <n v="2996.6"/>
    <n v="37"/>
    <x v="8"/>
    <s v="Drip"/>
    <x v="117"/>
    <n v="58"/>
    <x v="11"/>
    <n v="43311"/>
    <x v="1"/>
  </r>
  <r>
    <x v="1"/>
    <x v="0"/>
    <x v="53"/>
    <n v="2996.6"/>
    <n v="37"/>
    <x v="8"/>
    <s v="Drip"/>
    <x v="118"/>
    <n v="58"/>
    <x v="11"/>
    <n v="24848"/>
    <x v="1"/>
  </r>
  <r>
    <x v="2"/>
    <x v="0"/>
    <x v="54"/>
    <n v="3522.8"/>
    <n v="38"/>
    <x v="8"/>
    <s v="Drip"/>
    <x v="119"/>
    <n v="59"/>
    <x v="11"/>
    <n v="761"/>
    <x v="1"/>
  </r>
  <r>
    <x v="3"/>
    <x v="0"/>
    <x v="55"/>
    <n v="3522.8"/>
    <n v="38"/>
    <x v="8"/>
    <s v="Drip"/>
    <x v="120"/>
    <n v="50"/>
    <x v="11"/>
    <n v="45608"/>
    <x v="1"/>
  </r>
  <r>
    <x v="4"/>
    <x v="0"/>
    <x v="56"/>
    <n v="3522.8"/>
    <n v="38"/>
    <x v="8"/>
    <s v="Drip"/>
    <x v="121"/>
    <n v="54"/>
    <x v="11"/>
    <n v="234581"/>
    <x v="1"/>
  </r>
  <r>
    <x v="5"/>
    <x v="0"/>
    <x v="57"/>
    <n v="3729.8"/>
    <n v="39"/>
    <x v="8"/>
    <s v="Drip"/>
    <x v="122"/>
    <n v="53"/>
    <x v="0"/>
    <n v="646"/>
    <x v="1"/>
  </r>
  <r>
    <x v="6"/>
    <x v="0"/>
    <x v="58"/>
    <n v="3729.8"/>
    <n v="39"/>
    <x v="8"/>
    <s v="Drip"/>
    <x v="105"/>
    <n v="59.5"/>
    <x v="0"/>
    <n v="43562"/>
    <x v="1"/>
  </r>
  <r>
    <x v="1"/>
    <x v="0"/>
    <x v="59"/>
    <n v="3729.8"/>
    <n v="39"/>
    <x v="8"/>
    <s v="Drip"/>
    <x v="123"/>
    <n v="55"/>
    <x v="0"/>
    <n v="200000"/>
    <x v="1"/>
  </r>
  <r>
    <x v="2"/>
    <x v="0"/>
    <x v="60"/>
    <n v="2746.2"/>
    <n v="40"/>
    <x v="8"/>
    <s v="Drip"/>
    <x v="0"/>
    <n v="53"/>
    <x v="0"/>
    <n v="4847"/>
    <x v="1"/>
  </r>
  <r>
    <x v="3"/>
    <x v="0"/>
    <x v="61"/>
    <n v="2746.2"/>
    <n v="40"/>
    <x v="8"/>
    <s v="Drip"/>
    <x v="1"/>
    <n v="53.5"/>
    <x v="0"/>
    <n v="51239"/>
    <x v="1"/>
  </r>
  <r>
    <x v="4"/>
    <x v="0"/>
    <x v="62"/>
    <n v="2746.2"/>
    <n v="40"/>
    <x v="8"/>
    <s v="Drip"/>
    <x v="2"/>
    <n v="52.5"/>
    <x v="0"/>
    <n v="216396"/>
    <x v="1"/>
  </r>
  <r>
    <x v="5"/>
    <x v="0"/>
    <x v="63"/>
    <n v="3360"/>
    <n v="41"/>
    <x v="8"/>
    <s v="Drip"/>
    <x v="3"/>
    <n v="56"/>
    <x v="0"/>
    <n v="2644"/>
    <x v="1"/>
  </r>
  <r>
    <x v="6"/>
    <x v="0"/>
    <x v="64"/>
    <n v="3360"/>
    <n v="41"/>
    <x v="8"/>
    <s v="Drip"/>
    <x v="4"/>
    <n v="57"/>
    <x v="0"/>
    <n v="44235"/>
    <x v="1"/>
  </r>
  <r>
    <x v="0"/>
    <x v="0"/>
    <x v="65"/>
    <n v="3360"/>
    <n v="41"/>
    <x v="8"/>
    <s v="Drip"/>
    <x v="5"/>
    <n v="57.5"/>
    <x v="0"/>
    <n v="203317"/>
    <x v="1"/>
  </r>
  <r>
    <x v="7"/>
    <x v="0"/>
    <x v="62"/>
    <n v="3605.4"/>
    <n v="42"/>
    <x v="8"/>
    <s v="Drip"/>
    <x v="6"/>
    <n v="57"/>
    <x v="0"/>
    <n v="2134"/>
    <x v="1"/>
  </r>
  <r>
    <x v="8"/>
    <x v="1"/>
    <x v="66"/>
    <n v="3605.4"/>
    <n v="42"/>
    <x v="8"/>
    <s v="Drip"/>
    <x v="7"/>
    <n v="55"/>
    <x v="0"/>
    <n v="45186"/>
    <x v="1"/>
  </r>
  <r>
    <x v="9"/>
    <x v="1"/>
    <x v="67"/>
    <n v="2903.1"/>
    <n v="42"/>
    <x v="8"/>
    <s v="Drip"/>
    <x v="8"/>
    <n v="56"/>
    <x v="0"/>
    <n v="238542"/>
    <x v="1"/>
  </r>
  <r>
    <x v="10"/>
    <x v="1"/>
    <x v="68"/>
    <n v="2903.1"/>
    <n v="43"/>
    <x v="8"/>
    <s v="Drip"/>
    <x v="9"/>
    <n v="54"/>
    <x v="0"/>
    <n v="1516"/>
    <x v="1"/>
  </r>
  <r>
    <x v="11"/>
    <x v="1"/>
    <x v="67"/>
    <n v="2903.1"/>
    <n v="43"/>
    <x v="8"/>
    <s v="Drip"/>
    <x v="10"/>
    <n v="58"/>
    <x v="0"/>
    <n v="200000"/>
    <x v="1"/>
  </r>
  <r>
    <x v="12"/>
    <x v="1"/>
    <x v="69"/>
    <n v="2996.6"/>
    <n v="128"/>
    <x v="8"/>
    <s v="Drip"/>
    <x v="11"/>
    <n v="58"/>
    <x v="0"/>
    <n v="4847"/>
    <x v="1"/>
  </r>
  <r>
    <x v="13"/>
    <x v="1"/>
    <x v="70"/>
    <n v="2996.6"/>
    <n v="129"/>
    <x v="8"/>
    <s v="Drip"/>
    <x v="12"/>
    <n v="59"/>
    <x v="0"/>
    <n v="51239"/>
    <x v="1"/>
  </r>
  <r>
    <x v="14"/>
    <x v="1"/>
    <x v="71"/>
    <n v="2996.6"/>
    <n v="130"/>
    <x v="0"/>
    <s v="Drip"/>
    <x v="13"/>
    <n v="50"/>
    <x v="6"/>
    <n v="216396"/>
    <x v="1"/>
  </r>
  <r>
    <x v="1"/>
    <x v="1"/>
    <x v="64"/>
    <n v="3522.8"/>
    <n v="131"/>
    <x v="0"/>
    <s v="Drip"/>
    <x v="0"/>
    <n v="54"/>
    <x v="6"/>
    <n v="2644"/>
    <x v="1"/>
  </r>
  <r>
    <x v="2"/>
    <x v="1"/>
    <x v="63"/>
    <n v="3522.8"/>
    <n v="132"/>
    <x v="0"/>
    <s v="Drip"/>
    <x v="1"/>
    <n v="53"/>
    <x v="6"/>
    <n v="44235"/>
    <x v="1"/>
  </r>
  <r>
    <x v="3"/>
    <x v="1"/>
    <x v="72"/>
    <n v="3522.8"/>
    <n v="133"/>
    <x v="0"/>
    <s v="Basin"/>
    <x v="2"/>
    <n v="59.5"/>
    <x v="6"/>
    <n v="203317"/>
    <x v="1"/>
  </r>
  <r>
    <x v="4"/>
    <x v="1"/>
    <x v="73"/>
    <n v="3729.8"/>
    <n v="134"/>
    <x v="0"/>
    <s v="Basin"/>
    <x v="3"/>
    <n v="55"/>
    <x v="6"/>
    <n v="2134"/>
    <x v="1"/>
  </r>
  <r>
    <x v="5"/>
    <x v="1"/>
    <x v="60"/>
    <n v="3729.8"/>
    <n v="135"/>
    <x v="0"/>
    <s v="Basin"/>
    <x v="4"/>
    <n v="53"/>
    <x v="6"/>
    <n v="45186"/>
    <x v="1"/>
  </r>
  <r>
    <x v="6"/>
    <x v="1"/>
    <x v="74"/>
    <n v="3729.8"/>
    <n v="136"/>
    <x v="0"/>
    <s v="Basin"/>
    <x v="5"/>
    <n v="53.5"/>
    <x v="6"/>
    <n v="238542"/>
    <x v="1"/>
  </r>
  <r>
    <x v="3"/>
    <x v="1"/>
    <x v="75"/>
    <n v="2746.2"/>
    <n v="137"/>
    <x v="0"/>
    <s v="Basin"/>
    <x v="6"/>
    <n v="52.5"/>
    <x v="6"/>
    <n v="1516"/>
    <x v="1"/>
  </r>
  <r>
    <x v="4"/>
    <x v="1"/>
    <x v="76"/>
    <n v="2746.2"/>
    <n v="138"/>
    <x v="0"/>
    <s v="Basin"/>
    <x v="7"/>
    <n v="56"/>
    <x v="6"/>
    <n v="57259"/>
    <x v="1"/>
  </r>
  <r>
    <x v="5"/>
    <x v="1"/>
    <x v="77"/>
    <n v="2746.2"/>
    <n v="139"/>
    <x v="0"/>
    <s v="Basin"/>
    <x v="8"/>
    <n v="57"/>
    <x v="6"/>
    <n v="234779"/>
    <x v="1"/>
  </r>
  <r>
    <x v="6"/>
    <x v="1"/>
    <x v="78"/>
    <n v="3360"/>
    <n v="140"/>
    <x v="0"/>
    <s v="Basin"/>
    <x v="9"/>
    <n v="57.5"/>
    <x v="6"/>
    <n v="1493"/>
    <x v="1"/>
  </r>
  <r>
    <x v="1"/>
    <x v="1"/>
    <x v="79"/>
    <n v="3360"/>
    <n v="141"/>
    <x v="0"/>
    <s v="Basin"/>
    <x v="10"/>
    <n v="57"/>
    <x v="6"/>
    <n v="64409"/>
    <x v="1"/>
  </r>
  <r>
    <x v="2"/>
    <x v="1"/>
    <x v="80"/>
    <n v="3360"/>
    <n v="142"/>
    <x v="0"/>
    <s v="Basin"/>
    <x v="11"/>
    <n v="55"/>
    <x v="6"/>
    <n v="249978"/>
    <x v="1"/>
  </r>
  <r>
    <x v="3"/>
    <x v="1"/>
    <x v="81"/>
    <n v="3605.4"/>
    <n v="143"/>
    <x v="0"/>
    <s v="Basin"/>
    <x v="12"/>
    <n v="56"/>
    <x v="6"/>
    <n v="637"/>
    <x v="1"/>
  </r>
  <r>
    <x v="4"/>
    <x v="1"/>
    <x v="82"/>
    <n v="3605.4"/>
    <n v="144"/>
    <x v="0"/>
    <s v="Basin"/>
    <x v="13"/>
    <n v="54"/>
    <x v="6"/>
    <n v="43311"/>
    <x v="1"/>
  </r>
  <r>
    <x v="5"/>
    <x v="1"/>
    <x v="83"/>
    <n v="3605.4"/>
    <n v="27"/>
    <x v="0"/>
    <s v="Drip"/>
    <x v="14"/>
    <n v="57"/>
    <x v="0"/>
    <n v="200000"/>
    <x v="1"/>
  </r>
  <r>
    <x v="6"/>
    <x v="1"/>
    <x v="84"/>
    <n v="3512.4"/>
    <n v="27"/>
    <x v="0"/>
    <s v="Drip"/>
    <x v="15"/>
    <n v="57.5"/>
    <x v="0"/>
    <n v="4847"/>
    <x v="1"/>
  </r>
  <r>
    <x v="0"/>
    <x v="1"/>
    <x v="85"/>
    <n v="3512.4"/>
    <n v="27"/>
    <x v="0"/>
    <s v="Drip"/>
    <x v="16"/>
    <n v="57"/>
    <x v="0"/>
    <n v="51239"/>
    <x v="1"/>
  </r>
  <r>
    <x v="7"/>
    <x v="1"/>
    <x v="86"/>
    <n v="3512.4"/>
    <n v="27"/>
    <x v="0"/>
    <s v="Drip"/>
    <x v="17"/>
    <n v="55"/>
    <x v="0"/>
    <n v="216396"/>
    <x v="1"/>
  </r>
  <r>
    <x v="8"/>
    <x v="1"/>
    <x v="87"/>
    <n v="3296"/>
    <n v="27"/>
    <x v="0"/>
    <s v="Drip"/>
    <x v="18"/>
    <n v="56"/>
    <x v="0"/>
    <n v="2644"/>
    <x v="1"/>
  </r>
  <r>
    <x v="9"/>
    <x v="1"/>
    <x v="88"/>
    <n v="3550"/>
    <n v="27"/>
    <x v="0"/>
    <s v="Drip"/>
    <x v="19"/>
    <n v="54"/>
    <x v="0"/>
    <n v="44235"/>
    <x v="1"/>
  </r>
  <r>
    <x v="10"/>
    <x v="1"/>
    <x v="89"/>
    <n v="3550"/>
    <n v="27.2"/>
    <x v="0"/>
    <s v="Drip"/>
    <x v="20"/>
    <n v="58"/>
    <x v="0"/>
    <n v="203317"/>
    <x v="1"/>
  </r>
  <r>
    <x v="11"/>
    <x v="1"/>
    <x v="90"/>
    <n v="3550"/>
    <n v="27.2"/>
    <x v="0"/>
    <s v="Drip"/>
    <x v="21"/>
    <n v="58"/>
    <x v="0"/>
    <n v="2134"/>
    <x v="1"/>
  </r>
  <r>
    <x v="12"/>
    <x v="1"/>
    <x v="91"/>
    <n v="3654"/>
    <n v="27.2"/>
    <x v="0"/>
    <s v="Drip"/>
    <x v="22"/>
    <n v="59"/>
    <x v="0"/>
    <n v="45186"/>
    <x v="1"/>
  </r>
  <r>
    <x v="13"/>
    <x v="1"/>
    <x v="92"/>
    <n v="3654"/>
    <n v="27"/>
    <x v="0"/>
    <s v="Drip"/>
    <x v="23"/>
    <n v="50"/>
    <x v="0"/>
    <n v="238542"/>
    <x v="1"/>
  </r>
  <r>
    <x v="14"/>
    <x v="7"/>
    <x v="64"/>
    <n v="3654"/>
    <n v="27"/>
    <x v="19"/>
    <s v="Drip"/>
    <x v="24"/>
    <n v="54"/>
    <x v="0"/>
    <n v="1516"/>
    <x v="1"/>
  </r>
  <r>
    <x v="1"/>
    <x v="7"/>
    <x v="93"/>
    <n v="233"/>
    <n v="27"/>
    <x v="19"/>
    <s v="Drip"/>
    <x v="25"/>
    <n v="53"/>
    <x v="0"/>
    <n v="57259"/>
    <x v="1"/>
  </r>
  <r>
    <x v="2"/>
    <x v="7"/>
    <x v="94"/>
    <n v="233"/>
    <n v="27"/>
    <x v="19"/>
    <s v="Drip"/>
    <x v="26"/>
    <n v="52"/>
    <x v="0"/>
    <n v="234779"/>
    <x v="1"/>
  </r>
  <r>
    <x v="3"/>
    <x v="7"/>
    <x v="95"/>
    <n v="233"/>
    <n v="27"/>
    <x v="19"/>
    <s v="Drip"/>
    <x v="27"/>
    <n v="51"/>
    <x v="0"/>
    <n v="1493"/>
    <x v="1"/>
  </r>
  <r>
    <x v="4"/>
    <x v="7"/>
    <x v="96"/>
    <n v="234"/>
    <n v="27"/>
    <x v="19"/>
    <s v="Drip"/>
    <x v="28"/>
    <n v="57"/>
    <x v="0"/>
    <n v="64409"/>
    <x v="1"/>
  </r>
  <r>
    <x v="5"/>
    <x v="7"/>
    <x v="97"/>
    <n v="234"/>
    <n v="27.2"/>
    <x v="19"/>
    <s v="Drip"/>
    <x v="29"/>
    <n v="57"/>
    <x v="0"/>
    <n v="249978"/>
    <x v="1"/>
  </r>
  <r>
    <x v="4"/>
    <x v="7"/>
    <x v="98"/>
    <n v="234"/>
    <n v="27.2"/>
    <x v="19"/>
    <s v="Drip"/>
    <x v="30"/>
    <n v="60"/>
    <x v="0"/>
    <n v="637"/>
    <x v="1"/>
  </r>
  <r>
    <x v="5"/>
    <x v="7"/>
    <x v="99"/>
    <n v="3105"/>
    <n v="27.2"/>
    <x v="19"/>
    <s v="Drip"/>
    <x v="31"/>
    <n v="57"/>
    <x v="0"/>
    <n v="43311"/>
    <x v="1"/>
  </r>
  <r>
    <x v="6"/>
    <x v="7"/>
    <x v="100"/>
    <n v="3105"/>
    <n v="27.1"/>
    <x v="19"/>
    <s v="Drip"/>
    <x v="32"/>
    <n v="57"/>
    <x v="0"/>
    <n v="24848"/>
    <x v="1"/>
  </r>
  <r>
    <x v="1"/>
    <x v="7"/>
    <x v="101"/>
    <n v="3105"/>
    <n v="27.1"/>
    <x v="19"/>
    <s v="Drip"/>
    <x v="33"/>
    <n v="54"/>
    <x v="0"/>
    <n v="761"/>
    <x v="1"/>
  </r>
  <r>
    <x v="2"/>
    <x v="7"/>
    <x v="102"/>
    <n v="236"/>
    <n v="27.1"/>
    <x v="19"/>
    <s v="Drip"/>
    <x v="34"/>
    <n v="54.5"/>
    <x v="0"/>
    <n v="45608"/>
    <x v="1"/>
  </r>
  <r>
    <x v="3"/>
    <x v="7"/>
    <x v="103"/>
    <n v="236"/>
    <n v="26.8"/>
    <x v="19"/>
    <s v="Drip"/>
    <x v="35"/>
    <n v="56.6"/>
    <x v="0"/>
    <n v="234581"/>
    <x v="1"/>
  </r>
  <r>
    <x v="4"/>
    <x v="7"/>
    <x v="104"/>
    <n v="2903.1"/>
    <n v="26.8"/>
    <x v="19"/>
    <s v="Drip"/>
    <x v="36"/>
    <n v="55.5"/>
    <x v="0"/>
    <n v="646"/>
    <x v="1"/>
  </r>
  <r>
    <x v="5"/>
    <x v="7"/>
    <x v="105"/>
    <n v="2903.1"/>
    <n v="26.8"/>
    <x v="19"/>
    <s v="Drip"/>
    <x v="37"/>
    <n v="58.5"/>
    <x v="0"/>
    <n v="43562"/>
    <x v="1"/>
  </r>
  <r>
    <x v="6"/>
    <x v="7"/>
    <x v="106"/>
    <n v="2903.1"/>
    <n v="37"/>
    <x v="19"/>
    <s v="Drip"/>
    <x v="38"/>
    <n v="59.5"/>
    <x v="0"/>
    <n v="200000"/>
    <x v="1"/>
  </r>
  <r>
    <x v="0"/>
    <x v="7"/>
    <x v="107"/>
    <n v="2996.6"/>
    <n v="37"/>
    <x v="19"/>
    <s v="Drip"/>
    <x v="39"/>
    <n v="55"/>
    <x v="0"/>
    <n v="4847"/>
    <x v="1"/>
  </r>
  <r>
    <x v="7"/>
    <x v="7"/>
    <x v="108"/>
    <n v="2996.6"/>
    <n v="37"/>
    <x v="19"/>
    <s v="Drip"/>
    <x v="40"/>
    <n v="53"/>
    <x v="0"/>
    <n v="51239"/>
    <x v="1"/>
  </r>
  <r>
    <x v="8"/>
    <x v="7"/>
    <x v="109"/>
    <n v="2996.6"/>
    <n v="38"/>
    <x v="19"/>
    <s v="Drip"/>
    <x v="41"/>
    <n v="53.5"/>
    <x v="0"/>
    <n v="216396"/>
    <x v="1"/>
  </r>
  <r>
    <x v="9"/>
    <x v="7"/>
    <x v="110"/>
    <n v="3296"/>
    <n v="38"/>
    <x v="19"/>
    <s v="Drip"/>
    <x v="42"/>
    <n v="52.5"/>
    <x v="0"/>
    <n v="2644"/>
    <x v="1"/>
  </r>
  <r>
    <x v="10"/>
    <x v="7"/>
    <x v="111"/>
    <n v="3550"/>
    <n v="38"/>
    <x v="19"/>
    <s v="Drip"/>
    <x v="43"/>
    <n v="56"/>
    <x v="0"/>
    <n v="44235"/>
    <x v="1"/>
  </r>
  <r>
    <x v="11"/>
    <x v="7"/>
    <x v="112"/>
    <n v="3550"/>
    <n v="39"/>
    <x v="19"/>
    <s v="Drip"/>
    <x v="44"/>
    <n v="57"/>
    <x v="0"/>
    <n v="203317"/>
    <x v="1"/>
  </r>
  <r>
    <x v="12"/>
    <x v="7"/>
    <x v="113"/>
    <n v="3550"/>
    <n v="39"/>
    <x v="19"/>
    <s v="Drip"/>
    <x v="45"/>
    <n v="57.5"/>
    <x v="0"/>
    <n v="2134"/>
    <x v="1"/>
  </r>
  <r>
    <x v="13"/>
    <x v="7"/>
    <x v="114"/>
    <n v="3654"/>
    <n v="39"/>
    <x v="19"/>
    <s v="Drip"/>
    <x v="46"/>
    <n v="57"/>
    <x v="0"/>
    <n v="45186"/>
    <x v="1"/>
  </r>
  <r>
    <x v="14"/>
    <x v="7"/>
    <x v="115"/>
    <n v="3654"/>
    <n v="40"/>
    <x v="19"/>
    <s v="Drip"/>
    <x v="47"/>
    <n v="55"/>
    <x v="0"/>
    <n v="238542"/>
    <x v="1"/>
  </r>
  <r>
    <x v="1"/>
    <x v="7"/>
    <x v="116"/>
    <n v="3654"/>
    <n v="40"/>
    <x v="19"/>
    <s v="Drip"/>
    <x v="48"/>
    <n v="56"/>
    <x v="0"/>
    <n v="1516"/>
    <x v="1"/>
  </r>
  <r>
    <x v="2"/>
    <x v="7"/>
    <x v="117"/>
    <n v="233"/>
    <n v="40"/>
    <x v="7"/>
    <s v="Drip"/>
    <x v="49"/>
    <n v="54"/>
    <x v="0"/>
    <n v="57259"/>
    <x v="1"/>
  </r>
  <r>
    <x v="3"/>
    <x v="7"/>
    <x v="118"/>
    <n v="233"/>
    <n v="41"/>
    <x v="7"/>
    <s v="Drip"/>
    <x v="50"/>
    <n v="58"/>
    <x v="0"/>
    <n v="234779"/>
    <x v="1"/>
  </r>
  <r>
    <x v="4"/>
    <x v="7"/>
    <x v="119"/>
    <n v="233"/>
    <n v="41"/>
    <x v="7"/>
    <s v="Drip"/>
    <x v="51"/>
    <n v="58"/>
    <x v="0"/>
    <n v="1493"/>
    <x v="1"/>
  </r>
  <r>
    <x v="5"/>
    <x v="7"/>
    <x v="120"/>
    <n v="234"/>
    <n v="41"/>
    <x v="7"/>
    <s v="Drip"/>
    <x v="52"/>
    <n v="59"/>
    <x v="0"/>
    <n v="64409"/>
    <x v="1"/>
  </r>
  <r>
    <x v="4"/>
    <x v="7"/>
    <x v="12"/>
    <n v="234"/>
    <n v="42"/>
    <x v="7"/>
    <s v="Drip"/>
    <x v="53"/>
    <n v="50"/>
    <x v="0"/>
    <n v="249978"/>
    <x v="1"/>
  </r>
  <r>
    <x v="5"/>
    <x v="7"/>
    <x v="121"/>
    <n v="234"/>
    <n v="42"/>
    <x v="7"/>
    <s v="Drip"/>
    <x v="54"/>
    <n v="54"/>
    <x v="0"/>
    <n v="637"/>
    <x v="1"/>
  </r>
  <r>
    <x v="4"/>
    <x v="7"/>
    <x v="122"/>
    <n v="3105"/>
    <n v="42"/>
    <x v="7"/>
    <s v="Drip"/>
    <x v="55"/>
    <n v="53"/>
    <x v="0"/>
    <n v="43311"/>
    <x v="1"/>
  </r>
  <r>
    <x v="5"/>
    <x v="7"/>
    <x v="123"/>
    <n v="3105"/>
    <n v="43"/>
    <x v="7"/>
    <s v="Drip"/>
    <x v="56"/>
    <n v="52"/>
    <x v="0"/>
    <n v="24848"/>
    <x v="1"/>
  </r>
  <r>
    <x v="6"/>
    <x v="7"/>
    <x v="9"/>
    <n v="3105"/>
    <n v="43"/>
    <x v="7"/>
    <s v="Drip"/>
    <x v="57"/>
    <n v="51"/>
    <x v="0"/>
    <n v="761"/>
    <x v="1"/>
  </r>
  <r>
    <x v="1"/>
    <x v="7"/>
    <x v="124"/>
    <n v="236"/>
    <n v="27"/>
    <x v="7"/>
    <s v="Basin"/>
    <x v="58"/>
    <n v="57"/>
    <x v="0"/>
    <n v="45608"/>
    <x v="1"/>
  </r>
  <r>
    <x v="2"/>
    <x v="7"/>
    <x v="125"/>
    <n v="236"/>
    <n v="27"/>
    <x v="7"/>
    <s v="Basin"/>
    <x v="59"/>
    <n v="57"/>
    <x v="0"/>
    <n v="234581"/>
    <x v="1"/>
  </r>
  <r>
    <x v="3"/>
    <x v="7"/>
    <x v="126"/>
    <n v="2903.1"/>
    <n v="27"/>
    <x v="7"/>
    <s v="Basin"/>
    <x v="60"/>
    <n v="60"/>
    <x v="0"/>
    <n v="646"/>
    <x v="1"/>
  </r>
  <r>
    <x v="4"/>
    <x v="7"/>
    <x v="127"/>
    <n v="2903.1"/>
    <n v="27"/>
    <x v="7"/>
    <s v="Basin"/>
    <x v="61"/>
    <n v="57"/>
    <x v="0"/>
    <n v="43562"/>
    <x v="1"/>
  </r>
  <r>
    <x v="5"/>
    <x v="7"/>
    <x v="128"/>
    <n v="2903.1"/>
    <n v="27"/>
    <x v="7"/>
    <s v="Basin"/>
    <x v="62"/>
    <n v="57"/>
    <x v="0"/>
    <n v="200000"/>
    <x v="1"/>
  </r>
  <r>
    <x v="6"/>
    <x v="7"/>
    <x v="129"/>
    <n v="2996.6"/>
    <n v="27"/>
    <x v="7"/>
    <s v="Basin"/>
    <x v="63"/>
    <n v="54"/>
    <x v="0"/>
    <n v="4847"/>
    <x v="1"/>
  </r>
  <r>
    <x v="0"/>
    <x v="7"/>
    <x v="130"/>
    <n v="2996.6"/>
    <n v="27.2"/>
    <x v="7"/>
    <s v="Basin"/>
    <x v="64"/>
    <n v="54.5"/>
    <x v="0"/>
    <n v="51239"/>
    <x v="1"/>
  </r>
  <r>
    <x v="7"/>
    <x v="7"/>
    <x v="131"/>
    <n v="2996.6"/>
    <n v="27.2"/>
    <x v="7"/>
    <s v="Basin"/>
    <x v="65"/>
    <n v="56.6"/>
    <x v="0"/>
    <n v="216396"/>
    <x v="1"/>
  </r>
  <r>
    <x v="8"/>
    <x v="7"/>
    <x v="132"/>
    <n v="2903.1"/>
    <n v="27.2"/>
    <x v="7"/>
    <s v="Basin"/>
    <x v="62"/>
    <n v="55.5"/>
    <x v="0"/>
    <n v="2644"/>
    <x v="1"/>
  </r>
  <r>
    <x v="9"/>
    <x v="7"/>
    <x v="133"/>
    <n v="2903.1"/>
    <n v="27"/>
    <x v="7"/>
    <s v="Basin"/>
    <x v="66"/>
    <n v="58.5"/>
    <x v="0"/>
    <n v="44235"/>
    <x v="1"/>
  </r>
  <r>
    <x v="10"/>
    <x v="7"/>
    <x v="134"/>
    <n v="2903.1"/>
    <n v="27"/>
    <x v="7"/>
    <s v="Basin"/>
    <x v="67"/>
    <n v="59.5"/>
    <x v="0"/>
    <n v="203317"/>
    <x v="1"/>
  </r>
  <r>
    <x v="11"/>
    <x v="7"/>
    <x v="135"/>
    <n v="2996.6"/>
    <n v="27"/>
    <x v="7"/>
    <s v="Basin"/>
    <x v="68"/>
    <n v="55"/>
    <x v="0"/>
    <n v="2134"/>
    <x v="1"/>
  </r>
  <r>
    <x v="12"/>
    <x v="7"/>
    <x v="136"/>
    <n v="2996.6"/>
    <n v="27"/>
    <x v="19"/>
    <s v="Basin"/>
    <x v="69"/>
    <n v="53"/>
    <x v="0"/>
    <n v="45186"/>
    <x v="1"/>
  </r>
  <r>
    <x v="13"/>
    <x v="7"/>
    <x v="137"/>
    <n v="2996.6"/>
    <n v="27"/>
    <x v="19"/>
    <s v="Basin"/>
    <x v="70"/>
    <n v="53.5"/>
    <x v="0"/>
    <n v="238542"/>
    <x v="1"/>
  </r>
  <r>
    <x v="14"/>
    <x v="7"/>
    <x v="138"/>
    <n v="3522.8"/>
    <n v="27"/>
    <x v="19"/>
    <s v="Basin"/>
    <x v="71"/>
    <n v="52.5"/>
    <x v="0"/>
    <n v="1516"/>
    <x v="1"/>
  </r>
  <r>
    <x v="1"/>
    <x v="7"/>
    <x v="139"/>
    <n v="3522.8"/>
    <n v="27.2"/>
    <x v="19"/>
    <s v="Basin"/>
    <x v="72"/>
    <n v="56"/>
    <x v="0"/>
    <n v="57259"/>
    <x v="1"/>
  </r>
  <r>
    <x v="2"/>
    <x v="7"/>
    <x v="140"/>
    <n v="3522.8"/>
    <n v="27.2"/>
    <x v="19"/>
    <s v="Basin"/>
    <x v="73"/>
    <n v="57"/>
    <x v="0"/>
    <n v="234779"/>
    <x v="1"/>
  </r>
  <r>
    <x v="3"/>
    <x v="7"/>
    <x v="141"/>
    <n v="3729.8"/>
    <n v="27.2"/>
    <x v="19"/>
    <s v="Basin"/>
    <x v="74"/>
    <n v="57.5"/>
    <x v="0"/>
    <n v="1493"/>
    <x v="1"/>
  </r>
  <r>
    <x v="4"/>
    <x v="7"/>
    <x v="142"/>
    <n v="3729.8"/>
    <n v="27.1"/>
    <x v="19"/>
    <s v="Basin"/>
    <x v="75"/>
    <n v="57"/>
    <x v="0"/>
    <n v="64409"/>
    <x v="1"/>
  </r>
  <r>
    <x v="5"/>
    <x v="7"/>
    <x v="143"/>
    <n v="3729.8"/>
    <n v="27.1"/>
    <x v="19"/>
    <s v="Basin"/>
    <x v="76"/>
    <n v="55"/>
    <x v="0"/>
    <n v="249978"/>
    <x v="1"/>
  </r>
  <r>
    <x v="5"/>
    <x v="7"/>
    <x v="144"/>
    <n v="2746.2"/>
    <n v="27.1"/>
    <x v="19"/>
    <s v="Basin"/>
    <x v="60"/>
    <n v="56"/>
    <x v="0"/>
    <n v="200000"/>
    <x v="1"/>
  </r>
  <r>
    <x v="4"/>
    <x v="2"/>
    <x v="145"/>
    <n v="2746.2"/>
    <n v="26.8"/>
    <x v="19"/>
    <s v="Basin"/>
    <x v="77"/>
    <n v="54"/>
    <x v="0"/>
    <n v="4847"/>
    <x v="1"/>
  </r>
  <r>
    <x v="5"/>
    <x v="2"/>
    <x v="146"/>
    <n v="2746.2"/>
    <n v="26.8"/>
    <x v="19"/>
    <s v="Basin"/>
    <x v="78"/>
    <n v="58"/>
    <x v="0"/>
    <n v="51239"/>
    <x v="1"/>
  </r>
  <r>
    <x v="6"/>
    <x v="2"/>
    <x v="147"/>
    <n v="3360"/>
    <n v="26.8"/>
    <x v="19"/>
    <s v="Basin"/>
    <x v="79"/>
    <n v="58"/>
    <x v="0"/>
    <n v="216396"/>
    <x v="1"/>
  </r>
  <r>
    <x v="1"/>
    <x v="2"/>
    <x v="148"/>
    <n v="3360"/>
    <n v="37"/>
    <x v="19"/>
    <s v="Basin"/>
    <x v="80"/>
    <n v="59"/>
    <x v="0"/>
    <n v="2644"/>
    <x v="1"/>
  </r>
  <r>
    <x v="2"/>
    <x v="2"/>
    <x v="73"/>
    <n v="3360"/>
    <n v="37"/>
    <x v="19"/>
    <s v="Basin"/>
    <x v="81"/>
    <n v="50"/>
    <x v="0"/>
    <n v="44235"/>
    <x v="1"/>
  </r>
  <r>
    <x v="3"/>
    <x v="2"/>
    <x v="71"/>
    <n v="3605.4"/>
    <n v="37"/>
    <x v="19"/>
    <s v="Basin"/>
    <x v="82"/>
    <n v="54"/>
    <x v="0"/>
    <n v="203317"/>
    <x v="1"/>
  </r>
  <r>
    <x v="4"/>
    <x v="2"/>
    <x v="149"/>
    <n v="3605.4"/>
    <n v="38"/>
    <x v="19"/>
    <s v="Basin"/>
    <x v="83"/>
    <n v="53"/>
    <x v="0"/>
    <n v="2134"/>
    <x v="1"/>
  </r>
  <r>
    <x v="5"/>
    <x v="2"/>
    <x v="150"/>
    <n v="3605.4"/>
    <n v="38"/>
    <x v="19"/>
    <s v="Basin"/>
    <x v="84"/>
    <n v="52"/>
    <x v="0"/>
    <n v="45186"/>
    <x v="1"/>
  </r>
  <r>
    <x v="6"/>
    <x v="2"/>
    <x v="149"/>
    <n v="3512.4"/>
    <n v="38"/>
    <x v="19"/>
    <s v="Basin"/>
    <x v="85"/>
    <n v="51"/>
    <x v="0"/>
    <n v="238542"/>
    <x v="1"/>
  </r>
  <r>
    <x v="0"/>
    <x v="2"/>
    <x v="151"/>
    <n v="3512.4"/>
    <n v="39"/>
    <x v="19"/>
    <s v="Basin"/>
    <x v="86"/>
    <n v="57"/>
    <x v="0"/>
    <n v="1516"/>
    <x v="1"/>
  </r>
  <r>
    <x v="7"/>
    <x v="2"/>
    <x v="152"/>
    <n v="3512.4"/>
    <n v="39"/>
    <x v="19"/>
    <s v="Basin"/>
    <x v="87"/>
    <n v="57"/>
    <x v="0"/>
    <n v="57259"/>
    <x v="1"/>
  </r>
  <r>
    <x v="8"/>
    <x v="2"/>
    <x v="151"/>
    <n v="3296"/>
    <n v="39"/>
    <x v="19"/>
    <s v="Basin"/>
    <x v="88"/>
    <n v="60"/>
    <x v="0"/>
    <n v="234779"/>
    <x v="1"/>
  </r>
  <r>
    <x v="9"/>
    <x v="2"/>
    <x v="153"/>
    <n v="3296"/>
    <n v="40"/>
    <x v="19"/>
    <s v="Basin"/>
    <x v="89"/>
    <n v="57"/>
    <x v="0"/>
    <n v="1493"/>
    <x v="1"/>
  </r>
  <r>
    <x v="10"/>
    <x v="2"/>
    <x v="154"/>
    <n v="3296"/>
    <n v="40"/>
    <x v="19"/>
    <s v="Basin"/>
    <x v="90"/>
    <n v="57"/>
    <x v="0"/>
    <n v="64409"/>
    <x v="1"/>
  </r>
  <r>
    <x v="11"/>
    <x v="2"/>
    <x v="155"/>
    <n v="3550"/>
    <n v="40"/>
    <x v="19"/>
    <s v="Basin"/>
    <x v="91"/>
    <n v="54"/>
    <x v="0"/>
    <n v="249978"/>
    <x v="1"/>
  </r>
  <r>
    <x v="12"/>
    <x v="2"/>
    <x v="5"/>
    <n v="3550"/>
    <n v="41"/>
    <x v="19"/>
    <s v="Basin"/>
    <x v="92"/>
    <n v="54.5"/>
    <x v="0"/>
    <n v="637"/>
    <x v="1"/>
  </r>
  <r>
    <x v="13"/>
    <x v="2"/>
    <x v="6"/>
    <n v="3550"/>
    <n v="41"/>
    <x v="19"/>
    <s v="Basin"/>
    <x v="93"/>
    <n v="56.6"/>
    <x v="0"/>
    <n v="43311"/>
    <x v="1"/>
  </r>
  <r>
    <x v="14"/>
    <x v="2"/>
    <x v="7"/>
    <n v="3654"/>
    <n v="41"/>
    <x v="19"/>
    <s v="Basin"/>
    <x v="94"/>
    <n v="55.5"/>
    <x v="0"/>
    <n v="24848"/>
    <x v="1"/>
  </r>
  <r>
    <x v="1"/>
    <x v="2"/>
    <x v="8"/>
    <n v="3654"/>
    <n v="42"/>
    <x v="19"/>
    <s v="Basin"/>
    <x v="95"/>
    <n v="58.5"/>
    <x v="0"/>
    <n v="761"/>
    <x v="1"/>
  </r>
  <r>
    <x v="2"/>
    <x v="2"/>
    <x v="9"/>
    <n v="3654"/>
    <n v="42"/>
    <x v="19"/>
    <s v="Basin"/>
    <x v="96"/>
    <n v="59.5"/>
    <x v="0"/>
    <n v="45608"/>
    <x v="1"/>
  </r>
  <r>
    <x v="3"/>
    <x v="2"/>
    <x v="10"/>
    <n v="233"/>
    <n v="42"/>
    <x v="19"/>
    <s v="Basin"/>
    <x v="97"/>
    <n v="55"/>
    <x v="0"/>
    <n v="234581"/>
    <x v="1"/>
  </r>
  <r>
    <x v="4"/>
    <x v="2"/>
    <x v="11"/>
    <n v="233"/>
    <n v="43"/>
    <x v="19"/>
    <s v="Basin"/>
    <x v="98"/>
    <n v="53"/>
    <x v="0"/>
    <n v="646"/>
    <x v="1"/>
  </r>
  <r>
    <x v="5"/>
    <x v="2"/>
    <x v="12"/>
    <n v="233"/>
    <n v="27"/>
    <x v="19"/>
    <s v="Spray"/>
    <x v="99"/>
    <n v="53.5"/>
    <x v="0"/>
    <n v="43562"/>
    <x v="1"/>
  </r>
  <r>
    <x v="0"/>
    <x v="2"/>
    <x v="13"/>
    <n v="234"/>
    <n v="27"/>
    <x v="19"/>
    <s v="Spray"/>
    <x v="100"/>
    <n v="52.5"/>
    <x v="0"/>
    <n v="200000"/>
    <x v="1"/>
  </r>
  <r>
    <x v="0"/>
    <x v="2"/>
    <x v="14"/>
    <n v="234"/>
    <n v="27"/>
    <x v="19"/>
    <s v="Spray"/>
    <x v="101"/>
    <n v="56"/>
    <x v="0"/>
    <n v="4847"/>
    <x v="1"/>
  </r>
  <r>
    <x v="0"/>
    <x v="2"/>
    <x v="15"/>
    <n v="234"/>
    <n v="27"/>
    <x v="19"/>
    <s v="Spray"/>
    <x v="102"/>
    <n v="57"/>
    <x v="0"/>
    <n v="51239"/>
    <x v="1"/>
  </r>
  <r>
    <x v="0"/>
    <x v="2"/>
    <x v="16"/>
    <n v="3105"/>
    <n v="27"/>
    <x v="19"/>
    <s v="Spray"/>
    <x v="102"/>
    <n v="57.5"/>
    <x v="0"/>
    <n v="216396"/>
    <x v="1"/>
  </r>
  <r>
    <x v="0"/>
    <x v="2"/>
    <x v="17"/>
    <n v="3105"/>
    <n v="27"/>
    <x v="19"/>
    <s v="Spray"/>
    <x v="103"/>
    <n v="57"/>
    <x v="0"/>
    <n v="2644"/>
    <x v="1"/>
  </r>
  <r>
    <x v="0"/>
    <x v="2"/>
    <x v="18"/>
    <n v="3105"/>
    <n v="27.2"/>
    <x v="19"/>
    <s v="Spray"/>
    <x v="104"/>
    <n v="55"/>
    <x v="0"/>
    <n v="44235"/>
    <x v="1"/>
  </r>
  <r>
    <x v="0"/>
    <x v="2"/>
    <x v="19"/>
    <n v="236"/>
    <n v="27.2"/>
    <x v="19"/>
    <s v="Spray"/>
    <x v="105"/>
    <n v="56"/>
    <x v="0"/>
    <n v="203317"/>
    <x v="1"/>
  </r>
  <r>
    <x v="0"/>
    <x v="3"/>
    <x v="20"/>
    <n v="236"/>
    <n v="27.2"/>
    <x v="19"/>
    <s v="Spray"/>
    <x v="106"/>
    <n v="54"/>
    <x v="0"/>
    <n v="2134"/>
    <x v="1"/>
  </r>
  <r>
    <x v="0"/>
    <x v="3"/>
    <x v="21"/>
    <n v="2903.1"/>
    <n v="27"/>
    <x v="19"/>
    <s v="Spray"/>
    <x v="107"/>
    <n v="58"/>
    <x v="0"/>
    <n v="45186"/>
    <x v="1"/>
  </r>
  <r>
    <x v="0"/>
    <x v="3"/>
    <x v="22"/>
    <n v="2903.1"/>
    <n v="27"/>
    <x v="19"/>
    <s v="Spray"/>
    <x v="108"/>
    <n v="58"/>
    <x v="0"/>
    <n v="238542"/>
    <x v="1"/>
  </r>
  <r>
    <x v="0"/>
    <x v="3"/>
    <x v="23"/>
    <n v="2903.1"/>
    <n v="27"/>
    <x v="19"/>
    <s v="Spray"/>
    <x v="109"/>
    <n v="59"/>
    <x v="0"/>
    <n v="1516"/>
    <x v="1"/>
  </r>
  <r>
    <x v="0"/>
    <x v="3"/>
    <x v="24"/>
    <n v="2996.6"/>
    <n v="27"/>
    <x v="19"/>
    <s v="Spray"/>
    <x v="110"/>
    <n v="50"/>
    <x v="0"/>
    <n v="57259"/>
    <x v="1"/>
  </r>
  <r>
    <x v="0"/>
    <x v="3"/>
    <x v="25"/>
    <n v="2996.6"/>
    <n v="27"/>
    <x v="19"/>
    <s v="Spray"/>
    <x v="111"/>
    <n v="54"/>
    <x v="0"/>
    <n v="234779"/>
    <x v="1"/>
  </r>
  <r>
    <x v="0"/>
    <x v="3"/>
    <x v="26"/>
    <n v="2996.6"/>
    <n v="27"/>
    <x v="19"/>
    <s v="Spray"/>
    <x v="112"/>
    <n v="53"/>
    <x v="0"/>
    <n v="1493"/>
    <x v="1"/>
  </r>
  <r>
    <x v="0"/>
    <x v="3"/>
    <x v="27"/>
    <n v="3522.8"/>
    <n v="27.2"/>
    <x v="19"/>
    <s v="Spray"/>
    <x v="113"/>
    <n v="52"/>
    <x v="0"/>
    <n v="64409"/>
    <x v="1"/>
  </r>
  <r>
    <x v="0"/>
    <x v="3"/>
    <x v="28"/>
    <n v="3522.8"/>
    <n v="27.2"/>
    <x v="19"/>
    <s v="Spray"/>
    <x v="114"/>
    <n v="51"/>
    <x v="0"/>
    <n v="249978"/>
    <x v="1"/>
  </r>
  <r>
    <x v="0"/>
    <x v="3"/>
    <x v="29"/>
    <n v="3522.8"/>
    <n v="27.2"/>
    <x v="19"/>
    <s v="Spray"/>
    <x v="115"/>
    <n v="57"/>
    <x v="0"/>
    <n v="637"/>
    <x v="1"/>
  </r>
  <r>
    <x v="0"/>
    <x v="3"/>
    <x v="30"/>
    <n v="3729.8"/>
    <n v="27.1"/>
    <x v="7"/>
    <s v="Spray"/>
    <x v="116"/>
    <n v="57"/>
    <x v="0"/>
    <n v="43311"/>
    <x v="1"/>
  </r>
  <r>
    <x v="0"/>
    <x v="3"/>
    <x v="31"/>
    <n v="3729.8"/>
    <n v="27.1"/>
    <x v="7"/>
    <s v="Spray"/>
    <x v="117"/>
    <n v="60"/>
    <x v="0"/>
    <n v="24848"/>
    <x v="1"/>
  </r>
  <r>
    <x v="0"/>
    <x v="3"/>
    <x v="32"/>
    <n v="3729.8"/>
    <n v="27.1"/>
    <x v="7"/>
    <s v="Spray"/>
    <x v="118"/>
    <n v="57"/>
    <x v="0"/>
    <n v="761"/>
    <x v="1"/>
  </r>
  <r>
    <x v="0"/>
    <x v="3"/>
    <x v="33"/>
    <n v="2746.2"/>
    <n v="26.8"/>
    <x v="7"/>
    <s v="Spray"/>
    <x v="119"/>
    <n v="57"/>
    <x v="0"/>
    <n v="45608"/>
    <x v="1"/>
  </r>
  <r>
    <x v="0"/>
    <x v="3"/>
    <x v="34"/>
    <n v="2746.2"/>
    <n v="26.8"/>
    <x v="7"/>
    <s v="Spray"/>
    <x v="120"/>
    <n v="54"/>
    <x v="0"/>
    <n v="234581"/>
    <x v="1"/>
  </r>
  <r>
    <x v="0"/>
    <x v="3"/>
    <x v="35"/>
    <n v="2746.2"/>
    <n v="26.8"/>
    <x v="7"/>
    <s v="Spray"/>
    <x v="121"/>
    <n v="54.5"/>
    <x v="0"/>
    <n v="646"/>
    <x v="1"/>
  </r>
  <r>
    <x v="0"/>
    <x v="3"/>
    <x v="36"/>
    <n v="3360"/>
    <n v="37"/>
    <x v="7"/>
    <s v="Spray"/>
    <x v="122"/>
    <n v="56.6"/>
    <x v="0"/>
    <n v="43562"/>
    <x v="1"/>
  </r>
  <r>
    <x v="0"/>
    <x v="3"/>
    <x v="37"/>
    <n v="3360"/>
    <n v="37"/>
    <x v="7"/>
    <s v="Spray"/>
    <x v="105"/>
    <n v="55.5"/>
    <x v="0"/>
    <n v="200000"/>
    <x v="1"/>
  </r>
  <r>
    <x v="0"/>
    <x v="3"/>
    <x v="38"/>
    <n v="3360"/>
    <n v="37"/>
    <x v="7"/>
    <s v="Spray"/>
    <x v="123"/>
    <n v="58.5"/>
    <x v="0"/>
    <n v="4847"/>
    <x v="1"/>
  </r>
  <r>
    <x v="0"/>
    <x v="3"/>
    <x v="39"/>
    <n v="3605.4"/>
    <n v="38"/>
    <x v="7"/>
    <s v="Spray"/>
    <x v="124"/>
    <n v="59.5"/>
    <x v="0"/>
    <n v="51239"/>
    <x v="1"/>
  </r>
  <r>
    <x v="0"/>
    <x v="3"/>
    <x v="40"/>
    <n v="3605.4"/>
    <n v="38"/>
    <x v="7"/>
    <s v="Spray"/>
    <x v="125"/>
    <n v="55"/>
    <x v="0"/>
    <n v="216396"/>
    <x v="1"/>
  </r>
  <r>
    <x v="0"/>
    <x v="3"/>
    <x v="41"/>
    <n v="3605.4"/>
    <n v="38"/>
    <x v="7"/>
    <s v="Spray"/>
    <x v="126"/>
    <n v="53"/>
    <x v="0"/>
    <n v="2644"/>
    <x v="1"/>
  </r>
  <r>
    <x v="0"/>
    <x v="3"/>
    <x v="42"/>
    <n v="3512.4"/>
    <n v="39"/>
    <x v="7"/>
    <s v="Spray"/>
    <x v="127"/>
    <n v="53.5"/>
    <x v="0"/>
    <n v="44235"/>
    <x v="1"/>
  </r>
  <r>
    <x v="0"/>
    <x v="3"/>
    <x v="43"/>
    <n v="3512.4"/>
    <n v="39"/>
    <x v="7"/>
    <s v="Spray"/>
    <x v="128"/>
    <n v="52.5"/>
    <x v="0"/>
    <n v="203317"/>
    <x v="1"/>
  </r>
  <r>
    <x v="0"/>
    <x v="3"/>
    <x v="44"/>
    <n v="3512.4"/>
    <n v="39"/>
    <x v="7"/>
    <s v="Spray"/>
    <x v="66"/>
    <n v="56"/>
    <x v="0"/>
    <n v="2134"/>
    <x v="1"/>
  </r>
  <r>
    <x v="0"/>
    <x v="3"/>
    <x v="45"/>
    <n v="3296"/>
    <n v="40"/>
    <x v="7"/>
    <s v="Spray"/>
    <x v="129"/>
    <n v="57"/>
    <x v="0"/>
    <n v="45186"/>
    <x v="1"/>
  </r>
  <r>
    <x v="0"/>
    <x v="3"/>
    <x v="46"/>
    <n v="3296"/>
    <n v="40"/>
    <x v="7"/>
    <s v="Spray"/>
    <x v="130"/>
    <n v="57.5"/>
    <x v="0"/>
    <n v="238542"/>
    <x v="1"/>
  </r>
  <r>
    <x v="0"/>
    <x v="3"/>
    <x v="47"/>
    <n v="3296"/>
    <n v="40"/>
    <x v="7"/>
    <s v="Spray"/>
    <x v="131"/>
    <n v="57"/>
    <x v="0"/>
    <n v="1516"/>
    <x v="1"/>
  </r>
  <r>
    <x v="0"/>
    <x v="3"/>
    <x v="48"/>
    <n v="3550"/>
    <n v="41"/>
    <x v="7"/>
    <s v="Spray"/>
    <x v="132"/>
    <n v="55"/>
    <x v="0"/>
    <n v="200000"/>
    <x v="1"/>
  </r>
  <r>
    <x v="0"/>
    <x v="3"/>
    <x v="49"/>
    <n v="3550"/>
    <n v="41"/>
    <x v="7"/>
    <s v="Spray"/>
    <x v="124"/>
    <n v="56"/>
    <x v="0"/>
    <n v="4847"/>
    <x v="1"/>
  </r>
  <r>
    <x v="0"/>
    <x v="4"/>
    <x v="50"/>
    <n v="3550"/>
    <n v="41"/>
    <x v="7"/>
    <s v="Spray"/>
    <x v="133"/>
    <n v="54"/>
    <x v="0"/>
    <n v="51239"/>
    <x v="1"/>
  </r>
  <r>
    <x v="0"/>
    <x v="4"/>
    <x v="51"/>
    <n v="3654"/>
    <n v="42"/>
    <x v="7"/>
    <s v="Spray"/>
    <x v="134"/>
    <n v="58"/>
    <x v="0"/>
    <n v="216396"/>
    <x v="1"/>
  </r>
  <r>
    <x v="0"/>
    <x v="4"/>
    <x v="52"/>
    <n v="3654"/>
    <n v="42"/>
    <x v="7"/>
    <s v="Spray"/>
    <x v="135"/>
    <n v="58"/>
    <x v="0"/>
    <n v="2644"/>
    <x v="1"/>
  </r>
  <r>
    <x v="0"/>
    <x v="4"/>
    <x v="53"/>
    <n v="3654"/>
    <n v="42"/>
    <x v="7"/>
    <s v="Spray"/>
    <x v="136"/>
    <n v="59"/>
    <x v="0"/>
    <n v="44235"/>
    <x v="1"/>
  </r>
  <r>
    <x v="0"/>
    <x v="4"/>
    <x v="54"/>
    <n v="233"/>
    <n v="43"/>
    <x v="7"/>
    <s v="Spray"/>
    <x v="137"/>
    <n v="50"/>
    <x v="0"/>
    <n v="203317"/>
    <x v="1"/>
  </r>
  <r>
    <x v="0"/>
    <x v="4"/>
    <x v="55"/>
    <n v="233"/>
    <n v="43"/>
    <x v="7"/>
    <s v="Spray"/>
    <x v="138"/>
    <n v="54"/>
    <x v="0"/>
    <n v="2134"/>
    <x v="1"/>
  </r>
  <r>
    <x v="0"/>
    <x v="4"/>
    <x v="56"/>
    <n v="233"/>
    <n v="128"/>
    <x v="7"/>
    <s v="Drip"/>
    <x v="139"/>
    <n v="53"/>
    <x v="1"/>
    <n v="45186"/>
    <x v="1"/>
  </r>
  <r>
    <x v="0"/>
    <x v="4"/>
    <x v="57"/>
    <n v="2903.1"/>
    <n v="129"/>
    <x v="7"/>
    <s v="Drip"/>
    <x v="140"/>
    <n v="52"/>
    <x v="1"/>
    <n v="238542"/>
    <x v="1"/>
  </r>
  <r>
    <x v="0"/>
    <x v="4"/>
    <x v="58"/>
    <n v="2903.1"/>
    <n v="130"/>
    <x v="7"/>
    <s v="Drip"/>
    <x v="141"/>
    <n v="51"/>
    <x v="1"/>
    <n v="1516"/>
    <x v="1"/>
  </r>
  <r>
    <x v="0"/>
    <x v="4"/>
    <x v="59"/>
    <n v="2903.1"/>
    <n v="131"/>
    <x v="7"/>
    <s v="Drip"/>
    <x v="142"/>
    <n v="57"/>
    <x v="1"/>
    <n v="57259"/>
    <x v="1"/>
  </r>
  <r>
    <x v="0"/>
    <x v="4"/>
    <x v="60"/>
    <n v="2996.6"/>
    <n v="132"/>
    <x v="7"/>
    <s v="Drip"/>
    <x v="143"/>
    <n v="57"/>
    <x v="1"/>
    <n v="234779"/>
    <x v="1"/>
  </r>
  <r>
    <x v="0"/>
    <x v="4"/>
    <x v="61"/>
    <n v="2996.6"/>
    <n v="133"/>
    <x v="7"/>
    <s v="Drip"/>
    <x v="144"/>
    <n v="60"/>
    <x v="1"/>
    <n v="1493"/>
    <x v="1"/>
  </r>
  <r>
    <x v="0"/>
    <x v="4"/>
    <x v="62"/>
    <n v="2996.6"/>
    <n v="134"/>
    <x v="7"/>
    <s v="Drip"/>
    <x v="145"/>
    <n v="57"/>
    <x v="2"/>
    <n v="64409"/>
    <x v="1"/>
  </r>
  <r>
    <x v="0"/>
    <x v="4"/>
    <x v="63"/>
    <n v="3522.8"/>
    <n v="135"/>
    <x v="7"/>
    <s v="Drip"/>
    <x v="146"/>
    <n v="57"/>
    <x v="2"/>
    <n v="249978"/>
    <x v="1"/>
  </r>
  <r>
    <x v="0"/>
    <x v="4"/>
    <x v="64"/>
    <n v="3522.8"/>
    <n v="136"/>
    <x v="7"/>
    <s v="Drip"/>
    <x v="147"/>
    <n v="54"/>
    <x v="2"/>
    <n v="637"/>
    <x v="1"/>
  </r>
  <r>
    <x v="0"/>
    <x v="4"/>
    <x v="65"/>
    <n v="3522.8"/>
    <n v="137"/>
    <x v="7"/>
    <s v="Drip"/>
    <x v="148"/>
    <n v="54.5"/>
    <x v="2"/>
    <n v="43311"/>
    <x v="1"/>
  </r>
  <r>
    <x v="0"/>
    <x v="4"/>
    <x v="62"/>
    <n v="3729.8"/>
    <n v="138"/>
    <x v="7"/>
    <s v="Drip"/>
    <x v="149"/>
    <n v="56.6"/>
    <x v="2"/>
    <n v="24848"/>
    <x v="1"/>
  </r>
  <r>
    <x v="0"/>
    <x v="4"/>
    <x v="66"/>
    <n v="3729.8"/>
    <n v="139"/>
    <x v="7"/>
    <s v="Drip"/>
    <x v="150"/>
    <n v="55.5"/>
    <x v="2"/>
    <n v="761"/>
    <x v="1"/>
  </r>
  <r>
    <x v="0"/>
    <x v="4"/>
    <x v="67"/>
    <n v="3729.8"/>
    <n v="140"/>
    <x v="7"/>
    <s v="Drip"/>
    <x v="151"/>
    <n v="58.5"/>
    <x v="2"/>
    <n v="45608"/>
    <x v="1"/>
  </r>
  <r>
    <x v="0"/>
    <x v="4"/>
    <x v="68"/>
    <n v="2746.2"/>
    <n v="141"/>
    <x v="7"/>
    <s v="Drip"/>
    <x v="152"/>
    <n v="59.5"/>
    <x v="2"/>
    <n v="234581"/>
    <x v="1"/>
  </r>
  <r>
    <x v="0"/>
    <x v="4"/>
    <x v="67"/>
    <n v="2746.2"/>
    <n v="142"/>
    <x v="7"/>
    <s v="Drip"/>
    <x v="153"/>
    <n v="55"/>
    <x v="2"/>
    <n v="646"/>
    <x v="1"/>
  </r>
  <r>
    <x v="0"/>
    <x v="4"/>
    <x v="69"/>
    <n v="2746.2"/>
    <n v="143"/>
    <x v="7"/>
    <s v="Drip"/>
    <x v="154"/>
    <n v="53"/>
    <x v="2"/>
    <n v="43562"/>
    <x v="1"/>
  </r>
  <r>
    <x v="0"/>
    <x v="4"/>
    <x v="70"/>
    <n v="3360"/>
    <n v="144"/>
    <x v="7"/>
    <s v="Drip"/>
    <x v="155"/>
    <n v="53.5"/>
    <x v="2"/>
    <n v="200000"/>
    <x v="1"/>
  </r>
  <r>
    <x v="0"/>
    <x v="4"/>
    <x v="71"/>
    <n v="3360"/>
    <n v="27"/>
    <x v="7"/>
    <s v="Drip"/>
    <x v="156"/>
    <n v="52.5"/>
    <x v="2"/>
    <n v="4847"/>
    <x v="1"/>
  </r>
  <r>
    <x v="0"/>
    <x v="4"/>
    <x v="64"/>
    <n v="3360"/>
    <n v="27"/>
    <x v="7"/>
    <s v="Drip"/>
    <x v="157"/>
    <n v="56"/>
    <x v="2"/>
    <n v="51239"/>
    <x v="1"/>
  </r>
  <r>
    <x v="0"/>
    <x v="4"/>
    <x v="63"/>
    <n v="3605.4"/>
    <n v="27"/>
    <x v="7"/>
    <s v="Drip"/>
    <x v="158"/>
    <n v="57"/>
    <x v="2"/>
    <n v="216396"/>
    <x v="1"/>
  </r>
  <r>
    <x v="0"/>
    <x v="4"/>
    <x v="72"/>
    <n v="3605.4"/>
    <n v="27"/>
    <x v="7"/>
    <s v="Drip"/>
    <x v="159"/>
    <n v="57.5"/>
    <x v="2"/>
    <n v="2644"/>
    <x v="1"/>
  </r>
  <r>
    <x v="0"/>
    <x v="4"/>
    <x v="73"/>
    <n v="3605.4"/>
    <n v="27"/>
    <x v="7"/>
    <s v="Drip"/>
    <x v="160"/>
    <n v="57"/>
    <x v="3"/>
    <n v="44235"/>
    <x v="1"/>
  </r>
  <r>
    <x v="0"/>
    <x v="4"/>
    <x v="60"/>
    <n v="3512.4"/>
    <n v="27"/>
    <x v="7"/>
    <s v="Drip"/>
    <x v="161"/>
    <n v="55"/>
    <x v="3"/>
    <n v="203317"/>
    <x v="1"/>
  </r>
  <r>
    <x v="0"/>
    <x v="4"/>
    <x v="74"/>
    <n v="3512.4"/>
    <n v="27.2"/>
    <x v="7"/>
    <s v="Drip"/>
    <x v="131"/>
    <n v="56"/>
    <x v="3"/>
    <n v="2134"/>
    <x v="1"/>
  </r>
  <r>
    <x v="0"/>
    <x v="4"/>
    <x v="75"/>
    <n v="3512.4"/>
    <n v="27.2"/>
    <x v="7"/>
    <s v="Drip"/>
    <x v="132"/>
    <n v="54"/>
    <x v="3"/>
    <n v="45186"/>
    <x v="1"/>
  </r>
  <r>
    <x v="0"/>
    <x v="4"/>
    <x v="76"/>
    <n v="3296"/>
    <n v="27.2"/>
    <x v="0"/>
    <s v="Drip"/>
    <x v="124"/>
    <n v="58"/>
    <x v="3"/>
    <n v="238542"/>
    <x v="1"/>
  </r>
  <r>
    <x v="0"/>
    <x v="4"/>
    <x v="77"/>
    <n v="3296"/>
    <n v="27"/>
    <x v="0"/>
    <s v="Drip"/>
    <x v="133"/>
    <n v="58"/>
    <x v="3"/>
    <n v="1516"/>
    <x v="1"/>
  </r>
  <r>
    <x v="0"/>
    <x v="4"/>
    <x v="78"/>
    <n v="3296"/>
    <n v="27"/>
    <x v="0"/>
    <s v="Drip"/>
    <x v="134"/>
    <n v="59"/>
    <x v="3"/>
    <n v="57259"/>
    <x v="1"/>
  </r>
  <r>
    <x v="0"/>
    <x v="4"/>
    <x v="79"/>
    <n v="3550"/>
    <n v="27"/>
    <x v="0"/>
    <s v="Drip"/>
    <x v="135"/>
    <n v="50"/>
    <x v="3"/>
    <n v="234779"/>
    <x v="1"/>
  </r>
  <r>
    <x v="0"/>
    <x v="4"/>
    <x v="80"/>
    <n v="3550"/>
    <n v="27"/>
    <x v="0"/>
    <s v="Drip"/>
    <x v="136"/>
    <n v="54"/>
    <x v="3"/>
    <n v="1493"/>
    <x v="1"/>
  </r>
  <r>
    <x v="0"/>
    <x v="4"/>
    <x v="81"/>
    <n v="3550"/>
    <n v="27"/>
    <x v="0"/>
    <s v="Drip"/>
    <x v="137"/>
    <n v="53"/>
    <x v="3"/>
    <n v="64409"/>
    <x v="1"/>
  </r>
  <r>
    <x v="0"/>
    <x v="5"/>
    <x v="82"/>
    <n v="3654"/>
    <n v="27"/>
    <x v="0"/>
    <s v="Drip"/>
    <x v="138"/>
    <n v="52"/>
    <x v="3"/>
    <n v="249978"/>
    <x v="1"/>
  </r>
  <r>
    <x v="0"/>
    <x v="5"/>
    <x v="83"/>
    <n v="3654"/>
    <n v="27.2"/>
    <x v="0"/>
    <s v="Drip"/>
    <x v="139"/>
    <n v="51"/>
    <x v="3"/>
    <n v="637"/>
    <x v="1"/>
  </r>
  <r>
    <x v="0"/>
    <x v="5"/>
    <x v="84"/>
    <n v="3654"/>
    <n v="27.2"/>
    <x v="0"/>
    <s v="Drip"/>
    <x v="140"/>
    <n v="57"/>
    <x v="3"/>
    <n v="43311"/>
    <x v="1"/>
  </r>
  <r>
    <x v="0"/>
    <x v="5"/>
    <x v="85"/>
    <n v="233"/>
    <n v="27.2"/>
    <x v="0"/>
    <s v="Drip"/>
    <x v="141"/>
    <n v="57"/>
    <x v="3"/>
    <n v="24848"/>
    <x v="1"/>
  </r>
  <r>
    <x v="0"/>
    <x v="5"/>
    <x v="86"/>
    <n v="233"/>
    <n v="27.1"/>
    <x v="0"/>
    <s v="Drip"/>
    <x v="142"/>
    <n v="60"/>
    <x v="3"/>
    <n v="761"/>
    <x v="1"/>
  </r>
  <r>
    <x v="0"/>
    <x v="5"/>
    <x v="87"/>
    <n v="233"/>
    <n v="27.1"/>
    <x v="0"/>
    <s v="Drip"/>
    <x v="143"/>
    <n v="57"/>
    <x v="4"/>
    <n v="45608"/>
    <x v="1"/>
  </r>
  <r>
    <x v="0"/>
    <x v="5"/>
    <x v="88"/>
    <n v="234"/>
    <n v="27.1"/>
    <x v="0"/>
    <s v="Drip"/>
    <x v="144"/>
    <n v="57"/>
    <x v="4"/>
    <n v="234581"/>
    <x v="1"/>
  </r>
  <r>
    <x v="0"/>
    <x v="5"/>
    <x v="89"/>
    <n v="234"/>
    <n v="26.8"/>
    <x v="0"/>
    <s v="Drip"/>
    <x v="145"/>
    <n v="54"/>
    <x v="4"/>
    <n v="646"/>
    <x v="1"/>
  </r>
  <r>
    <x v="0"/>
    <x v="5"/>
    <x v="90"/>
    <n v="234"/>
    <n v="26.8"/>
    <x v="0"/>
    <s v="Drip"/>
    <x v="146"/>
    <n v="54.5"/>
    <x v="4"/>
    <n v="43562"/>
    <x v="1"/>
  </r>
  <r>
    <x v="0"/>
    <x v="5"/>
    <x v="91"/>
    <n v="3105"/>
    <n v="26.8"/>
    <x v="0"/>
    <s v="Drip"/>
    <x v="147"/>
    <n v="56.6"/>
    <x v="4"/>
    <n v="200000"/>
    <x v="1"/>
  </r>
  <r>
    <x v="0"/>
    <x v="5"/>
    <x v="92"/>
    <n v="3105"/>
    <n v="37"/>
    <x v="0"/>
    <s v="Drip"/>
    <x v="148"/>
    <n v="55.5"/>
    <x v="4"/>
    <n v="4847"/>
    <x v="1"/>
  </r>
  <r>
    <x v="0"/>
    <x v="5"/>
    <x v="64"/>
    <n v="3105"/>
    <n v="37"/>
    <x v="0"/>
    <s v="Drip"/>
    <x v="149"/>
    <n v="58.5"/>
    <x v="4"/>
    <n v="51239"/>
    <x v="1"/>
  </r>
  <r>
    <x v="0"/>
    <x v="5"/>
    <x v="93"/>
    <n v="236"/>
    <n v="37"/>
    <x v="0"/>
    <s v="Drip"/>
    <x v="150"/>
    <n v="59.5"/>
    <x v="4"/>
    <n v="216396"/>
    <x v="1"/>
  </r>
  <r>
    <x v="0"/>
    <x v="5"/>
    <x v="94"/>
    <n v="236"/>
    <n v="38"/>
    <x v="0"/>
    <s v="Basin"/>
    <x v="151"/>
    <n v="55"/>
    <x v="4"/>
    <n v="2644"/>
    <x v="1"/>
  </r>
  <r>
    <x v="0"/>
    <x v="5"/>
    <x v="95"/>
    <n v="2903.1"/>
    <n v="38"/>
    <x v="0"/>
    <s v="Basin"/>
    <x v="152"/>
    <n v="53"/>
    <x v="4"/>
    <n v="44235"/>
    <x v="1"/>
  </r>
  <r>
    <x v="0"/>
    <x v="5"/>
    <x v="96"/>
    <n v="2903.1"/>
    <n v="38"/>
    <x v="0"/>
    <s v="Basin"/>
    <x v="153"/>
    <n v="53.5"/>
    <x v="4"/>
    <n v="203317"/>
    <x v="1"/>
  </r>
  <r>
    <x v="0"/>
    <x v="5"/>
    <x v="97"/>
    <n v="2903.1"/>
    <n v="39"/>
    <x v="19"/>
    <s v="Basin"/>
    <x v="154"/>
    <n v="52.5"/>
    <x v="4"/>
    <n v="2134"/>
    <x v="1"/>
  </r>
  <r>
    <x v="0"/>
    <x v="5"/>
    <x v="98"/>
    <n v="2996.6"/>
    <n v="39"/>
    <x v="19"/>
    <s v="Basin"/>
    <x v="155"/>
    <n v="56"/>
    <x v="4"/>
    <n v="45186"/>
    <x v="1"/>
  </r>
  <r>
    <x v="0"/>
    <x v="5"/>
    <x v="99"/>
    <n v="2996.6"/>
    <n v="39"/>
    <x v="19"/>
    <s v="Basin"/>
    <x v="156"/>
    <n v="57"/>
    <x v="4"/>
    <n v="238542"/>
    <x v="1"/>
  </r>
  <r>
    <x v="0"/>
    <x v="5"/>
    <x v="100"/>
    <n v="2996.6"/>
    <n v="40"/>
    <x v="19"/>
    <s v="Basin"/>
    <x v="157"/>
    <n v="57.5"/>
    <x v="4"/>
    <n v="1516"/>
    <x v="1"/>
  </r>
  <r>
    <x v="0"/>
    <x v="5"/>
    <x v="101"/>
    <n v="3522.8"/>
    <n v="40"/>
    <x v="19"/>
    <s v="Basin"/>
    <x v="158"/>
    <n v="57"/>
    <x v="5"/>
    <n v="200000"/>
    <x v="1"/>
  </r>
  <r>
    <x v="0"/>
    <x v="5"/>
    <x v="102"/>
    <n v="3522.8"/>
    <n v="40"/>
    <x v="19"/>
    <s v="Basin"/>
    <x v="159"/>
    <n v="55"/>
    <x v="5"/>
    <n v="4847"/>
    <x v="1"/>
  </r>
  <r>
    <x v="0"/>
    <x v="5"/>
    <x v="103"/>
    <n v="3522.8"/>
    <n v="41"/>
    <x v="19"/>
    <s v="Basin"/>
    <x v="160"/>
    <n v="56"/>
    <x v="5"/>
    <n v="51239"/>
    <x v="1"/>
  </r>
  <r>
    <x v="0"/>
    <x v="5"/>
    <x v="104"/>
    <n v="3729.8"/>
    <n v="41"/>
    <x v="19"/>
    <s v="Basin"/>
    <x v="161"/>
    <n v="54"/>
    <x v="5"/>
    <n v="216396"/>
    <x v="1"/>
  </r>
  <r>
    <x v="0"/>
    <x v="5"/>
    <x v="105"/>
    <n v="3729.8"/>
    <n v="41"/>
    <x v="19"/>
    <s v="Basin"/>
    <x v="131"/>
    <n v="58"/>
    <x v="5"/>
    <n v="2644"/>
    <x v="1"/>
  </r>
  <r>
    <x v="0"/>
    <x v="5"/>
    <x v="106"/>
    <n v="3729.8"/>
    <n v="42"/>
    <x v="19"/>
    <s v="Basin"/>
    <x v="132"/>
    <n v="58"/>
    <x v="5"/>
    <n v="44235"/>
    <x v="1"/>
  </r>
  <r>
    <x v="0"/>
    <x v="5"/>
    <x v="107"/>
    <n v="2746.2"/>
    <n v="42"/>
    <x v="19"/>
    <s v="Basin"/>
    <x v="124"/>
    <n v="59"/>
    <x v="5"/>
    <n v="203317"/>
    <x v="1"/>
  </r>
  <r>
    <x v="0"/>
    <x v="5"/>
    <x v="108"/>
    <n v="2746.2"/>
    <n v="42"/>
    <x v="19"/>
    <s v="Basin"/>
    <x v="133"/>
    <n v="50"/>
    <x v="5"/>
    <n v="2134"/>
    <x v="1"/>
  </r>
  <r>
    <x v="0"/>
    <x v="5"/>
    <x v="109"/>
    <n v="2746.2"/>
    <n v="43"/>
    <x v="19"/>
    <s v="Basin"/>
    <x v="134"/>
    <n v="54"/>
    <x v="5"/>
    <n v="45186"/>
    <x v="1"/>
  </r>
  <r>
    <x v="0"/>
    <x v="5"/>
    <x v="110"/>
    <n v="3360"/>
    <n v="43"/>
    <x v="19"/>
    <s v="Basin"/>
    <x v="135"/>
    <n v="53"/>
    <x v="5"/>
    <n v="238542"/>
    <x v="1"/>
  </r>
  <r>
    <x v="0"/>
    <x v="8"/>
    <x v="111"/>
    <n v="3360"/>
    <n v="27"/>
    <x v="19"/>
    <s v="Basin"/>
    <x v="136"/>
    <n v="52"/>
    <x v="5"/>
    <n v="1516"/>
    <x v="1"/>
  </r>
  <r>
    <x v="0"/>
    <x v="8"/>
    <x v="112"/>
    <n v="3360"/>
    <n v="27"/>
    <x v="19"/>
    <s v="Basin"/>
    <x v="137"/>
    <n v="51"/>
    <x v="5"/>
    <n v="57259"/>
    <x v="1"/>
  </r>
  <r>
    <x v="0"/>
    <x v="8"/>
    <x v="113"/>
    <n v="3605.4"/>
    <n v="27"/>
    <x v="19"/>
    <s v="Basin"/>
    <x v="138"/>
    <n v="57"/>
    <x v="5"/>
    <n v="234779"/>
    <x v="1"/>
  </r>
  <r>
    <x v="0"/>
    <x v="8"/>
    <x v="114"/>
    <n v="3605.4"/>
    <n v="27"/>
    <x v="8"/>
    <s v="Basin"/>
    <x v="139"/>
    <n v="57"/>
    <x v="5"/>
    <n v="1493"/>
    <x v="1"/>
  </r>
  <r>
    <x v="0"/>
    <x v="8"/>
    <x v="115"/>
    <n v="3605.4"/>
    <n v="27"/>
    <x v="8"/>
    <s v="Basin"/>
    <x v="140"/>
    <n v="60"/>
    <x v="5"/>
    <n v="64409"/>
    <x v="1"/>
  </r>
  <r>
    <x v="0"/>
    <x v="8"/>
    <x v="116"/>
    <n v="3512.4"/>
    <n v="27"/>
    <x v="8"/>
    <s v="Basin"/>
    <x v="141"/>
    <n v="57"/>
    <x v="6"/>
    <n v="249978"/>
    <x v="1"/>
  </r>
  <r>
    <x v="0"/>
    <x v="8"/>
    <x v="117"/>
    <n v="3512.4"/>
    <n v="27.2"/>
    <x v="8"/>
    <s v="Basin"/>
    <x v="142"/>
    <n v="57"/>
    <x v="6"/>
    <n v="637"/>
    <x v="1"/>
  </r>
  <r>
    <x v="0"/>
    <x v="8"/>
    <x v="118"/>
    <n v="3512.4"/>
    <n v="27.2"/>
    <x v="8"/>
    <s v="Basin"/>
    <x v="143"/>
    <n v="54"/>
    <x v="6"/>
    <n v="43311"/>
    <x v="1"/>
  </r>
  <r>
    <x v="0"/>
    <x v="8"/>
    <x v="119"/>
    <n v="3296"/>
    <n v="27.2"/>
    <x v="8"/>
    <s v="Basin"/>
    <x v="144"/>
    <n v="54.5"/>
    <x v="6"/>
    <n v="24848"/>
    <x v="1"/>
  </r>
  <r>
    <x v="0"/>
    <x v="8"/>
    <x v="120"/>
    <n v="3296"/>
    <n v="27"/>
    <x v="8"/>
    <s v="Basin"/>
    <x v="145"/>
    <n v="56.6"/>
    <x v="6"/>
    <n v="761"/>
    <x v="1"/>
  </r>
  <r>
    <x v="0"/>
    <x v="8"/>
    <x v="12"/>
    <n v="3296"/>
    <n v="27"/>
    <x v="8"/>
    <s v="Basin"/>
    <x v="146"/>
    <n v="55.5"/>
    <x v="6"/>
    <n v="45608"/>
    <x v="1"/>
  </r>
  <r>
    <x v="0"/>
    <x v="8"/>
    <x v="121"/>
    <n v="3550"/>
    <n v="27"/>
    <x v="8"/>
    <s v="Basin"/>
    <x v="147"/>
    <n v="58.5"/>
    <x v="6"/>
    <n v="234581"/>
    <x v="1"/>
  </r>
  <r>
    <x v="0"/>
    <x v="8"/>
    <x v="122"/>
    <n v="3550"/>
    <n v="27"/>
    <x v="8"/>
    <s v="Basin"/>
    <x v="148"/>
    <n v="59.5"/>
    <x v="6"/>
    <n v="646"/>
    <x v="1"/>
  </r>
  <r>
    <x v="0"/>
    <x v="8"/>
    <x v="123"/>
    <n v="3550"/>
    <n v="27"/>
    <x v="8"/>
    <s v="Basin"/>
    <x v="149"/>
    <n v="55"/>
    <x v="6"/>
    <n v="43562"/>
    <x v="1"/>
  </r>
  <r>
    <x v="0"/>
    <x v="8"/>
    <x v="9"/>
    <n v="3654"/>
    <n v="27"/>
    <x v="8"/>
    <s v="Basin"/>
    <x v="150"/>
    <n v="53"/>
    <x v="6"/>
    <n v="200000"/>
    <x v="1"/>
  </r>
  <r>
    <x v="0"/>
    <x v="8"/>
    <x v="124"/>
    <n v="3654"/>
    <n v="27.2"/>
    <x v="8"/>
    <s v="Basin"/>
    <x v="151"/>
    <n v="53.5"/>
    <x v="6"/>
    <n v="4847"/>
    <x v="1"/>
  </r>
  <r>
    <x v="0"/>
    <x v="8"/>
    <x v="125"/>
    <n v="3654"/>
    <n v="27.2"/>
    <x v="8"/>
    <s v="Basin"/>
    <x v="152"/>
    <n v="52.5"/>
    <x v="6"/>
    <n v="51239"/>
    <x v="1"/>
  </r>
  <r>
    <x v="0"/>
    <x v="8"/>
    <x v="126"/>
    <n v="233"/>
    <n v="27.2"/>
    <x v="8"/>
    <s v="Basin"/>
    <x v="153"/>
    <n v="56"/>
    <x v="6"/>
    <n v="216396"/>
    <x v="1"/>
  </r>
  <r>
    <x v="0"/>
    <x v="8"/>
    <x v="127"/>
    <n v="233"/>
    <n v="27.1"/>
    <x v="8"/>
    <s v="Basin"/>
    <x v="154"/>
    <n v="57"/>
    <x v="6"/>
    <n v="2644"/>
    <x v="1"/>
  </r>
  <r>
    <x v="0"/>
    <x v="8"/>
    <x v="128"/>
    <n v="233"/>
    <n v="27.1"/>
    <x v="8"/>
    <s v="Basin"/>
    <x v="155"/>
    <n v="57.5"/>
    <x v="6"/>
    <n v="44235"/>
    <x v="1"/>
  </r>
  <r>
    <x v="0"/>
    <x v="8"/>
    <x v="129"/>
    <n v="2903.1"/>
    <n v="27.1"/>
    <x v="8"/>
    <s v="Basin"/>
    <x v="156"/>
    <n v="57"/>
    <x v="7"/>
    <n v="203317"/>
    <x v="1"/>
  </r>
  <r>
    <x v="0"/>
    <x v="8"/>
    <x v="130"/>
    <n v="2903.1"/>
    <n v="26.8"/>
    <x v="8"/>
    <s v="Basin"/>
    <x v="157"/>
    <n v="55"/>
    <x v="7"/>
    <n v="2134"/>
    <x v="1"/>
  </r>
  <r>
    <x v="0"/>
    <x v="8"/>
    <x v="131"/>
    <n v="2903.1"/>
    <n v="26.8"/>
    <x v="8"/>
    <s v="Basin"/>
    <x v="158"/>
    <n v="56"/>
    <x v="7"/>
    <n v="45186"/>
    <x v="1"/>
  </r>
  <r>
    <x v="0"/>
    <x v="8"/>
    <x v="132"/>
    <n v="2996.6"/>
    <n v="26.8"/>
    <x v="11"/>
    <s v="Basin"/>
    <x v="159"/>
    <n v="54"/>
    <x v="7"/>
    <n v="238542"/>
    <x v="1"/>
  </r>
  <r>
    <x v="0"/>
    <x v="8"/>
    <x v="133"/>
    <n v="2996.6"/>
    <n v="37"/>
    <x v="11"/>
    <s v="Basin"/>
    <x v="160"/>
    <n v="58"/>
    <x v="7"/>
    <n v="1516"/>
    <x v="1"/>
  </r>
  <r>
    <x v="1"/>
    <x v="8"/>
    <x v="134"/>
    <n v="2996.6"/>
    <n v="37"/>
    <x v="11"/>
    <s v="Basin"/>
    <x v="161"/>
    <n v="58"/>
    <x v="7"/>
    <n v="57259"/>
    <x v="1"/>
  </r>
  <r>
    <x v="2"/>
    <x v="8"/>
    <x v="135"/>
    <n v="3522.8"/>
    <n v="37"/>
    <x v="11"/>
    <s v="Spray"/>
    <x v="91"/>
    <n v="59"/>
    <x v="7"/>
    <n v="234779"/>
    <x v="1"/>
  </r>
  <r>
    <x v="3"/>
    <x v="8"/>
    <x v="136"/>
    <n v="3522.8"/>
    <n v="38"/>
    <x v="11"/>
    <s v="Spray"/>
    <x v="92"/>
    <n v="50"/>
    <x v="7"/>
    <n v="1493"/>
    <x v="2"/>
  </r>
  <r>
    <x v="4"/>
    <x v="8"/>
    <x v="137"/>
    <n v="3522.8"/>
    <n v="38"/>
    <x v="11"/>
    <s v="Spray"/>
    <x v="93"/>
    <n v="54"/>
    <x v="7"/>
    <n v="64409"/>
    <x v="2"/>
  </r>
  <r>
    <x v="5"/>
    <x v="8"/>
    <x v="138"/>
    <n v="3729.8"/>
    <n v="38"/>
    <x v="11"/>
    <s v="Spray"/>
    <x v="94"/>
    <n v="53"/>
    <x v="7"/>
    <n v="249978"/>
    <x v="2"/>
  </r>
  <r>
    <x v="6"/>
    <x v="8"/>
    <x v="139"/>
    <n v="3729.8"/>
    <n v="39"/>
    <x v="11"/>
    <s v="Spray"/>
    <x v="95"/>
    <n v="52"/>
    <x v="7"/>
    <n v="637"/>
    <x v="2"/>
  </r>
  <r>
    <x v="0"/>
    <x v="8"/>
    <x v="140"/>
    <n v="3729.8"/>
    <n v="39"/>
    <x v="11"/>
    <s v="Spray"/>
    <x v="96"/>
    <n v="51"/>
    <x v="7"/>
    <n v="43311"/>
    <x v="2"/>
  </r>
  <r>
    <x v="7"/>
    <x v="8"/>
    <x v="141"/>
    <n v="2746.2"/>
    <n v="39"/>
    <x v="11"/>
    <s v="Spray"/>
    <x v="97"/>
    <n v="57"/>
    <x v="7"/>
    <n v="24848"/>
    <x v="2"/>
  </r>
  <r>
    <x v="8"/>
    <x v="8"/>
    <x v="142"/>
    <n v="2746.2"/>
    <n v="40"/>
    <x v="11"/>
    <s v="Spray"/>
    <x v="98"/>
    <n v="57"/>
    <x v="7"/>
    <n v="761"/>
    <x v="2"/>
  </r>
  <r>
    <x v="9"/>
    <x v="8"/>
    <x v="143"/>
    <n v="2746.2"/>
    <n v="40"/>
    <x v="11"/>
    <s v="Spray"/>
    <x v="99"/>
    <n v="60"/>
    <x v="7"/>
    <n v="45608"/>
    <x v="2"/>
  </r>
  <r>
    <x v="10"/>
    <x v="8"/>
    <x v="144"/>
    <n v="3360"/>
    <n v="40"/>
    <x v="11"/>
    <s v="Spray"/>
    <x v="100"/>
    <n v="57"/>
    <x v="8"/>
    <n v="234581"/>
    <x v="2"/>
  </r>
  <r>
    <x v="11"/>
    <x v="8"/>
    <x v="145"/>
    <n v="3360"/>
    <n v="41"/>
    <x v="11"/>
    <s v="Spray"/>
    <x v="101"/>
    <n v="57"/>
    <x v="8"/>
    <n v="646"/>
    <x v="2"/>
  </r>
  <r>
    <x v="12"/>
    <x v="8"/>
    <x v="146"/>
    <n v="3360"/>
    <n v="41"/>
    <x v="11"/>
    <s v="Spray"/>
    <x v="102"/>
    <n v="54"/>
    <x v="8"/>
    <n v="43562"/>
    <x v="2"/>
  </r>
  <r>
    <x v="13"/>
    <x v="8"/>
    <x v="0"/>
    <n v="3605.4"/>
    <n v="41"/>
    <x v="11"/>
    <s v="Spray"/>
    <x v="102"/>
    <n v="54.5"/>
    <x v="8"/>
    <n v="200000"/>
    <x v="2"/>
  </r>
  <r>
    <x v="14"/>
    <x v="8"/>
    <x v="1"/>
    <n v="3605.4"/>
    <n v="42"/>
    <x v="11"/>
    <s v="Spray"/>
    <x v="103"/>
    <n v="56.6"/>
    <x v="8"/>
    <n v="4847"/>
    <x v="2"/>
  </r>
  <r>
    <x v="1"/>
    <x v="8"/>
    <x v="2"/>
    <n v="3605.4"/>
    <n v="42"/>
    <x v="11"/>
    <s v="Spray"/>
    <x v="104"/>
    <n v="55.5"/>
    <x v="8"/>
    <n v="51239"/>
    <x v="2"/>
  </r>
  <r>
    <x v="2"/>
    <x v="8"/>
    <x v="3"/>
    <n v="3512.4"/>
    <n v="42"/>
    <x v="11"/>
    <s v="Spray"/>
    <x v="105"/>
    <n v="58.5"/>
    <x v="8"/>
    <n v="216396"/>
    <x v="2"/>
  </r>
  <r>
    <x v="3"/>
    <x v="8"/>
    <x v="4"/>
    <n v="3512.4"/>
    <n v="43"/>
    <x v="11"/>
    <s v="Spray"/>
    <x v="106"/>
    <n v="59.5"/>
    <x v="8"/>
    <n v="2644"/>
    <x v="2"/>
  </r>
  <r>
    <x v="4"/>
    <x v="8"/>
    <x v="5"/>
    <n v="3512.4"/>
    <n v="27"/>
    <x v="26"/>
    <s v="Spray"/>
    <x v="107"/>
    <n v="55"/>
    <x v="8"/>
    <n v="44235"/>
    <x v="2"/>
  </r>
  <r>
    <x v="5"/>
    <x v="8"/>
    <x v="6"/>
    <n v="3296"/>
    <n v="27"/>
    <x v="26"/>
    <s v="Spray"/>
    <x v="108"/>
    <n v="53"/>
    <x v="8"/>
    <n v="203317"/>
    <x v="2"/>
  </r>
  <r>
    <x v="6"/>
    <x v="8"/>
    <x v="7"/>
    <n v="3296"/>
    <n v="27"/>
    <x v="26"/>
    <s v="Spray"/>
    <x v="109"/>
    <n v="53.5"/>
    <x v="8"/>
    <n v="2134"/>
    <x v="2"/>
  </r>
  <r>
    <x v="0"/>
    <x v="8"/>
    <x v="8"/>
    <n v="3296"/>
    <n v="27"/>
    <x v="26"/>
    <s v="Spray"/>
    <x v="110"/>
    <n v="52.5"/>
    <x v="8"/>
    <n v="45186"/>
    <x v="2"/>
  </r>
  <r>
    <x v="7"/>
    <x v="8"/>
    <x v="9"/>
    <n v="3550"/>
    <n v="27"/>
    <x v="26"/>
    <s v="Spray"/>
    <x v="111"/>
    <n v="56"/>
    <x v="8"/>
    <n v="238542"/>
    <x v="2"/>
  </r>
  <r>
    <x v="8"/>
    <x v="8"/>
    <x v="10"/>
    <n v="3550"/>
    <n v="27"/>
    <x v="26"/>
    <s v="Spray"/>
    <x v="112"/>
    <n v="57"/>
    <x v="8"/>
    <n v="1516"/>
    <x v="2"/>
  </r>
  <r>
    <x v="9"/>
    <x v="8"/>
    <x v="11"/>
    <n v="3550"/>
    <n v="27.2"/>
    <x v="26"/>
    <s v="Spray"/>
    <x v="113"/>
    <n v="57.5"/>
    <x v="8"/>
    <n v="200000"/>
    <x v="2"/>
  </r>
  <r>
    <x v="10"/>
    <x v="8"/>
    <x v="12"/>
    <n v="3654"/>
    <n v="27.2"/>
    <x v="26"/>
    <s v="Spray"/>
    <x v="114"/>
    <n v="57"/>
    <x v="9"/>
    <n v="4847"/>
    <x v="2"/>
  </r>
  <r>
    <x v="11"/>
    <x v="8"/>
    <x v="13"/>
    <n v="3654"/>
    <n v="27.2"/>
    <x v="26"/>
    <s v="Spray"/>
    <x v="115"/>
    <n v="55"/>
    <x v="9"/>
    <n v="51239"/>
    <x v="2"/>
  </r>
  <r>
    <x v="12"/>
    <x v="8"/>
    <x v="14"/>
    <n v="3654"/>
    <n v="27"/>
    <x v="26"/>
    <s v="Spray"/>
    <x v="116"/>
    <n v="56"/>
    <x v="9"/>
    <n v="216396"/>
    <x v="2"/>
  </r>
  <r>
    <x v="13"/>
    <x v="8"/>
    <x v="15"/>
    <n v="233"/>
    <n v="27"/>
    <x v="26"/>
    <s v="Spray"/>
    <x v="117"/>
    <n v="54"/>
    <x v="9"/>
    <n v="2644"/>
    <x v="2"/>
  </r>
  <r>
    <x v="14"/>
    <x v="8"/>
    <x v="16"/>
    <n v="233"/>
    <n v="27"/>
    <x v="26"/>
    <s v="Spray"/>
    <x v="118"/>
    <n v="58"/>
    <x v="9"/>
    <n v="44235"/>
    <x v="2"/>
  </r>
  <r>
    <x v="1"/>
    <x v="8"/>
    <x v="17"/>
    <n v="233"/>
    <n v="27"/>
    <x v="26"/>
    <s v="Spray"/>
    <x v="119"/>
    <n v="58"/>
    <x v="9"/>
    <n v="203317"/>
    <x v="2"/>
  </r>
  <r>
    <x v="2"/>
    <x v="8"/>
    <x v="18"/>
    <n v="234"/>
    <n v="27"/>
    <x v="26"/>
    <s v="Spray"/>
    <x v="120"/>
    <n v="59"/>
    <x v="9"/>
    <n v="2134"/>
    <x v="2"/>
  </r>
  <r>
    <x v="3"/>
    <x v="8"/>
    <x v="19"/>
    <n v="234"/>
    <n v="27"/>
    <x v="26"/>
    <s v="Spray"/>
    <x v="121"/>
    <n v="50"/>
    <x v="9"/>
    <n v="45186"/>
    <x v="2"/>
  </r>
  <r>
    <x v="4"/>
    <x v="8"/>
    <x v="20"/>
    <n v="234"/>
    <n v="27.2"/>
    <x v="26"/>
    <s v="Spray"/>
    <x v="122"/>
    <n v="54"/>
    <x v="9"/>
    <n v="238542"/>
    <x v="2"/>
  </r>
  <r>
    <x v="5"/>
    <x v="8"/>
    <x v="0"/>
    <n v="3105"/>
    <n v="27.2"/>
    <x v="26"/>
    <s v="Spray"/>
    <x v="105"/>
    <n v="53"/>
    <x v="9"/>
    <n v="1516"/>
    <x v="2"/>
  </r>
  <r>
    <x v="6"/>
    <x v="8"/>
    <x v="1"/>
    <n v="3105"/>
    <n v="27.2"/>
    <x v="26"/>
    <s v="Spray"/>
    <x v="123"/>
    <n v="52"/>
    <x v="9"/>
    <n v="57259"/>
    <x v="2"/>
  </r>
  <r>
    <x v="0"/>
    <x v="8"/>
    <x v="2"/>
    <n v="3105"/>
    <n v="27.1"/>
    <x v="26"/>
    <s v="Spray"/>
    <x v="91"/>
    <n v="51"/>
    <x v="9"/>
    <n v="234779"/>
    <x v="2"/>
  </r>
  <r>
    <x v="7"/>
    <x v="8"/>
    <x v="3"/>
    <n v="236"/>
    <n v="27.1"/>
    <x v="26"/>
    <s v="Spray"/>
    <x v="92"/>
    <n v="57"/>
    <x v="9"/>
    <n v="1493"/>
    <x v="2"/>
  </r>
  <r>
    <x v="8"/>
    <x v="8"/>
    <x v="4"/>
    <n v="236"/>
    <n v="27.1"/>
    <x v="26"/>
    <s v="Spray"/>
    <x v="93"/>
    <n v="57"/>
    <x v="9"/>
    <n v="64409"/>
    <x v="2"/>
  </r>
  <r>
    <x v="9"/>
    <x v="8"/>
    <x v="5"/>
    <n v="2903.1"/>
    <n v="26.8"/>
    <x v="0"/>
    <s v="Spray"/>
    <x v="94"/>
    <n v="60"/>
    <x v="9"/>
    <n v="249978"/>
    <x v="2"/>
  </r>
  <r>
    <x v="10"/>
    <x v="8"/>
    <x v="6"/>
    <n v="2903.1"/>
    <n v="26.8"/>
    <x v="0"/>
    <s v="Spray"/>
    <x v="95"/>
    <n v="57"/>
    <x v="10"/>
    <n v="637"/>
    <x v="2"/>
  </r>
  <r>
    <x v="11"/>
    <x v="8"/>
    <x v="7"/>
    <n v="2903.1"/>
    <n v="26.8"/>
    <x v="0"/>
    <s v="Spray"/>
    <x v="96"/>
    <n v="57"/>
    <x v="10"/>
    <n v="43311"/>
    <x v="2"/>
  </r>
  <r>
    <x v="12"/>
    <x v="8"/>
    <x v="8"/>
    <n v="2996.6"/>
    <n v="37"/>
    <x v="0"/>
    <s v="Spray"/>
    <x v="97"/>
    <n v="54"/>
    <x v="10"/>
    <n v="24848"/>
    <x v="2"/>
  </r>
  <r>
    <x v="13"/>
    <x v="8"/>
    <x v="9"/>
    <n v="2996.6"/>
    <n v="37"/>
    <x v="0"/>
    <s v="Spray"/>
    <x v="98"/>
    <n v="54.5"/>
    <x v="10"/>
    <n v="761"/>
    <x v="2"/>
  </r>
  <r>
    <x v="14"/>
    <x v="8"/>
    <x v="10"/>
    <n v="2996.6"/>
    <n v="37"/>
    <x v="0"/>
    <s v="Spray"/>
    <x v="99"/>
    <n v="56.6"/>
    <x v="10"/>
    <n v="45608"/>
    <x v="2"/>
  </r>
  <r>
    <x v="1"/>
    <x v="8"/>
    <x v="11"/>
    <n v="3522.8"/>
    <n v="38"/>
    <x v="0"/>
    <s v="Drip"/>
    <x v="100"/>
    <n v="55.5"/>
    <x v="10"/>
    <n v="234581"/>
    <x v="2"/>
  </r>
  <r>
    <x v="2"/>
    <x v="8"/>
    <x v="12"/>
    <n v="3522.8"/>
    <n v="38"/>
    <x v="0"/>
    <s v="Drip"/>
    <x v="101"/>
    <n v="58.5"/>
    <x v="10"/>
    <n v="646"/>
    <x v="2"/>
  </r>
  <r>
    <x v="3"/>
    <x v="8"/>
    <x v="13"/>
    <n v="3522.8"/>
    <n v="38"/>
    <x v="0"/>
    <s v="Drip"/>
    <x v="102"/>
    <n v="59.5"/>
    <x v="10"/>
    <n v="43562"/>
    <x v="2"/>
  </r>
  <r>
    <x v="4"/>
    <x v="8"/>
    <x v="14"/>
    <n v="3729.8"/>
    <n v="39"/>
    <x v="0"/>
    <s v="Drip"/>
    <x v="102"/>
    <n v="55"/>
    <x v="10"/>
    <n v="200000"/>
    <x v="2"/>
  </r>
  <r>
    <x v="5"/>
    <x v="8"/>
    <x v="15"/>
    <n v="3729.8"/>
    <n v="39"/>
    <x v="0"/>
    <s v="Drip"/>
    <x v="103"/>
    <n v="53"/>
    <x v="10"/>
    <n v="4847"/>
    <x v="2"/>
  </r>
  <r>
    <x v="6"/>
    <x v="8"/>
    <x v="16"/>
    <n v="3729.8"/>
    <n v="39"/>
    <x v="0"/>
    <s v="Drip"/>
    <x v="104"/>
    <n v="53.5"/>
    <x v="10"/>
    <n v="51239"/>
    <x v="2"/>
  </r>
  <r>
    <x v="0"/>
    <x v="8"/>
    <x v="17"/>
    <n v="2746.2"/>
    <n v="40"/>
    <x v="0"/>
    <s v="Drip"/>
    <x v="105"/>
    <n v="52.5"/>
    <x v="10"/>
    <n v="216396"/>
    <x v="2"/>
  </r>
  <r>
    <x v="7"/>
    <x v="8"/>
    <x v="18"/>
    <n v="2746.2"/>
    <n v="40"/>
    <x v="0"/>
    <s v="Drip"/>
    <x v="106"/>
    <n v="56"/>
    <x v="10"/>
    <n v="2644"/>
    <x v="2"/>
  </r>
  <r>
    <x v="8"/>
    <x v="6"/>
    <x v="19"/>
    <n v="2746.2"/>
    <n v="40"/>
    <x v="0"/>
    <s v="Drip"/>
    <x v="107"/>
    <n v="59.5"/>
    <x v="10"/>
    <n v="44235"/>
    <x v="2"/>
  </r>
  <r>
    <x v="9"/>
    <x v="6"/>
    <x v="20"/>
    <n v="3360"/>
    <n v="41"/>
    <x v="0"/>
    <s v="Drip"/>
    <x v="108"/>
    <n v="55"/>
    <x v="10"/>
    <n v="203317"/>
    <x v="2"/>
  </r>
  <r>
    <x v="10"/>
    <x v="6"/>
    <x v="0"/>
    <n v="3360"/>
    <n v="41"/>
    <x v="0"/>
    <s v="Drip"/>
    <x v="109"/>
    <n v="53"/>
    <x v="11"/>
    <n v="2134"/>
    <x v="2"/>
  </r>
  <r>
    <x v="11"/>
    <x v="6"/>
    <x v="1"/>
    <n v="3360"/>
    <n v="41"/>
    <x v="0"/>
    <s v="Drip"/>
    <x v="110"/>
    <n v="53.5"/>
    <x v="11"/>
    <n v="45186"/>
    <x v="2"/>
  </r>
  <r>
    <x v="12"/>
    <x v="6"/>
    <x v="2"/>
    <n v="3605.4"/>
    <n v="42"/>
    <x v="0"/>
    <s v="Drip"/>
    <x v="111"/>
    <n v="52.5"/>
    <x v="11"/>
    <n v="238542"/>
    <x v="2"/>
  </r>
  <r>
    <x v="13"/>
    <x v="6"/>
    <x v="3"/>
    <n v="3605.4"/>
    <n v="42"/>
    <x v="0"/>
    <s v="Drip"/>
    <x v="112"/>
    <n v="56"/>
    <x v="11"/>
    <n v="1516"/>
    <x v="2"/>
  </r>
  <r>
    <x v="14"/>
    <x v="6"/>
    <x v="4"/>
    <n v="3605.4"/>
    <n v="42"/>
    <x v="0"/>
    <s v="Drip"/>
    <x v="113"/>
    <n v="57"/>
    <x v="11"/>
    <n v="57259"/>
    <x v="2"/>
  </r>
  <r>
    <x v="1"/>
    <x v="6"/>
    <x v="5"/>
    <n v="3512.4"/>
    <n v="43"/>
    <x v="0"/>
    <s v="Drip"/>
    <x v="114"/>
    <n v="57.5"/>
    <x v="11"/>
    <n v="234779"/>
    <x v="2"/>
  </r>
  <r>
    <x v="2"/>
    <x v="6"/>
    <x v="6"/>
    <n v="3512.4"/>
    <n v="43"/>
    <x v="0"/>
    <s v="Drip"/>
    <x v="115"/>
    <n v="57"/>
    <x v="11"/>
    <n v="1493"/>
    <x v="2"/>
  </r>
  <r>
    <x v="3"/>
    <x v="6"/>
    <x v="7"/>
    <n v="3512.4"/>
    <n v="128"/>
    <x v="0"/>
    <s v="Drip"/>
    <x v="116"/>
    <n v="55"/>
    <x v="11"/>
    <n v="64409"/>
    <x v="2"/>
  </r>
  <r>
    <x v="4"/>
    <x v="6"/>
    <x v="8"/>
    <n v="3296"/>
    <n v="129"/>
    <x v="0"/>
    <s v="Drip"/>
    <x v="117"/>
    <n v="56"/>
    <x v="11"/>
    <n v="249978"/>
    <x v="2"/>
  </r>
  <r>
    <x v="5"/>
    <x v="6"/>
    <x v="9"/>
    <n v="3296"/>
    <n v="130"/>
    <x v="0"/>
    <s v="Drip"/>
    <x v="118"/>
    <n v="54"/>
    <x v="11"/>
    <n v="637"/>
    <x v="2"/>
  </r>
  <r>
    <x v="6"/>
    <x v="6"/>
    <x v="10"/>
    <n v="3296"/>
    <n v="131"/>
    <x v="0"/>
    <s v="Drip"/>
    <x v="119"/>
    <n v="58"/>
    <x v="11"/>
    <n v="43311"/>
    <x v="2"/>
  </r>
  <r>
    <x v="0"/>
    <x v="6"/>
    <x v="11"/>
    <n v="3550"/>
    <n v="132"/>
    <x v="0"/>
    <s v="Drip"/>
    <x v="120"/>
    <n v="58"/>
    <x v="11"/>
    <n v="24848"/>
    <x v="2"/>
  </r>
  <r>
    <x v="7"/>
    <x v="6"/>
    <x v="12"/>
    <n v="3550"/>
    <n v="133"/>
    <x v="0"/>
    <s v="Drip"/>
    <x v="121"/>
    <n v="59"/>
    <x v="11"/>
    <n v="761"/>
    <x v="2"/>
  </r>
  <r>
    <x v="8"/>
    <x v="6"/>
    <x v="13"/>
    <n v="3550"/>
    <n v="134"/>
    <x v="0"/>
    <s v="Drip"/>
    <x v="122"/>
    <n v="50"/>
    <x v="11"/>
    <n v="45608"/>
    <x v="2"/>
  </r>
  <r>
    <x v="9"/>
    <x v="6"/>
    <x v="14"/>
    <n v="3654"/>
    <n v="135"/>
    <x v="0"/>
    <s v="Drip"/>
    <x v="105"/>
    <n v="54"/>
    <x v="11"/>
    <n v="234581"/>
    <x v="2"/>
  </r>
  <r>
    <x v="10"/>
    <x v="6"/>
    <x v="0"/>
    <n v="3654"/>
    <n v="136"/>
    <x v="0"/>
    <s v="Drip"/>
    <x v="123"/>
    <n v="53"/>
    <x v="0"/>
    <n v="646"/>
    <x v="2"/>
  </r>
  <r>
    <x v="11"/>
    <x v="6"/>
    <x v="1"/>
    <n v="3654"/>
    <n v="137"/>
    <x v="0"/>
    <s v="Drip"/>
    <x v="0"/>
    <n v="59.5"/>
    <x v="0"/>
    <n v="43562"/>
    <x v="2"/>
  </r>
  <r>
    <x v="12"/>
    <x v="6"/>
    <x v="2"/>
    <n v="233"/>
    <n v="138"/>
    <x v="0"/>
    <s v="Drip"/>
    <x v="1"/>
    <n v="55"/>
    <x v="0"/>
    <n v="200000"/>
    <x v="2"/>
  </r>
  <r>
    <x v="13"/>
    <x v="6"/>
    <x v="3"/>
    <n v="233"/>
    <n v="139"/>
    <x v="0"/>
    <s v="Drip"/>
    <x v="2"/>
    <n v="53"/>
    <x v="0"/>
    <n v="4847"/>
    <x v="2"/>
  </r>
  <r>
    <x v="14"/>
    <x v="6"/>
    <x v="4"/>
    <n v="233"/>
    <n v="140"/>
    <x v="0"/>
    <s v="Drip"/>
    <x v="3"/>
    <n v="53.5"/>
    <x v="0"/>
    <n v="51239"/>
    <x v="2"/>
  </r>
  <r>
    <x v="1"/>
    <x v="6"/>
    <x v="5"/>
    <n v="234"/>
    <n v="141"/>
    <x v="0"/>
    <s v="Drip"/>
    <x v="4"/>
    <n v="52.5"/>
    <x v="0"/>
    <n v="216396"/>
    <x v="2"/>
  </r>
  <r>
    <x v="2"/>
    <x v="6"/>
    <x v="6"/>
    <n v="234"/>
    <n v="142"/>
    <x v="0"/>
    <s v="Drip"/>
    <x v="5"/>
    <n v="56"/>
    <x v="0"/>
    <n v="2644"/>
    <x v="2"/>
  </r>
  <r>
    <x v="3"/>
    <x v="6"/>
    <x v="7"/>
    <n v="234"/>
    <n v="143"/>
    <x v="0"/>
    <s v="Drip"/>
    <x v="6"/>
    <n v="57"/>
    <x v="0"/>
    <n v="44235"/>
    <x v="2"/>
  </r>
  <r>
    <x v="4"/>
    <x v="6"/>
    <x v="8"/>
    <n v="3105"/>
    <n v="144"/>
    <x v="0"/>
    <s v="Drip"/>
    <x v="7"/>
    <n v="57.5"/>
    <x v="0"/>
    <n v="203317"/>
    <x v="2"/>
  </r>
  <r>
    <x v="5"/>
    <x v="6"/>
    <x v="9"/>
    <n v="3105"/>
    <n v="27"/>
    <x v="0"/>
    <s v="Drip"/>
    <x v="8"/>
    <n v="57"/>
    <x v="0"/>
    <n v="2134"/>
    <x v="2"/>
  </r>
  <r>
    <x v="6"/>
    <x v="6"/>
    <x v="10"/>
    <n v="3105"/>
    <n v="27"/>
    <x v="0"/>
    <s v="Drip"/>
    <x v="9"/>
    <n v="55"/>
    <x v="0"/>
    <n v="45186"/>
    <x v="2"/>
  </r>
  <r>
    <x v="0"/>
    <x v="6"/>
    <x v="11"/>
    <n v="236"/>
    <n v="27"/>
    <x v="0"/>
    <s v="Drip"/>
    <x v="10"/>
    <n v="56"/>
    <x v="0"/>
    <n v="238542"/>
    <x v="2"/>
  </r>
  <r>
    <x v="7"/>
    <x v="6"/>
    <x v="12"/>
    <n v="2903.1"/>
    <n v="27"/>
    <x v="0"/>
    <s v="Drip"/>
    <x v="11"/>
    <n v="54"/>
    <x v="0"/>
    <n v="1516"/>
    <x v="2"/>
  </r>
  <r>
    <x v="8"/>
    <x v="6"/>
    <x v="13"/>
    <n v="2903.1"/>
    <n v="27"/>
    <x v="0"/>
    <s v="Drip"/>
    <x v="12"/>
    <n v="58"/>
    <x v="0"/>
    <n v="200000"/>
    <x v="2"/>
  </r>
  <r>
    <x v="9"/>
    <x v="6"/>
    <x v="14"/>
    <n v="2903.1"/>
    <n v="27"/>
    <x v="0"/>
    <s v="Drip"/>
    <x v="13"/>
    <n v="58"/>
    <x v="0"/>
    <n v="4847"/>
    <x v="2"/>
  </r>
  <r>
    <x v="10"/>
    <x v="6"/>
    <x v="15"/>
    <n v="2996.6"/>
    <n v="27.2"/>
    <x v="0"/>
    <s v="Drip"/>
    <x v="0"/>
    <n v="59"/>
    <x v="0"/>
    <n v="51239"/>
    <x v="2"/>
  </r>
  <r>
    <x v="11"/>
    <x v="6"/>
    <x v="16"/>
    <n v="2996.6"/>
    <n v="27.2"/>
    <x v="0"/>
    <s v="Drip"/>
    <x v="1"/>
    <n v="50"/>
    <x v="6"/>
    <n v="216396"/>
    <x v="2"/>
  </r>
  <r>
    <x v="12"/>
    <x v="6"/>
    <x v="17"/>
    <n v="2996.6"/>
    <n v="27.2"/>
    <x v="0"/>
    <s v="Drip"/>
    <x v="2"/>
    <n v="54"/>
    <x v="6"/>
    <n v="2644"/>
    <x v="2"/>
  </r>
  <r>
    <x v="13"/>
    <x v="6"/>
    <x v="18"/>
    <n v="3522.8"/>
    <n v="27"/>
    <x v="0"/>
    <s v="Drip"/>
    <x v="3"/>
    <n v="53"/>
    <x v="6"/>
    <n v="44235"/>
    <x v="2"/>
  </r>
  <r>
    <x v="14"/>
    <x v="6"/>
    <x v="19"/>
    <n v="3522.8"/>
    <n v="27"/>
    <x v="19"/>
    <s v="Basin"/>
    <x v="4"/>
    <n v="59.5"/>
    <x v="6"/>
    <n v="203317"/>
    <x v="2"/>
  </r>
  <r>
    <x v="1"/>
    <x v="6"/>
    <x v="20"/>
    <n v="3522.8"/>
    <n v="27"/>
    <x v="19"/>
    <s v="Basin"/>
    <x v="5"/>
    <n v="55"/>
    <x v="6"/>
    <n v="2134"/>
    <x v="2"/>
  </r>
  <r>
    <x v="2"/>
    <x v="6"/>
    <x v="21"/>
    <n v="3729.8"/>
    <n v="27"/>
    <x v="19"/>
    <s v="Basin"/>
    <x v="6"/>
    <n v="53"/>
    <x v="6"/>
    <n v="45186"/>
    <x v="2"/>
  </r>
  <r>
    <x v="3"/>
    <x v="6"/>
    <x v="22"/>
    <n v="3729.8"/>
    <n v="27"/>
    <x v="19"/>
    <s v="Basin"/>
    <x v="7"/>
    <n v="53.5"/>
    <x v="6"/>
    <n v="238542"/>
    <x v="2"/>
  </r>
  <r>
    <x v="4"/>
    <x v="6"/>
    <x v="23"/>
    <n v="3729.8"/>
    <n v="27"/>
    <x v="19"/>
    <s v="Basin"/>
    <x v="8"/>
    <n v="52.5"/>
    <x v="6"/>
    <n v="1516"/>
    <x v="2"/>
  </r>
  <r>
    <x v="5"/>
    <x v="6"/>
    <x v="24"/>
    <n v="2746.2"/>
    <n v="27.2"/>
    <x v="19"/>
    <s v="Basin"/>
    <x v="9"/>
    <n v="56"/>
    <x v="6"/>
    <n v="57259"/>
    <x v="2"/>
  </r>
  <r>
    <x v="6"/>
    <x v="6"/>
    <x v="25"/>
    <n v="2746.2"/>
    <n v="27.2"/>
    <x v="19"/>
    <s v="Basin"/>
    <x v="10"/>
    <n v="57"/>
    <x v="6"/>
    <n v="234779"/>
    <x v="2"/>
  </r>
  <r>
    <x v="0"/>
    <x v="6"/>
    <x v="26"/>
    <n v="2746.2"/>
    <n v="27.2"/>
    <x v="19"/>
    <s v="Basin"/>
    <x v="11"/>
    <n v="57.5"/>
    <x v="6"/>
    <n v="1493"/>
    <x v="2"/>
  </r>
  <r>
    <x v="7"/>
    <x v="6"/>
    <x v="27"/>
    <n v="3360"/>
    <n v="27.1"/>
    <x v="19"/>
    <s v="Basin"/>
    <x v="12"/>
    <n v="57"/>
    <x v="6"/>
    <n v="64409"/>
    <x v="2"/>
  </r>
  <r>
    <x v="8"/>
    <x v="6"/>
    <x v="28"/>
    <n v="3360"/>
    <n v="27.1"/>
    <x v="19"/>
    <s v="Basin"/>
    <x v="13"/>
    <n v="55"/>
    <x v="6"/>
    <n v="249978"/>
    <x v="2"/>
  </r>
  <r>
    <x v="9"/>
    <x v="6"/>
    <x v="29"/>
    <n v="3360"/>
    <n v="27.1"/>
    <x v="19"/>
    <s v="Basin"/>
    <x v="14"/>
    <n v="56"/>
    <x v="6"/>
    <n v="637"/>
    <x v="2"/>
  </r>
  <r>
    <x v="10"/>
    <x v="6"/>
    <x v="30"/>
    <n v="3605.4"/>
    <n v="26.8"/>
    <x v="19"/>
    <s v="Basin"/>
    <x v="15"/>
    <n v="54"/>
    <x v="6"/>
    <n v="43311"/>
    <x v="2"/>
  </r>
  <r>
    <x v="11"/>
    <x v="6"/>
    <x v="31"/>
    <n v="3605.4"/>
    <n v="26.8"/>
    <x v="19"/>
    <s v="Drip"/>
    <x v="16"/>
    <n v="57"/>
    <x v="0"/>
    <n v="200000"/>
    <x v="2"/>
  </r>
  <r>
    <x v="12"/>
    <x v="6"/>
    <x v="32"/>
    <n v="3605.4"/>
    <n v="26.8"/>
    <x v="19"/>
    <s v="Drip"/>
    <x v="17"/>
    <n v="57.5"/>
    <x v="0"/>
    <n v="4847"/>
    <x v="2"/>
  </r>
  <r>
    <x v="13"/>
    <x v="6"/>
    <x v="33"/>
    <n v="3512.4"/>
    <n v="37"/>
    <x v="19"/>
    <s v="Drip"/>
    <x v="18"/>
    <n v="57"/>
    <x v="0"/>
    <n v="51239"/>
    <x v="2"/>
  </r>
  <r>
    <x v="14"/>
    <x v="6"/>
    <x v="34"/>
    <n v="3512.4"/>
    <n v="37"/>
    <x v="19"/>
    <s v="Drip"/>
    <x v="19"/>
    <n v="55"/>
    <x v="0"/>
    <n v="216396"/>
    <x v="2"/>
  </r>
  <r>
    <x v="1"/>
    <x v="6"/>
    <x v="35"/>
    <n v="3512.4"/>
    <n v="37"/>
    <x v="19"/>
    <s v="Drip"/>
    <x v="20"/>
    <n v="56"/>
    <x v="0"/>
    <n v="2644"/>
    <x v="2"/>
  </r>
  <r>
    <x v="2"/>
    <x v="6"/>
    <x v="36"/>
    <n v="3296"/>
    <n v="38"/>
    <x v="19"/>
    <s v="Drip"/>
    <x v="21"/>
    <n v="54"/>
    <x v="0"/>
    <n v="44235"/>
    <x v="2"/>
  </r>
  <r>
    <x v="3"/>
    <x v="6"/>
    <x v="37"/>
    <n v="3296"/>
    <n v="38"/>
    <x v="19"/>
    <s v="Drip"/>
    <x v="22"/>
    <n v="58"/>
    <x v="0"/>
    <n v="203317"/>
    <x v="2"/>
  </r>
  <r>
    <x v="4"/>
    <x v="6"/>
    <x v="38"/>
    <n v="3296"/>
    <n v="38"/>
    <x v="19"/>
    <s v="Drip"/>
    <x v="23"/>
    <n v="58"/>
    <x v="0"/>
    <n v="2134"/>
    <x v="2"/>
  </r>
  <r>
    <x v="5"/>
    <x v="6"/>
    <x v="39"/>
    <n v="3550"/>
    <n v="39"/>
    <x v="19"/>
    <s v="Drip"/>
    <x v="24"/>
    <n v="59"/>
    <x v="0"/>
    <n v="45186"/>
    <x v="2"/>
  </r>
  <r>
    <x v="6"/>
    <x v="6"/>
    <x v="40"/>
    <n v="3550"/>
    <n v="39"/>
    <x v="19"/>
    <s v="Drip"/>
    <x v="25"/>
    <n v="50"/>
    <x v="0"/>
    <n v="238542"/>
    <x v="2"/>
  </r>
  <r>
    <x v="0"/>
    <x v="6"/>
    <x v="41"/>
    <n v="3550"/>
    <n v="39"/>
    <x v="19"/>
    <s v="Drip"/>
    <x v="26"/>
    <n v="54"/>
    <x v="0"/>
    <n v="1516"/>
    <x v="2"/>
  </r>
  <r>
    <x v="7"/>
    <x v="6"/>
    <x v="42"/>
    <n v="3654"/>
    <n v="40"/>
    <x v="19"/>
    <s v="Drip"/>
    <x v="27"/>
    <n v="53"/>
    <x v="0"/>
    <n v="57259"/>
    <x v="2"/>
  </r>
  <r>
    <x v="8"/>
    <x v="6"/>
    <x v="43"/>
    <n v="3654"/>
    <n v="40"/>
    <x v="19"/>
    <s v="Drip"/>
    <x v="28"/>
    <n v="52"/>
    <x v="0"/>
    <n v="234779"/>
    <x v="2"/>
  </r>
  <r>
    <x v="9"/>
    <x v="6"/>
    <x v="44"/>
    <n v="3654"/>
    <n v="40"/>
    <x v="19"/>
    <s v="Drip"/>
    <x v="29"/>
    <n v="51"/>
    <x v="0"/>
    <n v="1493"/>
    <x v="2"/>
  </r>
  <r>
    <x v="10"/>
    <x v="6"/>
    <x v="45"/>
    <n v="233"/>
    <n v="41"/>
    <x v="19"/>
    <s v="Drip"/>
    <x v="30"/>
    <n v="57"/>
    <x v="0"/>
    <n v="64409"/>
    <x v="2"/>
  </r>
  <r>
    <x v="11"/>
    <x v="6"/>
    <x v="46"/>
    <n v="233"/>
    <n v="41"/>
    <x v="19"/>
    <s v="Drip"/>
    <x v="31"/>
    <n v="57"/>
    <x v="0"/>
    <n v="249978"/>
    <x v="2"/>
  </r>
  <r>
    <x v="12"/>
    <x v="6"/>
    <x v="47"/>
    <n v="233"/>
    <n v="41"/>
    <x v="19"/>
    <s v="Drip"/>
    <x v="32"/>
    <n v="60"/>
    <x v="0"/>
    <n v="637"/>
    <x v="2"/>
  </r>
  <r>
    <x v="13"/>
    <x v="6"/>
    <x v="48"/>
    <n v="234"/>
    <n v="42"/>
    <x v="19"/>
    <s v="Drip"/>
    <x v="33"/>
    <n v="57"/>
    <x v="0"/>
    <n v="43311"/>
    <x v="2"/>
  </r>
  <r>
    <x v="14"/>
    <x v="6"/>
    <x v="49"/>
    <n v="234"/>
    <n v="42"/>
    <x v="19"/>
    <s v="Drip"/>
    <x v="34"/>
    <n v="57"/>
    <x v="0"/>
    <n v="24848"/>
    <x v="2"/>
  </r>
  <r>
    <x v="1"/>
    <x v="6"/>
    <x v="50"/>
    <n v="234"/>
    <n v="42"/>
    <x v="19"/>
    <s v="Drip"/>
    <x v="35"/>
    <n v="54"/>
    <x v="0"/>
    <n v="761"/>
    <x v="2"/>
  </r>
  <r>
    <x v="2"/>
    <x v="6"/>
    <x v="51"/>
    <n v="3105"/>
    <n v="43"/>
    <x v="19"/>
    <s v="Drip"/>
    <x v="36"/>
    <n v="54.5"/>
    <x v="0"/>
    <n v="45608"/>
    <x v="2"/>
  </r>
  <r>
    <x v="3"/>
    <x v="6"/>
    <x v="52"/>
    <n v="3105"/>
    <n v="43"/>
    <x v="19"/>
    <s v="Drip"/>
    <x v="37"/>
    <n v="56.6"/>
    <x v="0"/>
    <n v="234581"/>
    <x v="2"/>
  </r>
  <r>
    <x v="4"/>
    <x v="6"/>
    <x v="53"/>
    <n v="3105"/>
    <n v="27"/>
    <x v="19"/>
    <s v="Drip"/>
    <x v="38"/>
    <n v="55.5"/>
    <x v="0"/>
    <n v="646"/>
    <x v="2"/>
  </r>
  <r>
    <x v="5"/>
    <x v="6"/>
    <x v="54"/>
    <n v="236"/>
    <n v="27"/>
    <x v="19"/>
    <s v="Drip"/>
    <x v="39"/>
    <n v="58.5"/>
    <x v="0"/>
    <n v="43562"/>
    <x v="2"/>
  </r>
  <r>
    <x v="6"/>
    <x v="6"/>
    <x v="55"/>
    <n v="236"/>
    <n v="27"/>
    <x v="19"/>
    <s v="Drip"/>
    <x v="40"/>
    <n v="59.5"/>
    <x v="0"/>
    <n v="200000"/>
    <x v="2"/>
  </r>
  <r>
    <x v="0"/>
    <x v="6"/>
    <x v="56"/>
    <n v="321"/>
    <n v="27"/>
    <x v="19"/>
    <s v="Drip"/>
    <x v="41"/>
    <n v="55"/>
    <x v="0"/>
    <n v="4847"/>
    <x v="2"/>
  </r>
  <r>
    <x v="7"/>
    <x v="6"/>
    <x v="57"/>
    <n v="3654"/>
    <n v="27"/>
    <x v="19"/>
    <s v="Drip"/>
    <x v="42"/>
    <n v="53"/>
    <x v="0"/>
    <n v="51239"/>
    <x v="2"/>
  </r>
  <r>
    <x v="8"/>
    <x v="6"/>
    <x v="58"/>
    <n v="323"/>
    <n v="27"/>
    <x v="19"/>
    <s v="Drip"/>
    <x v="43"/>
    <n v="53.5"/>
    <x v="0"/>
    <n v="216396"/>
    <x v="2"/>
  </r>
  <r>
    <x v="9"/>
    <x v="6"/>
    <x v="59"/>
    <n v="324"/>
    <n v="27.2"/>
    <x v="19"/>
    <s v="Drip"/>
    <x v="44"/>
    <n v="52.5"/>
    <x v="0"/>
    <n v="2644"/>
    <x v="2"/>
  </r>
  <r>
    <x v="10"/>
    <x v="6"/>
    <x v="60"/>
    <n v="3105"/>
    <n v="27.2"/>
    <x v="19"/>
    <s v="Drip"/>
    <x v="45"/>
    <n v="56"/>
    <x v="0"/>
    <n v="44235"/>
    <x v="2"/>
  </r>
  <r>
    <x v="11"/>
    <x v="6"/>
    <x v="61"/>
    <n v="326"/>
    <n v="27.2"/>
    <x v="19"/>
    <s v="Drip"/>
    <x v="46"/>
    <n v="57"/>
    <x v="0"/>
    <n v="203317"/>
    <x v="2"/>
  </r>
  <r>
    <x v="12"/>
    <x v="6"/>
    <x v="62"/>
    <n v="327"/>
    <n v="27"/>
    <x v="19"/>
    <s v="Drip"/>
    <x v="47"/>
    <n v="57.5"/>
    <x v="0"/>
    <n v="2134"/>
    <x v="2"/>
  </r>
  <r>
    <x v="13"/>
    <x v="6"/>
    <x v="63"/>
    <n v="328"/>
    <n v="27"/>
    <x v="19"/>
    <s v="Drip"/>
    <x v="48"/>
    <n v="57"/>
    <x v="0"/>
    <n v="45186"/>
    <x v="2"/>
  </r>
  <r>
    <x v="14"/>
    <x v="6"/>
    <x v="64"/>
    <n v="2903.1"/>
    <n v="27"/>
    <x v="19"/>
    <s v="Drip"/>
    <x v="49"/>
    <n v="55"/>
    <x v="0"/>
    <n v="238542"/>
    <x v="2"/>
  </r>
  <r>
    <x v="1"/>
    <x v="6"/>
    <x v="65"/>
    <n v="2903.1"/>
    <n v="27"/>
    <x v="19"/>
    <s v="Drip"/>
    <x v="50"/>
    <n v="56"/>
    <x v="0"/>
    <n v="1516"/>
    <x v="2"/>
  </r>
  <r>
    <x v="2"/>
    <x v="6"/>
    <x v="62"/>
    <n v="2903.1"/>
    <n v="27"/>
    <x v="19"/>
    <s v="Drip"/>
    <x v="51"/>
    <n v="54"/>
    <x v="0"/>
    <n v="57259"/>
    <x v="2"/>
  </r>
  <r>
    <x v="3"/>
    <x v="6"/>
    <x v="66"/>
    <n v="2996.6"/>
    <n v="27"/>
    <x v="19"/>
    <s v="Drip"/>
    <x v="52"/>
    <n v="58"/>
    <x v="0"/>
    <n v="234779"/>
    <x v="2"/>
  </r>
  <r>
    <x v="4"/>
    <x v="6"/>
    <x v="67"/>
    <n v="2996.6"/>
    <n v="27.2"/>
    <x v="19"/>
    <s v="Drip"/>
    <x v="53"/>
    <n v="58"/>
    <x v="0"/>
    <n v="1493"/>
    <x v="2"/>
  </r>
  <r>
    <x v="5"/>
    <x v="6"/>
    <x v="68"/>
    <n v="2996.6"/>
    <n v="27.2"/>
    <x v="7"/>
    <s v="Drip"/>
    <x v="54"/>
    <n v="59"/>
    <x v="0"/>
    <n v="64409"/>
    <x v="2"/>
  </r>
  <r>
    <x v="6"/>
    <x v="6"/>
    <x v="67"/>
    <n v="3522.8"/>
    <n v="27.2"/>
    <x v="7"/>
    <s v="Drip"/>
    <x v="55"/>
    <n v="50"/>
    <x v="0"/>
    <n v="249978"/>
    <x v="2"/>
  </r>
  <r>
    <x v="0"/>
    <x v="6"/>
    <x v="69"/>
    <n v="3522.8"/>
    <n v="27.1"/>
    <x v="7"/>
    <s v="Drip"/>
    <x v="56"/>
    <n v="54"/>
    <x v="0"/>
    <n v="637"/>
    <x v="2"/>
  </r>
  <r>
    <x v="7"/>
    <x v="6"/>
    <x v="70"/>
    <n v="3522.8"/>
    <n v="27.1"/>
    <x v="7"/>
    <s v="Drip"/>
    <x v="57"/>
    <n v="53"/>
    <x v="0"/>
    <n v="43311"/>
    <x v="2"/>
  </r>
  <r>
    <x v="8"/>
    <x v="6"/>
    <x v="71"/>
    <n v="3729.8"/>
    <n v="27.1"/>
    <x v="7"/>
    <s v="Drip"/>
    <x v="58"/>
    <n v="52"/>
    <x v="0"/>
    <n v="24848"/>
    <x v="2"/>
  </r>
  <r>
    <x v="9"/>
    <x v="6"/>
    <x v="64"/>
    <n v="3729.8"/>
    <n v="26.8"/>
    <x v="7"/>
    <s v="Drip"/>
    <x v="59"/>
    <n v="51"/>
    <x v="0"/>
    <n v="761"/>
    <x v="2"/>
  </r>
  <r>
    <x v="10"/>
    <x v="6"/>
    <x v="63"/>
    <n v="3729.8"/>
    <n v="26.8"/>
    <x v="7"/>
    <s v="Basin"/>
    <x v="60"/>
    <n v="57"/>
    <x v="0"/>
    <n v="45608"/>
    <x v="2"/>
  </r>
  <r>
    <x v="11"/>
    <x v="6"/>
    <x v="72"/>
    <n v="2746.2"/>
    <n v="26.8"/>
    <x v="7"/>
    <s v="Basin"/>
    <x v="61"/>
    <n v="57"/>
    <x v="0"/>
    <n v="234581"/>
    <x v="2"/>
  </r>
  <r>
    <x v="12"/>
    <x v="6"/>
    <x v="73"/>
    <n v="2746.2"/>
    <n v="37"/>
    <x v="7"/>
    <s v="Basin"/>
    <x v="62"/>
    <n v="60"/>
    <x v="0"/>
    <n v="646"/>
    <x v="2"/>
  </r>
  <r>
    <x v="13"/>
    <x v="6"/>
    <x v="60"/>
    <n v="2746.2"/>
    <n v="37"/>
    <x v="7"/>
    <s v="Basin"/>
    <x v="63"/>
    <n v="57"/>
    <x v="0"/>
    <n v="43562"/>
    <x v="2"/>
  </r>
  <r>
    <x v="14"/>
    <x v="6"/>
    <x v="74"/>
    <n v="3360"/>
    <n v="37"/>
    <x v="7"/>
    <s v="Basin"/>
    <x v="64"/>
    <n v="57"/>
    <x v="0"/>
    <n v="200000"/>
    <x v="2"/>
  </r>
  <r>
    <x v="1"/>
    <x v="6"/>
    <x v="75"/>
    <n v="3360"/>
    <n v="38"/>
    <x v="7"/>
    <s v="Basin"/>
    <x v="65"/>
    <n v="54"/>
    <x v="0"/>
    <n v="4847"/>
    <x v="2"/>
  </r>
  <r>
    <x v="2"/>
    <x v="6"/>
    <x v="76"/>
    <n v="3360"/>
    <n v="38"/>
    <x v="7"/>
    <s v="Basin"/>
    <x v="62"/>
    <n v="54.5"/>
    <x v="0"/>
    <n v="51239"/>
    <x v="2"/>
  </r>
  <r>
    <x v="3"/>
    <x v="6"/>
    <x v="77"/>
    <n v="3605.4"/>
    <n v="38"/>
    <x v="7"/>
    <s v="Basin"/>
    <x v="66"/>
    <n v="56.6"/>
    <x v="0"/>
    <n v="216396"/>
    <x v="2"/>
  </r>
  <r>
    <x v="4"/>
    <x v="6"/>
    <x v="78"/>
    <n v="3605.4"/>
    <n v="39"/>
    <x v="7"/>
    <s v="Basin"/>
    <x v="67"/>
    <n v="55.5"/>
    <x v="0"/>
    <n v="2644"/>
    <x v="2"/>
  </r>
  <r>
    <x v="5"/>
    <x v="6"/>
    <x v="79"/>
    <n v="3605.4"/>
    <n v="39"/>
    <x v="7"/>
    <s v="Basin"/>
    <x v="68"/>
    <n v="58.5"/>
    <x v="0"/>
    <n v="44235"/>
    <x v="2"/>
  </r>
  <r>
    <x v="6"/>
    <x v="6"/>
    <x v="80"/>
    <n v="3512.4"/>
    <n v="39"/>
    <x v="7"/>
    <s v="Basin"/>
    <x v="69"/>
    <n v="59.5"/>
    <x v="0"/>
    <n v="203317"/>
    <x v="2"/>
  </r>
  <r>
    <x v="0"/>
    <x v="6"/>
    <x v="81"/>
    <n v="3512.4"/>
    <n v="40"/>
    <x v="7"/>
    <s v="Basin"/>
    <x v="70"/>
    <n v="55"/>
    <x v="0"/>
    <n v="2134"/>
    <x v="2"/>
  </r>
  <r>
    <x v="7"/>
    <x v="6"/>
    <x v="82"/>
    <n v="3512.4"/>
    <n v="40"/>
    <x v="7"/>
    <s v="Basin"/>
    <x v="71"/>
    <n v="53"/>
    <x v="0"/>
    <n v="45186"/>
    <x v="2"/>
  </r>
  <r>
    <x v="8"/>
    <x v="0"/>
    <x v="83"/>
    <n v="3296"/>
    <n v="27"/>
    <x v="7"/>
    <s v="Basin"/>
    <x v="72"/>
    <n v="53.5"/>
    <x v="0"/>
    <n v="238542"/>
    <x v="2"/>
  </r>
  <r>
    <x v="9"/>
    <x v="0"/>
    <x v="84"/>
    <n v="3296"/>
    <n v="27"/>
    <x v="7"/>
    <s v="Basin"/>
    <x v="73"/>
    <n v="52.5"/>
    <x v="0"/>
    <n v="1516"/>
    <x v="2"/>
  </r>
  <r>
    <x v="10"/>
    <x v="0"/>
    <x v="85"/>
    <n v="3296"/>
    <n v="27"/>
    <x v="7"/>
    <s v="Basin"/>
    <x v="74"/>
    <n v="56"/>
    <x v="0"/>
    <n v="57259"/>
    <x v="2"/>
  </r>
  <r>
    <x v="11"/>
    <x v="0"/>
    <x v="86"/>
    <n v="3550"/>
    <n v="27"/>
    <x v="7"/>
    <s v="Basin"/>
    <x v="75"/>
    <n v="57"/>
    <x v="0"/>
    <n v="234779"/>
    <x v="2"/>
  </r>
  <r>
    <x v="12"/>
    <x v="0"/>
    <x v="87"/>
    <n v="3550"/>
    <n v="27"/>
    <x v="7"/>
    <s v="Basin"/>
    <x v="76"/>
    <n v="57.5"/>
    <x v="0"/>
    <n v="1493"/>
    <x v="2"/>
  </r>
  <r>
    <x v="13"/>
    <x v="0"/>
    <x v="88"/>
    <n v="3550"/>
    <n v="27"/>
    <x v="7"/>
    <s v="Basin"/>
    <x v="60"/>
    <n v="57"/>
    <x v="0"/>
    <n v="64409"/>
    <x v="2"/>
  </r>
  <r>
    <x v="14"/>
    <x v="0"/>
    <x v="89"/>
    <n v="3654"/>
    <n v="27.2"/>
    <x v="7"/>
    <s v="Basin"/>
    <x v="77"/>
    <n v="55"/>
    <x v="0"/>
    <n v="249978"/>
    <x v="2"/>
  </r>
  <r>
    <x v="1"/>
    <x v="0"/>
    <x v="90"/>
    <n v="3654"/>
    <n v="27.2"/>
    <x v="7"/>
    <s v="Basin"/>
    <x v="78"/>
    <n v="56"/>
    <x v="0"/>
    <n v="200000"/>
    <x v="2"/>
  </r>
  <r>
    <x v="2"/>
    <x v="0"/>
    <x v="91"/>
    <n v="3654"/>
    <n v="27.2"/>
    <x v="7"/>
    <s v="Basin"/>
    <x v="79"/>
    <n v="54"/>
    <x v="0"/>
    <n v="4847"/>
    <x v="2"/>
  </r>
  <r>
    <x v="3"/>
    <x v="0"/>
    <x v="92"/>
    <n v="233"/>
    <n v="27"/>
    <x v="7"/>
    <s v="Basin"/>
    <x v="80"/>
    <n v="58"/>
    <x v="0"/>
    <n v="51239"/>
    <x v="2"/>
  </r>
  <r>
    <x v="4"/>
    <x v="0"/>
    <x v="64"/>
    <n v="233"/>
    <n v="27"/>
    <x v="7"/>
    <s v="Basin"/>
    <x v="81"/>
    <n v="58"/>
    <x v="0"/>
    <n v="216396"/>
    <x v="2"/>
  </r>
  <r>
    <x v="5"/>
    <x v="0"/>
    <x v="93"/>
    <n v="233"/>
    <n v="27"/>
    <x v="7"/>
    <s v="Basin"/>
    <x v="82"/>
    <n v="59"/>
    <x v="0"/>
    <n v="2644"/>
    <x v="2"/>
  </r>
  <r>
    <x v="6"/>
    <x v="0"/>
    <x v="94"/>
    <n v="234"/>
    <n v="27"/>
    <x v="7"/>
    <s v="Basin"/>
    <x v="83"/>
    <n v="50"/>
    <x v="0"/>
    <n v="44235"/>
    <x v="2"/>
  </r>
  <r>
    <x v="15"/>
    <x v="0"/>
    <x v="95"/>
    <n v="234"/>
    <n v="27"/>
    <x v="10"/>
    <s v="Basin"/>
    <x v="84"/>
    <n v="54"/>
    <x v="0"/>
    <n v="203317"/>
    <x v="2"/>
  </r>
  <r>
    <x v="0"/>
    <x v="0"/>
    <x v="96"/>
    <n v="234"/>
    <n v="27"/>
    <x v="10"/>
    <s v="Basin"/>
    <x v="85"/>
    <n v="53"/>
    <x v="0"/>
    <n v="2134"/>
    <x v="2"/>
  </r>
  <r>
    <x v="7"/>
    <x v="0"/>
    <x v="97"/>
    <n v="3105"/>
    <n v="27.2"/>
    <x v="10"/>
    <s v="Basin"/>
    <x v="86"/>
    <n v="52"/>
    <x v="0"/>
    <n v="45186"/>
    <x v="2"/>
  </r>
  <r>
    <x v="8"/>
    <x v="0"/>
    <x v="98"/>
    <n v="3105"/>
    <n v="27.2"/>
    <x v="10"/>
    <s v="Basin"/>
    <x v="87"/>
    <n v="51"/>
    <x v="0"/>
    <n v="238542"/>
    <x v="2"/>
  </r>
  <r>
    <x v="9"/>
    <x v="0"/>
    <x v="99"/>
    <n v="3105"/>
    <n v="27.2"/>
    <x v="10"/>
    <s v="Basin"/>
    <x v="88"/>
    <n v="57"/>
    <x v="0"/>
    <n v="1516"/>
    <x v="2"/>
  </r>
  <r>
    <x v="10"/>
    <x v="0"/>
    <x v="100"/>
    <n v="236"/>
    <n v="27.1"/>
    <x v="10"/>
    <s v="Basin"/>
    <x v="89"/>
    <n v="57"/>
    <x v="0"/>
    <n v="57259"/>
    <x v="2"/>
  </r>
  <r>
    <x v="11"/>
    <x v="0"/>
    <x v="101"/>
    <n v="236"/>
    <n v="27.1"/>
    <x v="10"/>
    <s v="Basin"/>
    <x v="90"/>
    <n v="60"/>
    <x v="0"/>
    <n v="234779"/>
    <x v="2"/>
  </r>
  <r>
    <x v="12"/>
    <x v="0"/>
    <x v="102"/>
    <n v="2903.1"/>
    <n v="27.1"/>
    <x v="10"/>
    <s v="Basin"/>
    <x v="91"/>
    <n v="57"/>
    <x v="0"/>
    <n v="1493"/>
    <x v="2"/>
  </r>
  <r>
    <x v="13"/>
    <x v="0"/>
    <x v="103"/>
    <n v="2903.1"/>
    <n v="26.8"/>
    <x v="10"/>
    <s v="Basin"/>
    <x v="92"/>
    <n v="57"/>
    <x v="0"/>
    <n v="64409"/>
    <x v="2"/>
  </r>
  <r>
    <x v="14"/>
    <x v="0"/>
    <x v="104"/>
    <n v="2903.1"/>
    <n v="26.8"/>
    <x v="10"/>
    <s v="Basin"/>
    <x v="93"/>
    <n v="54"/>
    <x v="0"/>
    <n v="249978"/>
    <x v="2"/>
  </r>
  <r>
    <x v="1"/>
    <x v="0"/>
    <x v="105"/>
    <n v="2996.6"/>
    <n v="26.8"/>
    <x v="10"/>
    <s v="Basin"/>
    <x v="94"/>
    <n v="54.5"/>
    <x v="0"/>
    <n v="637"/>
    <x v="2"/>
  </r>
  <r>
    <x v="2"/>
    <x v="0"/>
    <x v="106"/>
    <n v="2996.6"/>
    <n v="37"/>
    <x v="10"/>
    <s v="Basin"/>
    <x v="95"/>
    <n v="56.6"/>
    <x v="0"/>
    <n v="43311"/>
    <x v="2"/>
  </r>
  <r>
    <x v="3"/>
    <x v="0"/>
    <x v="107"/>
    <n v="2996.6"/>
    <n v="37"/>
    <x v="10"/>
    <s v="Basin"/>
    <x v="96"/>
    <n v="55.5"/>
    <x v="0"/>
    <n v="24848"/>
    <x v="2"/>
  </r>
  <r>
    <x v="4"/>
    <x v="0"/>
    <x v="108"/>
    <n v="3522.8"/>
    <n v="37"/>
    <x v="10"/>
    <s v="Basin"/>
    <x v="97"/>
    <n v="58.5"/>
    <x v="0"/>
    <n v="761"/>
    <x v="2"/>
  </r>
  <r>
    <x v="5"/>
    <x v="0"/>
    <x v="109"/>
    <n v="3522.8"/>
    <n v="38"/>
    <x v="10"/>
    <s v="Basin"/>
    <x v="98"/>
    <n v="59.5"/>
    <x v="0"/>
    <n v="45608"/>
    <x v="2"/>
  </r>
  <r>
    <x v="6"/>
    <x v="0"/>
    <x v="110"/>
    <n v="3522.8"/>
    <n v="38"/>
    <x v="10"/>
    <s v="Basin"/>
    <x v="99"/>
    <n v="55"/>
    <x v="0"/>
    <n v="234581"/>
    <x v="2"/>
  </r>
  <r>
    <x v="14"/>
    <x v="0"/>
    <x v="111"/>
    <n v="2903.1"/>
    <n v="38"/>
    <x v="10"/>
    <s v="Basin"/>
    <x v="100"/>
    <n v="53"/>
    <x v="0"/>
    <n v="646"/>
    <x v="2"/>
  </r>
  <r>
    <x v="1"/>
    <x v="0"/>
    <x v="112"/>
    <n v="2903.1"/>
    <n v="39"/>
    <x v="10"/>
    <s v="Spray"/>
    <x v="101"/>
    <n v="53.5"/>
    <x v="0"/>
    <n v="43562"/>
    <x v="2"/>
  </r>
  <r>
    <x v="2"/>
    <x v="0"/>
    <x v="113"/>
    <n v="2903.1"/>
    <n v="39"/>
    <x v="10"/>
    <s v="Spray"/>
    <x v="102"/>
    <n v="52.5"/>
    <x v="0"/>
    <n v="200000"/>
    <x v="2"/>
  </r>
  <r>
    <x v="3"/>
    <x v="0"/>
    <x v="114"/>
    <n v="2996.6"/>
    <n v="39"/>
    <x v="10"/>
    <s v="Spray"/>
    <x v="102"/>
    <n v="56"/>
    <x v="0"/>
    <n v="4847"/>
    <x v="2"/>
  </r>
  <r>
    <x v="4"/>
    <x v="0"/>
    <x v="115"/>
    <n v="2996.6"/>
    <n v="40"/>
    <x v="10"/>
    <s v="Spray"/>
    <x v="103"/>
    <n v="57"/>
    <x v="0"/>
    <n v="51239"/>
    <x v="2"/>
  </r>
  <r>
    <x v="5"/>
    <x v="0"/>
    <x v="116"/>
    <n v="2996.6"/>
    <n v="40"/>
    <x v="10"/>
    <s v="Spray"/>
    <x v="104"/>
    <n v="57.5"/>
    <x v="0"/>
    <n v="216396"/>
    <x v="2"/>
  </r>
  <r>
    <x v="6"/>
    <x v="0"/>
    <x v="117"/>
    <n v="3522.8"/>
    <n v="40"/>
    <x v="10"/>
    <s v="Spray"/>
    <x v="105"/>
    <n v="57"/>
    <x v="0"/>
    <n v="2644"/>
    <x v="2"/>
  </r>
  <r>
    <x v="15"/>
    <x v="0"/>
    <x v="118"/>
    <n v="3522.8"/>
    <n v="41"/>
    <x v="10"/>
    <s v="Spray"/>
    <x v="106"/>
    <n v="55"/>
    <x v="0"/>
    <n v="44235"/>
    <x v="2"/>
  </r>
  <r>
    <x v="0"/>
    <x v="0"/>
    <x v="119"/>
    <n v="3522.8"/>
    <n v="41"/>
    <x v="10"/>
    <s v="Spray"/>
    <x v="107"/>
    <n v="56"/>
    <x v="0"/>
    <n v="203317"/>
    <x v="2"/>
  </r>
  <r>
    <x v="7"/>
    <x v="0"/>
    <x v="120"/>
    <n v="3729.8"/>
    <n v="41"/>
    <x v="10"/>
    <s v="Spray"/>
    <x v="108"/>
    <n v="54"/>
    <x v="0"/>
    <n v="2134"/>
    <x v="2"/>
  </r>
  <r>
    <x v="8"/>
    <x v="0"/>
    <x v="12"/>
    <n v="3729.8"/>
    <n v="42"/>
    <x v="10"/>
    <s v="Spray"/>
    <x v="109"/>
    <n v="58"/>
    <x v="0"/>
    <n v="45186"/>
    <x v="2"/>
  </r>
  <r>
    <x v="9"/>
    <x v="0"/>
    <x v="121"/>
    <n v="3729.8"/>
    <n v="42"/>
    <x v="10"/>
    <s v="Spray"/>
    <x v="110"/>
    <n v="58"/>
    <x v="0"/>
    <n v="238542"/>
    <x v="2"/>
  </r>
  <r>
    <x v="10"/>
    <x v="0"/>
    <x v="122"/>
    <n v="2746.2"/>
    <n v="42"/>
    <x v="10"/>
    <s v="Spray"/>
    <x v="111"/>
    <n v="59"/>
    <x v="0"/>
    <n v="1516"/>
    <x v="2"/>
  </r>
  <r>
    <x v="11"/>
    <x v="0"/>
    <x v="123"/>
    <n v="2746.2"/>
    <n v="43"/>
    <x v="10"/>
    <s v="Spray"/>
    <x v="112"/>
    <n v="50"/>
    <x v="0"/>
    <n v="57259"/>
    <x v="2"/>
  </r>
  <r>
    <x v="12"/>
    <x v="0"/>
    <x v="9"/>
    <n v="2746.2"/>
    <n v="43"/>
    <x v="3"/>
    <s v="Spray"/>
    <x v="113"/>
    <n v="54"/>
    <x v="0"/>
    <n v="234779"/>
    <x v="2"/>
  </r>
  <r>
    <x v="13"/>
    <x v="0"/>
    <x v="124"/>
    <n v="3360"/>
    <n v="27"/>
    <x v="3"/>
    <s v="Spray"/>
    <x v="114"/>
    <n v="53"/>
    <x v="0"/>
    <n v="1493"/>
    <x v="2"/>
  </r>
  <r>
    <x v="14"/>
    <x v="0"/>
    <x v="125"/>
    <n v="3360"/>
    <n v="27"/>
    <x v="3"/>
    <s v="Spray"/>
    <x v="115"/>
    <n v="52"/>
    <x v="0"/>
    <n v="64409"/>
    <x v="2"/>
  </r>
  <r>
    <x v="1"/>
    <x v="0"/>
    <x v="126"/>
    <n v="3360"/>
    <n v="27"/>
    <x v="3"/>
    <s v="Spray"/>
    <x v="116"/>
    <n v="51"/>
    <x v="0"/>
    <n v="249978"/>
    <x v="2"/>
  </r>
  <r>
    <x v="2"/>
    <x v="0"/>
    <x v="127"/>
    <n v="3605.4"/>
    <n v="27"/>
    <x v="3"/>
    <s v="Spray"/>
    <x v="117"/>
    <n v="57"/>
    <x v="0"/>
    <n v="637"/>
    <x v="2"/>
  </r>
  <r>
    <x v="3"/>
    <x v="0"/>
    <x v="128"/>
    <n v="3605.4"/>
    <n v="27"/>
    <x v="3"/>
    <s v="Spray"/>
    <x v="118"/>
    <n v="57"/>
    <x v="0"/>
    <n v="43311"/>
    <x v="2"/>
  </r>
  <r>
    <x v="4"/>
    <x v="0"/>
    <x v="129"/>
    <n v="3605.4"/>
    <n v="27"/>
    <x v="3"/>
    <s v="Spray"/>
    <x v="119"/>
    <n v="60"/>
    <x v="0"/>
    <n v="24848"/>
    <x v="2"/>
  </r>
  <r>
    <x v="5"/>
    <x v="0"/>
    <x v="130"/>
    <n v="3512.4"/>
    <n v="27.2"/>
    <x v="3"/>
    <s v="Spray"/>
    <x v="120"/>
    <n v="57"/>
    <x v="0"/>
    <n v="761"/>
    <x v="2"/>
  </r>
  <r>
    <x v="6"/>
    <x v="0"/>
    <x v="131"/>
    <n v="3512.4"/>
    <n v="27.2"/>
    <x v="3"/>
    <s v="Spray"/>
    <x v="121"/>
    <n v="57"/>
    <x v="0"/>
    <n v="45608"/>
    <x v="2"/>
  </r>
  <r>
    <x v="13"/>
    <x v="0"/>
    <x v="132"/>
    <n v="3512.4"/>
    <n v="27.2"/>
    <x v="3"/>
    <s v="Spray"/>
    <x v="122"/>
    <n v="54"/>
    <x v="0"/>
    <n v="234581"/>
    <x v="2"/>
  </r>
  <r>
    <x v="14"/>
    <x v="0"/>
    <x v="133"/>
    <n v="3296"/>
    <n v="27"/>
    <x v="3"/>
    <s v="Spray"/>
    <x v="105"/>
    <n v="54.5"/>
    <x v="0"/>
    <n v="646"/>
    <x v="2"/>
  </r>
  <r>
    <x v="1"/>
    <x v="0"/>
    <x v="134"/>
    <n v="3296"/>
    <n v="27"/>
    <x v="3"/>
    <s v="Spray"/>
    <x v="123"/>
    <n v="56.6"/>
    <x v="0"/>
    <n v="43562"/>
    <x v="2"/>
  </r>
  <r>
    <x v="2"/>
    <x v="0"/>
    <x v="135"/>
    <n v="3296"/>
    <n v="27"/>
    <x v="3"/>
    <s v="Spray"/>
    <x v="124"/>
    <n v="55.5"/>
    <x v="0"/>
    <n v="200000"/>
    <x v="2"/>
  </r>
  <r>
    <x v="3"/>
    <x v="0"/>
    <x v="136"/>
    <n v="3550"/>
    <n v="27"/>
    <x v="3"/>
    <s v="Spray"/>
    <x v="125"/>
    <n v="58.5"/>
    <x v="0"/>
    <n v="4847"/>
    <x v="2"/>
  </r>
  <r>
    <x v="4"/>
    <x v="0"/>
    <x v="0"/>
    <n v="3550"/>
    <n v="27"/>
    <x v="3"/>
    <s v="Spray"/>
    <x v="126"/>
    <n v="59.5"/>
    <x v="0"/>
    <n v="51239"/>
    <x v="2"/>
  </r>
  <r>
    <x v="5"/>
    <x v="0"/>
    <x v="1"/>
    <n v="3550"/>
    <n v="27"/>
    <x v="3"/>
    <s v="Spray"/>
    <x v="127"/>
    <n v="55"/>
    <x v="0"/>
    <n v="216396"/>
    <x v="2"/>
  </r>
  <r>
    <x v="6"/>
    <x v="0"/>
    <x v="2"/>
    <n v="3654"/>
    <n v="27.2"/>
    <x v="3"/>
    <s v="Spray"/>
    <x v="128"/>
    <n v="53"/>
    <x v="0"/>
    <n v="2644"/>
    <x v="2"/>
  </r>
  <r>
    <x v="0"/>
    <x v="0"/>
    <x v="3"/>
    <n v="3654"/>
    <n v="27.2"/>
    <x v="3"/>
    <s v="Spray"/>
    <x v="66"/>
    <n v="53.5"/>
    <x v="0"/>
    <n v="44235"/>
    <x v="2"/>
  </r>
  <r>
    <x v="7"/>
    <x v="0"/>
    <x v="4"/>
    <n v="3654"/>
    <n v="27.2"/>
    <x v="3"/>
    <s v="Spray"/>
    <x v="129"/>
    <n v="52.5"/>
    <x v="0"/>
    <n v="203317"/>
    <x v="2"/>
  </r>
  <r>
    <x v="8"/>
    <x v="0"/>
    <x v="5"/>
    <n v="233"/>
    <n v="27.1"/>
    <x v="3"/>
    <s v="Spray"/>
    <x v="130"/>
    <n v="56"/>
    <x v="0"/>
    <n v="2134"/>
    <x v="2"/>
  </r>
  <r>
    <x v="9"/>
    <x v="0"/>
    <x v="6"/>
    <n v="233"/>
    <n v="27.1"/>
    <x v="3"/>
    <s v="Spray"/>
    <x v="131"/>
    <n v="57"/>
    <x v="0"/>
    <n v="45186"/>
    <x v="2"/>
  </r>
  <r>
    <x v="10"/>
    <x v="0"/>
    <x v="7"/>
    <n v="233"/>
    <n v="27.1"/>
    <x v="3"/>
    <s v="Spray"/>
    <x v="132"/>
    <n v="57.5"/>
    <x v="0"/>
    <n v="238542"/>
    <x v="2"/>
  </r>
  <r>
    <x v="11"/>
    <x v="0"/>
    <x v="8"/>
    <n v="234"/>
    <n v="26.8"/>
    <x v="3"/>
    <s v="Spray"/>
    <x v="124"/>
    <n v="57"/>
    <x v="0"/>
    <n v="1516"/>
    <x v="2"/>
  </r>
  <r>
    <x v="12"/>
    <x v="0"/>
    <x v="9"/>
    <n v="234"/>
    <n v="26.8"/>
    <x v="3"/>
    <s v="Spray"/>
    <x v="133"/>
    <n v="55"/>
    <x v="0"/>
    <n v="200000"/>
    <x v="2"/>
  </r>
  <r>
    <x v="13"/>
    <x v="0"/>
    <x v="10"/>
    <n v="234"/>
    <n v="26.8"/>
    <x v="3"/>
    <s v="Spray"/>
    <x v="134"/>
    <n v="56"/>
    <x v="0"/>
    <n v="4847"/>
    <x v="2"/>
  </r>
  <r>
    <x v="14"/>
    <x v="0"/>
    <x v="11"/>
    <n v="3105"/>
    <n v="37"/>
    <x v="3"/>
    <s v="Spray"/>
    <x v="135"/>
    <n v="54"/>
    <x v="0"/>
    <n v="51239"/>
    <x v="2"/>
  </r>
  <r>
    <x v="1"/>
    <x v="0"/>
    <x v="12"/>
    <n v="3105"/>
    <n v="37"/>
    <x v="3"/>
    <s v="Spray"/>
    <x v="136"/>
    <n v="58"/>
    <x v="0"/>
    <n v="216396"/>
    <x v="2"/>
  </r>
  <r>
    <x v="2"/>
    <x v="0"/>
    <x v="13"/>
    <n v="3105"/>
    <n v="37"/>
    <x v="3"/>
    <s v="Spray"/>
    <x v="137"/>
    <n v="58"/>
    <x v="0"/>
    <n v="2644"/>
    <x v="2"/>
  </r>
  <r>
    <x v="3"/>
    <x v="0"/>
    <x v="14"/>
    <n v="236"/>
    <n v="38"/>
    <x v="3"/>
    <s v="Spray"/>
    <x v="138"/>
    <n v="59"/>
    <x v="0"/>
    <n v="44235"/>
    <x v="2"/>
  </r>
  <r>
    <x v="4"/>
    <x v="0"/>
    <x v="15"/>
    <n v="236"/>
    <n v="38"/>
    <x v="3"/>
    <s v="Spray"/>
    <x v="139"/>
    <n v="50"/>
    <x v="0"/>
    <n v="203317"/>
    <x v="2"/>
  </r>
  <r>
    <x v="5"/>
    <x v="0"/>
    <x v="16"/>
    <n v="2903.1"/>
    <n v="38"/>
    <x v="3"/>
    <s v="Spray"/>
    <x v="140"/>
    <n v="54"/>
    <x v="0"/>
    <n v="2134"/>
    <x v="2"/>
  </r>
  <r>
    <x v="6"/>
    <x v="0"/>
    <x v="17"/>
    <n v="2903.1"/>
    <n v="39"/>
    <x v="3"/>
    <s v="Drip"/>
    <x v="141"/>
    <n v="53"/>
    <x v="1"/>
    <n v="45186"/>
    <x v="2"/>
  </r>
  <r>
    <x v="0"/>
    <x v="0"/>
    <x v="18"/>
    <n v="2903.1"/>
    <n v="39"/>
    <x v="3"/>
    <s v="Drip"/>
    <x v="142"/>
    <n v="52"/>
    <x v="1"/>
    <n v="238542"/>
    <x v="2"/>
  </r>
  <r>
    <x v="7"/>
    <x v="0"/>
    <x v="19"/>
    <n v="2996.6"/>
    <n v="39"/>
    <x v="3"/>
    <s v="Drip"/>
    <x v="143"/>
    <n v="51"/>
    <x v="1"/>
    <n v="1516"/>
    <x v="2"/>
  </r>
  <r>
    <x v="14"/>
    <x v="0"/>
    <x v="20"/>
    <n v="2996.6"/>
    <n v="40"/>
    <x v="3"/>
    <s v="Drip"/>
    <x v="144"/>
    <n v="57"/>
    <x v="1"/>
    <n v="57259"/>
    <x v="2"/>
  </r>
  <r>
    <x v="1"/>
    <x v="0"/>
    <x v="21"/>
    <n v="2996.6"/>
    <n v="40"/>
    <x v="3"/>
    <s v="Drip"/>
    <x v="145"/>
    <n v="57"/>
    <x v="1"/>
    <n v="234779"/>
    <x v="2"/>
  </r>
  <r>
    <x v="2"/>
    <x v="0"/>
    <x v="22"/>
    <n v="3522.8"/>
    <n v="40"/>
    <x v="3"/>
    <s v="Drip"/>
    <x v="146"/>
    <n v="60"/>
    <x v="1"/>
    <n v="1493"/>
    <x v="2"/>
  </r>
  <r>
    <x v="3"/>
    <x v="0"/>
    <x v="23"/>
    <n v="3522.8"/>
    <n v="41"/>
    <x v="3"/>
    <s v="Drip"/>
    <x v="147"/>
    <n v="57"/>
    <x v="2"/>
    <n v="64409"/>
    <x v="2"/>
  </r>
  <r>
    <x v="4"/>
    <x v="0"/>
    <x v="24"/>
    <n v="3522.8"/>
    <n v="41"/>
    <x v="19"/>
    <s v="Drip"/>
    <x v="148"/>
    <n v="57"/>
    <x v="2"/>
    <n v="249978"/>
    <x v="2"/>
  </r>
  <r>
    <x v="5"/>
    <x v="0"/>
    <x v="25"/>
    <n v="2903.1"/>
    <n v="41"/>
    <x v="19"/>
    <s v="Drip"/>
    <x v="149"/>
    <n v="54"/>
    <x v="2"/>
    <n v="637"/>
    <x v="2"/>
  </r>
  <r>
    <x v="6"/>
    <x v="1"/>
    <x v="26"/>
    <n v="2903.1"/>
    <n v="42"/>
    <x v="19"/>
    <s v="Drip"/>
    <x v="150"/>
    <n v="54.5"/>
    <x v="2"/>
    <n v="43311"/>
    <x v="2"/>
  </r>
  <r>
    <x v="0"/>
    <x v="1"/>
    <x v="27"/>
    <n v="2903.1"/>
    <n v="42"/>
    <x v="19"/>
    <s v="Drip"/>
    <x v="151"/>
    <n v="56.6"/>
    <x v="2"/>
    <n v="24848"/>
    <x v="2"/>
  </r>
  <r>
    <x v="7"/>
    <x v="1"/>
    <x v="28"/>
    <n v="2996.6"/>
    <n v="42"/>
    <x v="19"/>
    <s v="Drip"/>
    <x v="152"/>
    <n v="55.5"/>
    <x v="2"/>
    <n v="761"/>
    <x v="2"/>
  </r>
  <r>
    <x v="8"/>
    <x v="1"/>
    <x v="29"/>
    <n v="2996.6"/>
    <n v="43"/>
    <x v="19"/>
    <s v="Drip"/>
    <x v="153"/>
    <n v="58.5"/>
    <x v="2"/>
    <n v="45608"/>
    <x v="2"/>
  </r>
  <r>
    <x v="9"/>
    <x v="1"/>
    <x v="30"/>
    <n v="2996.6"/>
    <n v="27"/>
    <x v="19"/>
    <s v="Drip"/>
    <x v="154"/>
    <n v="59.5"/>
    <x v="2"/>
    <n v="234581"/>
    <x v="2"/>
  </r>
  <r>
    <x v="10"/>
    <x v="1"/>
    <x v="31"/>
    <n v="3522.8"/>
    <n v="27"/>
    <x v="19"/>
    <s v="Drip"/>
    <x v="155"/>
    <n v="55"/>
    <x v="2"/>
    <n v="646"/>
    <x v="2"/>
  </r>
  <r>
    <x v="11"/>
    <x v="1"/>
    <x v="32"/>
    <n v="3522.8"/>
    <n v="27"/>
    <x v="19"/>
    <s v="Drip"/>
    <x v="156"/>
    <n v="53"/>
    <x v="2"/>
    <n v="43562"/>
    <x v="2"/>
  </r>
  <r>
    <x v="12"/>
    <x v="1"/>
    <x v="33"/>
    <n v="3522.8"/>
    <n v="27"/>
    <x v="19"/>
    <s v="Drip"/>
    <x v="157"/>
    <n v="53.5"/>
    <x v="2"/>
    <n v="200000"/>
    <x v="2"/>
  </r>
  <r>
    <x v="13"/>
    <x v="1"/>
    <x v="34"/>
    <n v="3729.8"/>
    <n v="27"/>
    <x v="19"/>
    <s v="Drip"/>
    <x v="158"/>
    <n v="52.5"/>
    <x v="2"/>
    <n v="4847"/>
    <x v="2"/>
  </r>
  <r>
    <x v="14"/>
    <x v="1"/>
    <x v="35"/>
    <n v="3729.8"/>
    <n v="27"/>
    <x v="19"/>
    <s v="Drip"/>
    <x v="159"/>
    <n v="56"/>
    <x v="2"/>
    <n v="51239"/>
    <x v="2"/>
  </r>
  <r>
    <x v="1"/>
    <x v="1"/>
    <x v="36"/>
    <n v="3729.8"/>
    <n v="27.2"/>
    <x v="19"/>
    <s v="Drip"/>
    <x v="160"/>
    <n v="57"/>
    <x v="2"/>
    <n v="216396"/>
    <x v="2"/>
  </r>
  <r>
    <x v="2"/>
    <x v="1"/>
    <x v="37"/>
    <n v="2746.2"/>
    <n v="27.2"/>
    <x v="19"/>
    <s v="Drip"/>
    <x v="161"/>
    <n v="57.5"/>
    <x v="2"/>
    <n v="2644"/>
    <x v="2"/>
  </r>
  <r>
    <x v="3"/>
    <x v="1"/>
    <x v="38"/>
    <n v="2746.2"/>
    <n v="27.2"/>
    <x v="19"/>
    <s v="Drip"/>
    <x v="131"/>
    <n v="57"/>
    <x v="3"/>
    <n v="44235"/>
    <x v="2"/>
  </r>
  <r>
    <x v="4"/>
    <x v="1"/>
    <x v="39"/>
    <n v="2746.2"/>
    <n v="27"/>
    <x v="19"/>
    <s v="Drip"/>
    <x v="132"/>
    <n v="55"/>
    <x v="3"/>
    <n v="203317"/>
    <x v="2"/>
  </r>
  <r>
    <x v="5"/>
    <x v="1"/>
    <x v="40"/>
    <n v="3360"/>
    <n v="27"/>
    <x v="19"/>
    <s v="Drip"/>
    <x v="124"/>
    <n v="56"/>
    <x v="3"/>
    <n v="2134"/>
    <x v="2"/>
  </r>
  <r>
    <x v="6"/>
    <x v="1"/>
    <x v="41"/>
    <n v="3360"/>
    <n v="27"/>
    <x v="19"/>
    <s v="Drip"/>
    <x v="133"/>
    <n v="54"/>
    <x v="3"/>
    <n v="45186"/>
    <x v="2"/>
  </r>
  <r>
    <x v="15"/>
    <x v="1"/>
    <x v="42"/>
    <n v="3360"/>
    <n v="27"/>
    <x v="19"/>
    <s v="Drip"/>
    <x v="134"/>
    <n v="58"/>
    <x v="3"/>
    <n v="238542"/>
    <x v="2"/>
  </r>
  <r>
    <x v="0"/>
    <x v="1"/>
    <x v="43"/>
    <n v="3605.4"/>
    <n v="27"/>
    <x v="19"/>
    <s v="Drip"/>
    <x v="135"/>
    <n v="58"/>
    <x v="3"/>
    <n v="1516"/>
    <x v="2"/>
  </r>
  <r>
    <x v="1"/>
    <x v="1"/>
    <x v="44"/>
    <n v="3605.4"/>
    <n v="27"/>
    <x v="19"/>
    <s v="Drip"/>
    <x v="136"/>
    <n v="59"/>
    <x v="3"/>
    <n v="57259"/>
    <x v="2"/>
  </r>
  <r>
    <x v="2"/>
    <x v="1"/>
    <x v="45"/>
    <n v="3605.4"/>
    <n v="27.2"/>
    <x v="19"/>
    <s v="Drip"/>
    <x v="137"/>
    <n v="50"/>
    <x v="3"/>
    <n v="234779"/>
    <x v="2"/>
  </r>
  <r>
    <x v="3"/>
    <x v="7"/>
    <x v="46"/>
    <n v="3512.4"/>
    <n v="27.2"/>
    <x v="19"/>
    <s v="Drip"/>
    <x v="138"/>
    <n v="54"/>
    <x v="3"/>
    <n v="1493"/>
    <x v="2"/>
  </r>
  <r>
    <x v="4"/>
    <x v="7"/>
    <x v="47"/>
    <n v="3512.4"/>
    <n v="27.2"/>
    <x v="19"/>
    <s v="Drip"/>
    <x v="139"/>
    <n v="53"/>
    <x v="3"/>
    <n v="64409"/>
    <x v="2"/>
  </r>
  <r>
    <x v="5"/>
    <x v="7"/>
    <x v="48"/>
    <n v="3512.4"/>
    <n v="27.1"/>
    <x v="19"/>
    <s v="Drip"/>
    <x v="140"/>
    <n v="52"/>
    <x v="3"/>
    <n v="249978"/>
    <x v="2"/>
  </r>
  <r>
    <x v="6"/>
    <x v="7"/>
    <x v="49"/>
    <n v="3296"/>
    <n v="27.1"/>
    <x v="19"/>
    <s v="Drip"/>
    <x v="141"/>
    <n v="51"/>
    <x v="3"/>
    <n v="637"/>
    <x v="2"/>
  </r>
  <r>
    <x v="0"/>
    <x v="7"/>
    <x v="50"/>
    <n v="3296"/>
    <n v="27.1"/>
    <x v="19"/>
    <s v="Drip"/>
    <x v="142"/>
    <n v="57"/>
    <x v="3"/>
    <n v="43311"/>
    <x v="2"/>
  </r>
  <r>
    <x v="7"/>
    <x v="7"/>
    <x v="51"/>
    <n v="3296"/>
    <n v="26.8"/>
    <x v="19"/>
    <s v="Drip"/>
    <x v="143"/>
    <n v="57"/>
    <x v="3"/>
    <n v="24848"/>
    <x v="2"/>
  </r>
  <r>
    <x v="8"/>
    <x v="7"/>
    <x v="52"/>
    <n v="3550"/>
    <n v="26.8"/>
    <x v="19"/>
    <s v="Drip"/>
    <x v="144"/>
    <n v="60"/>
    <x v="3"/>
    <n v="761"/>
    <x v="2"/>
  </r>
  <r>
    <x v="9"/>
    <x v="7"/>
    <x v="53"/>
    <n v="3550"/>
    <n v="26.8"/>
    <x v="19"/>
    <s v="Drip"/>
    <x v="145"/>
    <n v="57"/>
    <x v="4"/>
    <n v="45608"/>
    <x v="2"/>
  </r>
  <r>
    <x v="10"/>
    <x v="7"/>
    <x v="54"/>
    <n v="3550"/>
    <n v="37"/>
    <x v="19"/>
    <s v="Drip"/>
    <x v="146"/>
    <n v="57"/>
    <x v="4"/>
    <n v="234581"/>
    <x v="2"/>
  </r>
  <r>
    <x v="11"/>
    <x v="7"/>
    <x v="55"/>
    <n v="3654"/>
    <n v="37"/>
    <x v="0"/>
    <s v="Drip"/>
    <x v="147"/>
    <n v="54"/>
    <x v="4"/>
    <n v="646"/>
    <x v="2"/>
  </r>
  <r>
    <x v="12"/>
    <x v="7"/>
    <x v="56"/>
    <n v="3654"/>
    <n v="37"/>
    <x v="0"/>
    <s v="Drip"/>
    <x v="148"/>
    <n v="54.5"/>
    <x v="4"/>
    <n v="43562"/>
    <x v="2"/>
  </r>
  <r>
    <x v="13"/>
    <x v="7"/>
    <x v="57"/>
    <n v="3654"/>
    <n v="38"/>
    <x v="0"/>
    <s v="Drip"/>
    <x v="149"/>
    <n v="56.6"/>
    <x v="4"/>
    <n v="200000"/>
    <x v="2"/>
  </r>
  <r>
    <x v="14"/>
    <x v="7"/>
    <x v="58"/>
    <n v="233"/>
    <n v="38"/>
    <x v="0"/>
    <s v="Drip"/>
    <x v="150"/>
    <n v="55.5"/>
    <x v="4"/>
    <n v="4847"/>
    <x v="2"/>
  </r>
  <r>
    <x v="1"/>
    <x v="7"/>
    <x v="59"/>
    <n v="233"/>
    <n v="38"/>
    <x v="0"/>
    <s v="Drip"/>
    <x v="151"/>
    <n v="58.5"/>
    <x v="4"/>
    <n v="51239"/>
    <x v="2"/>
  </r>
  <r>
    <x v="2"/>
    <x v="7"/>
    <x v="60"/>
    <n v="233"/>
    <n v="39"/>
    <x v="0"/>
    <s v="Drip"/>
    <x v="152"/>
    <n v="59.5"/>
    <x v="4"/>
    <n v="216396"/>
    <x v="2"/>
  </r>
  <r>
    <x v="3"/>
    <x v="7"/>
    <x v="61"/>
    <n v="234"/>
    <n v="39"/>
    <x v="0"/>
    <s v="Basin"/>
    <x v="153"/>
    <n v="55"/>
    <x v="4"/>
    <n v="2644"/>
    <x v="2"/>
  </r>
  <r>
    <x v="4"/>
    <x v="7"/>
    <x v="62"/>
    <n v="234"/>
    <n v="39"/>
    <x v="0"/>
    <s v="Basin"/>
    <x v="154"/>
    <n v="53"/>
    <x v="4"/>
    <n v="44235"/>
    <x v="2"/>
  </r>
  <r>
    <x v="5"/>
    <x v="7"/>
    <x v="63"/>
    <n v="234"/>
    <n v="40"/>
    <x v="0"/>
    <s v="Basin"/>
    <x v="155"/>
    <n v="53.5"/>
    <x v="4"/>
    <n v="203317"/>
    <x v="2"/>
  </r>
  <r>
    <x v="6"/>
    <x v="7"/>
    <x v="64"/>
    <n v="3105"/>
    <n v="40"/>
    <x v="0"/>
    <s v="Basin"/>
    <x v="156"/>
    <n v="52.5"/>
    <x v="4"/>
    <n v="2134"/>
    <x v="2"/>
  </r>
  <r>
    <x v="1"/>
    <x v="2"/>
    <x v="65"/>
    <n v="3105"/>
    <n v="40"/>
    <x v="0"/>
    <s v="Basin"/>
    <x v="157"/>
    <n v="56"/>
    <x v="4"/>
    <n v="45186"/>
    <x v="2"/>
  </r>
  <r>
    <x v="2"/>
    <x v="2"/>
    <x v="62"/>
    <n v="3105"/>
    <n v="41"/>
    <x v="0"/>
    <s v="Basin"/>
    <x v="158"/>
    <n v="57"/>
    <x v="4"/>
    <n v="238542"/>
    <x v="2"/>
  </r>
  <r>
    <x v="3"/>
    <x v="2"/>
    <x v="66"/>
    <n v="236"/>
    <n v="41"/>
    <x v="0"/>
    <s v="Basin"/>
    <x v="159"/>
    <n v="57.5"/>
    <x v="4"/>
    <n v="1516"/>
    <x v="2"/>
  </r>
  <r>
    <x v="4"/>
    <x v="2"/>
    <x v="67"/>
    <n v="236"/>
    <n v="41"/>
    <x v="0"/>
    <s v="Basin"/>
    <x v="160"/>
    <n v="57"/>
    <x v="5"/>
    <n v="200000"/>
    <x v="2"/>
  </r>
  <r>
    <x v="5"/>
    <x v="2"/>
    <x v="68"/>
    <n v="2903.1"/>
    <n v="42"/>
    <x v="0"/>
    <s v="Basin"/>
    <x v="161"/>
    <n v="55"/>
    <x v="5"/>
    <n v="4847"/>
    <x v="2"/>
  </r>
  <r>
    <x v="6"/>
    <x v="2"/>
    <x v="67"/>
    <n v="2903.1"/>
    <n v="42"/>
    <x v="0"/>
    <s v="Basin"/>
    <x v="131"/>
    <n v="56"/>
    <x v="5"/>
    <n v="51239"/>
    <x v="2"/>
  </r>
  <r>
    <x v="0"/>
    <x v="2"/>
    <x v="69"/>
    <n v="2903.1"/>
    <n v="42"/>
    <x v="0"/>
    <s v="Basin"/>
    <x v="132"/>
    <n v="54"/>
    <x v="5"/>
    <n v="216396"/>
    <x v="2"/>
  </r>
  <r>
    <x v="7"/>
    <x v="2"/>
    <x v="70"/>
    <n v="2996.6"/>
    <n v="43"/>
    <x v="0"/>
    <s v="Basin"/>
    <x v="124"/>
    <n v="58"/>
    <x v="5"/>
    <n v="2644"/>
    <x v="2"/>
  </r>
  <r>
    <x v="8"/>
    <x v="2"/>
    <x v="71"/>
    <n v="2996.6"/>
    <n v="43"/>
    <x v="0"/>
    <s v="Basin"/>
    <x v="133"/>
    <n v="58"/>
    <x v="5"/>
    <n v="44235"/>
    <x v="2"/>
  </r>
  <r>
    <x v="9"/>
    <x v="2"/>
    <x v="64"/>
    <n v="2996.6"/>
    <n v="128"/>
    <x v="0"/>
    <s v="Basin"/>
    <x v="134"/>
    <n v="59"/>
    <x v="5"/>
    <n v="203317"/>
    <x v="2"/>
  </r>
  <r>
    <x v="10"/>
    <x v="2"/>
    <x v="63"/>
    <n v="3522.8"/>
    <n v="129"/>
    <x v="0"/>
    <s v="Basin"/>
    <x v="135"/>
    <n v="50"/>
    <x v="5"/>
    <n v="2134"/>
    <x v="2"/>
  </r>
  <r>
    <x v="11"/>
    <x v="2"/>
    <x v="72"/>
    <n v="3522.8"/>
    <n v="130"/>
    <x v="0"/>
    <s v="Basin"/>
    <x v="136"/>
    <n v="54"/>
    <x v="5"/>
    <n v="45186"/>
    <x v="2"/>
  </r>
  <r>
    <x v="12"/>
    <x v="2"/>
    <x v="73"/>
    <n v="3522.8"/>
    <n v="131"/>
    <x v="0"/>
    <s v="Basin"/>
    <x v="137"/>
    <n v="53"/>
    <x v="5"/>
    <n v="238542"/>
    <x v="2"/>
  </r>
  <r>
    <x v="13"/>
    <x v="2"/>
    <x v="60"/>
    <n v="2903.1"/>
    <n v="132"/>
    <x v="0"/>
    <s v="Basin"/>
    <x v="138"/>
    <n v="52"/>
    <x v="5"/>
    <n v="1516"/>
    <x v="2"/>
  </r>
  <r>
    <x v="14"/>
    <x v="2"/>
    <x v="74"/>
    <n v="2903.1"/>
    <n v="133"/>
    <x v="0"/>
    <s v="Basin"/>
    <x v="139"/>
    <n v="51"/>
    <x v="5"/>
    <n v="57259"/>
    <x v="2"/>
  </r>
  <r>
    <x v="1"/>
    <x v="2"/>
    <x v="75"/>
    <n v="2903.1"/>
    <n v="134"/>
    <x v="0"/>
    <s v="Basin"/>
    <x v="140"/>
    <n v="57"/>
    <x v="5"/>
    <n v="234779"/>
    <x v="2"/>
  </r>
  <r>
    <x v="2"/>
    <x v="2"/>
    <x v="76"/>
    <n v="2996.6"/>
    <n v="135"/>
    <x v="0"/>
    <s v="Basin"/>
    <x v="141"/>
    <n v="57"/>
    <x v="5"/>
    <n v="1493"/>
    <x v="2"/>
  </r>
  <r>
    <x v="3"/>
    <x v="2"/>
    <x v="77"/>
    <n v="2996.6"/>
    <n v="136"/>
    <x v="0"/>
    <s v="Basin"/>
    <x v="142"/>
    <n v="60"/>
    <x v="5"/>
    <n v="64409"/>
    <x v="2"/>
  </r>
  <r>
    <x v="4"/>
    <x v="2"/>
    <x v="78"/>
    <n v="2996.6"/>
    <n v="137"/>
    <x v="0"/>
    <s v="Basin"/>
    <x v="143"/>
    <n v="57"/>
    <x v="6"/>
    <n v="249978"/>
    <x v="2"/>
  </r>
  <r>
    <x v="5"/>
    <x v="2"/>
    <x v="79"/>
    <n v="3522.8"/>
    <n v="138"/>
    <x v="0"/>
    <s v="Basin"/>
    <x v="144"/>
    <n v="57"/>
    <x v="6"/>
    <n v="637"/>
    <x v="2"/>
  </r>
  <r>
    <x v="6"/>
    <x v="2"/>
    <x v="80"/>
    <n v="3522.8"/>
    <n v="139"/>
    <x v="2"/>
    <s v="Basin"/>
    <x v="145"/>
    <n v="54"/>
    <x v="6"/>
    <n v="43311"/>
    <x v="2"/>
  </r>
  <r>
    <x v="3"/>
    <x v="2"/>
    <x v="81"/>
    <n v="3522.8"/>
    <n v="140"/>
    <x v="2"/>
    <s v="Basin"/>
    <x v="146"/>
    <n v="54.5"/>
    <x v="6"/>
    <n v="24848"/>
    <x v="2"/>
  </r>
  <r>
    <x v="4"/>
    <x v="2"/>
    <x v="82"/>
    <n v="3729.8"/>
    <n v="141"/>
    <x v="2"/>
    <s v="Basin"/>
    <x v="147"/>
    <n v="56.6"/>
    <x v="6"/>
    <n v="761"/>
    <x v="2"/>
  </r>
  <r>
    <x v="5"/>
    <x v="2"/>
    <x v="83"/>
    <n v="3729.8"/>
    <n v="142"/>
    <x v="2"/>
    <s v="Basin"/>
    <x v="148"/>
    <n v="55.5"/>
    <x v="6"/>
    <n v="45608"/>
    <x v="2"/>
  </r>
  <r>
    <x v="6"/>
    <x v="2"/>
    <x v="84"/>
    <n v="3729.8"/>
    <n v="143"/>
    <x v="2"/>
    <s v="Basin"/>
    <x v="149"/>
    <n v="58.5"/>
    <x v="6"/>
    <n v="234581"/>
    <x v="2"/>
  </r>
  <r>
    <x v="1"/>
    <x v="2"/>
    <x v="85"/>
    <n v="2746.2"/>
    <n v="144"/>
    <x v="2"/>
    <s v="Basin"/>
    <x v="150"/>
    <n v="59.5"/>
    <x v="6"/>
    <n v="646"/>
    <x v="2"/>
  </r>
  <r>
    <x v="2"/>
    <x v="2"/>
    <x v="86"/>
    <n v="2746.2"/>
    <n v="145"/>
    <x v="2"/>
    <s v="Basin"/>
    <x v="151"/>
    <n v="55"/>
    <x v="6"/>
    <n v="43562"/>
    <x v="2"/>
  </r>
  <r>
    <x v="3"/>
    <x v="2"/>
    <x v="87"/>
    <n v="2746.2"/>
    <n v="146"/>
    <x v="2"/>
    <s v="Basin"/>
    <x v="152"/>
    <n v="53"/>
    <x v="6"/>
    <n v="200000"/>
    <x v="2"/>
  </r>
  <r>
    <x v="4"/>
    <x v="2"/>
    <x v="88"/>
    <n v="3360"/>
    <n v="147"/>
    <x v="2"/>
    <s v="Basin"/>
    <x v="153"/>
    <n v="53.5"/>
    <x v="6"/>
    <n v="4847"/>
    <x v="2"/>
  </r>
  <r>
    <x v="5"/>
    <x v="2"/>
    <x v="89"/>
    <n v="3360"/>
    <n v="148"/>
    <x v="2"/>
    <s v="Basin"/>
    <x v="154"/>
    <n v="52.5"/>
    <x v="6"/>
    <n v="51239"/>
    <x v="2"/>
  </r>
  <r>
    <x v="6"/>
    <x v="2"/>
    <x v="90"/>
    <n v="3360"/>
    <n v="149"/>
    <x v="2"/>
    <s v="Basin"/>
    <x v="155"/>
    <n v="56"/>
    <x v="6"/>
    <n v="216396"/>
    <x v="2"/>
  </r>
  <r>
    <x v="0"/>
    <x v="2"/>
    <x v="91"/>
    <n v="3605.4"/>
    <n v="150"/>
    <x v="2"/>
    <s v="Basin"/>
    <x v="156"/>
    <n v="57"/>
    <x v="6"/>
    <n v="2644"/>
    <x v="2"/>
  </r>
  <r>
    <x v="7"/>
    <x v="3"/>
    <x v="92"/>
    <n v="3605.4"/>
    <n v="151"/>
    <x v="2"/>
    <s v="Basin"/>
    <x v="157"/>
    <n v="57.5"/>
    <x v="6"/>
    <n v="44235"/>
    <x v="2"/>
  </r>
  <r>
    <x v="8"/>
    <x v="3"/>
    <x v="64"/>
    <n v="2903.1"/>
    <n v="152"/>
    <x v="2"/>
    <s v="Basin"/>
    <x v="158"/>
    <n v="57"/>
    <x v="7"/>
    <n v="203317"/>
    <x v="2"/>
  </r>
  <r>
    <x v="9"/>
    <x v="3"/>
    <x v="93"/>
    <n v="2903.1"/>
    <n v="153"/>
    <x v="2"/>
    <s v="Basin"/>
    <x v="159"/>
    <n v="55"/>
    <x v="7"/>
    <n v="2134"/>
    <x v="2"/>
  </r>
  <r>
    <x v="10"/>
    <x v="3"/>
    <x v="94"/>
    <n v="2903.1"/>
    <n v="154"/>
    <x v="2"/>
    <s v="Basin"/>
    <x v="160"/>
    <n v="56"/>
    <x v="7"/>
    <n v="45186"/>
    <x v="2"/>
  </r>
  <r>
    <x v="11"/>
    <x v="3"/>
    <x v="95"/>
    <n v="2996.6"/>
    <n v="155"/>
    <x v="2"/>
    <s v="Basin"/>
    <x v="161"/>
    <n v="54"/>
    <x v="7"/>
    <n v="238542"/>
    <x v="2"/>
  </r>
  <r>
    <x v="12"/>
    <x v="3"/>
    <x v="96"/>
    <n v="2996.6"/>
    <n v="156"/>
    <x v="2"/>
    <s v="Basin"/>
    <x v="91"/>
    <n v="58"/>
    <x v="7"/>
    <n v="1516"/>
    <x v="2"/>
  </r>
  <r>
    <x v="13"/>
    <x v="3"/>
    <x v="97"/>
    <n v="2996.6"/>
    <n v="157"/>
    <x v="2"/>
    <s v="Basin"/>
    <x v="92"/>
    <n v="58"/>
    <x v="7"/>
    <n v="57259"/>
    <x v="2"/>
  </r>
  <r>
    <x v="14"/>
    <x v="3"/>
    <x v="98"/>
    <n v="3522.8"/>
    <n v="158"/>
    <x v="2"/>
    <s v="Spray"/>
    <x v="93"/>
    <n v="59"/>
    <x v="7"/>
    <n v="234779"/>
    <x v="2"/>
  </r>
  <r>
    <x v="1"/>
    <x v="3"/>
    <x v="99"/>
    <n v="3522.8"/>
    <n v="159"/>
    <x v="2"/>
    <s v="Spray"/>
    <x v="94"/>
    <n v="50"/>
    <x v="7"/>
    <n v="1493"/>
    <x v="2"/>
  </r>
  <r>
    <x v="2"/>
    <x v="3"/>
    <x v="100"/>
    <n v="3522.8"/>
    <n v="160"/>
    <x v="2"/>
    <s v="Spray"/>
    <x v="95"/>
    <n v="54"/>
    <x v="7"/>
    <n v="64409"/>
    <x v="2"/>
  </r>
  <r>
    <x v="3"/>
    <x v="3"/>
    <x v="101"/>
    <n v="3729.8"/>
    <n v="161"/>
    <x v="2"/>
    <s v="Spray"/>
    <x v="96"/>
    <n v="53"/>
    <x v="7"/>
    <n v="249978"/>
    <x v="2"/>
  </r>
  <r>
    <x v="4"/>
    <x v="3"/>
    <x v="102"/>
    <n v="2903.1"/>
    <n v="162"/>
    <x v="2"/>
    <s v="Spray"/>
    <x v="97"/>
    <n v="52"/>
    <x v="7"/>
    <n v="637"/>
    <x v="2"/>
  </r>
  <r>
    <x v="5"/>
    <x v="3"/>
    <x v="103"/>
    <n v="2903.1"/>
    <n v="163"/>
    <x v="2"/>
    <s v="Spray"/>
    <x v="98"/>
    <n v="51"/>
    <x v="7"/>
    <n v="43311"/>
    <x v="2"/>
  </r>
  <r>
    <x v="4"/>
    <x v="3"/>
    <x v="104"/>
    <n v="2903.1"/>
    <n v="164"/>
    <x v="2"/>
    <s v="Spray"/>
    <x v="99"/>
    <n v="57"/>
    <x v="7"/>
    <n v="24848"/>
    <x v="2"/>
  </r>
  <r>
    <x v="5"/>
    <x v="3"/>
    <x v="105"/>
    <n v="2996.6"/>
    <n v="165"/>
    <x v="2"/>
    <s v="Spray"/>
    <x v="100"/>
    <n v="57"/>
    <x v="7"/>
    <n v="761"/>
    <x v="2"/>
  </r>
  <r>
    <x v="6"/>
    <x v="3"/>
    <x v="106"/>
    <n v="2996.6"/>
    <n v="166"/>
    <x v="2"/>
    <s v="Spray"/>
    <x v="101"/>
    <n v="60"/>
    <x v="7"/>
    <n v="45608"/>
    <x v="2"/>
  </r>
  <r>
    <x v="1"/>
    <x v="3"/>
    <x v="107"/>
    <n v="2996.6"/>
    <n v="167"/>
    <x v="2"/>
    <s v="Spray"/>
    <x v="102"/>
    <n v="57"/>
    <x v="8"/>
    <n v="234581"/>
    <x v="2"/>
  </r>
  <r>
    <x v="2"/>
    <x v="3"/>
    <x v="108"/>
    <n v="3522.8"/>
    <n v="168"/>
    <x v="2"/>
    <s v="Spray"/>
    <x v="102"/>
    <n v="57"/>
    <x v="8"/>
    <n v="646"/>
    <x v="2"/>
  </r>
  <r>
    <x v="3"/>
    <x v="3"/>
    <x v="109"/>
    <n v="3522.8"/>
    <n v="169"/>
    <x v="2"/>
    <s v="Spray"/>
    <x v="103"/>
    <n v="54"/>
    <x v="8"/>
    <n v="43562"/>
    <x v="2"/>
  </r>
  <r>
    <x v="4"/>
    <x v="3"/>
    <x v="110"/>
    <n v="3522.8"/>
    <n v="170"/>
    <x v="2"/>
    <s v="Spray"/>
    <x v="104"/>
    <n v="54.5"/>
    <x v="8"/>
    <n v="200000"/>
    <x v="2"/>
  </r>
  <r>
    <x v="5"/>
    <x v="3"/>
    <x v="111"/>
    <n v="3729.8"/>
    <n v="171"/>
    <x v="2"/>
    <s v="Spray"/>
    <x v="105"/>
    <n v="56.6"/>
    <x v="8"/>
    <n v="4847"/>
    <x v="2"/>
  </r>
  <r>
    <x v="6"/>
    <x v="3"/>
    <x v="112"/>
    <n v="3729.8"/>
    <n v="172"/>
    <x v="2"/>
    <s v="Spray"/>
    <x v="106"/>
    <n v="55.5"/>
    <x v="8"/>
    <n v="51239"/>
    <x v="2"/>
  </r>
  <r>
    <x v="0"/>
    <x v="3"/>
    <x v="113"/>
    <n v="3729.8"/>
    <n v="173"/>
    <x v="2"/>
    <s v="Spray"/>
    <x v="107"/>
    <n v="58.5"/>
    <x v="8"/>
    <n v="216396"/>
    <x v="2"/>
  </r>
  <r>
    <x v="7"/>
    <x v="3"/>
    <x v="114"/>
    <n v="2746.2"/>
    <n v="174"/>
    <x v="2"/>
    <s v="Spray"/>
    <x v="108"/>
    <n v="59.5"/>
    <x v="8"/>
    <n v="2644"/>
    <x v="2"/>
  </r>
  <r>
    <x v="8"/>
    <x v="3"/>
    <x v="115"/>
    <n v="2746.2"/>
    <n v="175"/>
    <x v="2"/>
    <s v="Spray"/>
    <x v="109"/>
    <n v="55"/>
    <x v="8"/>
    <n v="44235"/>
    <x v="2"/>
  </r>
  <r>
    <x v="9"/>
    <x v="3"/>
    <x v="116"/>
    <n v="2746.2"/>
    <n v="176"/>
    <x v="2"/>
    <s v="Spray"/>
    <x v="110"/>
    <n v="53"/>
    <x v="8"/>
    <n v="203317"/>
    <x v="2"/>
  </r>
  <r>
    <x v="10"/>
    <x v="3"/>
    <x v="117"/>
    <n v="3360"/>
    <n v="177"/>
    <x v="2"/>
    <s v="Spray"/>
    <x v="111"/>
    <n v="53.5"/>
    <x v="8"/>
    <n v="2134"/>
    <x v="2"/>
  </r>
  <r>
    <x v="11"/>
    <x v="9"/>
    <x v="118"/>
    <n v="3360"/>
    <n v="178"/>
    <x v="27"/>
    <s v="Spray"/>
    <x v="112"/>
    <n v="52.5"/>
    <x v="8"/>
    <n v="45186"/>
    <x v="2"/>
  </r>
  <r>
    <x v="12"/>
    <x v="9"/>
    <x v="119"/>
    <n v="3360"/>
    <n v="179"/>
    <x v="27"/>
    <s v="Spray"/>
    <x v="113"/>
    <n v="56"/>
    <x v="8"/>
    <n v="238542"/>
    <x v="2"/>
  </r>
  <r>
    <x v="13"/>
    <x v="9"/>
    <x v="120"/>
    <n v="3605.4"/>
    <n v="180"/>
    <x v="27"/>
    <s v="Spray"/>
    <x v="114"/>
    <n v="57"/>
    <x v="8"/>
    <n v="1516"/>
    <x v="2"/>
  </r>
  <r>
    <x v="14"/>
    <x v="9"/>
    <x v="12"/>
    <n v="3605.4"/>
    <n v="181"/>
    <x v="27"/>
    <s v="Spray"/>
    <x v="115"/>
    <n v="57.5"/>
    <x v="8"/>
    <n v="200000"/>
    <x v="2"/>
  </r>
  <r>
    <x v="1"/>
    <x v="9"/>
    <x v="121"/>
    <n v="3605.4"/>
    <n v="182"/>
    <x v="27"/>
    <s v="Spray"/>
    <x v="116"/>
    <n v="57"/>
    <x v="9"/>
    <n v="4847"/>
    <x v="2"/>
  </r>
  <r>
    <x v="2"/>
    <x v="9"/>
    <x v="122"/>
    <n v="3512.4"/>
    <n v="183"/>
    <x v="27"/>
    <s v="Spray"/>
    <x v="117"/>
    <n v="55"/>
    <x v="9"/>
    <n v="51239"/>
    <x v="2"/>
  </r>
  <r>
    <x v="3"/>
    <x v="9"/>
    <x v="123"/>
    <n v="3512.4"/>
    <n v="184"/>
    <x v="27"/>
    <s v="Spray"/>
    <x v="118"/>
    <n v="56"/>
    <x v="9"/>
    <n v="216396"/>
    <x v="2"/>
  </r>
  <r>
    <x v="4"/>
    <x v="9"/>
    <x v="9"/>
    <n v="3512.4"/>
    <n v="185"/>
    <x v="27"/>
    <s v="Spray"/>
    <x v="119"/>
    <n v="54"/>
    <x v="9"/>
    <n v="2644"/>
    <x v="2"/>
  </r>
  <r>
    <x v="5"/>
    <x v="9"/>
    <x v="124"/>
    <n v="3296"/>
    <n v="186"/>
    <x v="27"/>
    <s v="Spray"/>
    <x v="120"/>
    <n v="58"/>
    <x v="9"/>
    <n v="44235"/>
    <x v="2"/>
  </r>
  <r>
    <x v="4"/>
    <x v="9"/>
    <x v="125"/>
    <n v="3296"/>
    <n v="187"/>
    <x v="27"/>
    <s v="Spray"/>
    <x v="121"/>
    <n v="58"/>
    <x v="9"/>
    <n v="203317"/>
    <x v="2"/>
  </r>
  <r>
    <x v="5"/>
    <x v="9"/>
    <x v="126"/>
    <n v="3296"/>
    <n v="188"/>
    <x v="27"/>
    <s v="Spray"/>
    <x v="122"/>
    <n v="59"/>
    <x v="9"/>
    <n v="2134"/>
    <x v="2"/>
  </r>
  <r>
    <x v="4"/>
    <x v="9"/>
    <x v="127"/>
    <n v="3550"/>
    <n v="189"/>
    <x v="27"/>
    <s v="Spray"/>
    <x v="105"/>
    <n v="50"/>
    <x v="9"/>
    <n v="45186"/>
    <x v="2"/>
  </r>
  <r>
    <x v="5"/>
    <x v="9"/>
    <x v="128"/>
    <n v="3550"/>
    <n v="190"/>
    <x v="27"/>
    <s v="Spray"/>
    <x v="123"/>
    <n v="54"/>
    <x v="9"/>
    <n v="238542"/>
    <x v="2"/>
  </r>
  <r>
    <x v="6"/>
    <x v="9"/>
    <x v="129"/>
    <n v="3550"/>
    <n v="191"/>
    <x v="27"/>
    <s v="Spray"/>
    <x v="91"/>
    <n v="53"/>
    <x v="9"/>
    <n v="1516"/>
    <x v="2"/>
  </r>
  <r>
    <x v="1"/>
    <x v="9"/>
    <x v="130"/>
    <n v="3654"/>
    <n v="192"/>
    <x v="27"/>
    <s v="Spray"/>
    <x v="92"/>
    <n v="52"/>
    <x v="9"/>
    <n v="57259"/>
    <x v="2"/>
  </r>
  <r>
    <x v="2"/>
    <x v="9"/>
    <x v="131"/>
    <n v="3654"/>
    <n v="193"/>
    <x v="27"/>
    <s v="Spray"/>
    <x v="93"/>
    <n v="51"/>
    <x v="9"/>
    <n v="234779"/>
    <x v="2"/>
  </r>
  <r>
    <x v="3"/>
    <x v="10"/>
    <x v="132"/>
    <n v="3654"/>
    <n v="194"/>
    <x v="27"/>
    <s v="Spray"/>
    <x v="94"/>
    <n v="57"/>
    <x v="9"/>
    <n v="1493"/>
    <x v="2"/>
  </r>
  <r>
    <x v="4"/>
    <x v="10"/>
    <x v="133"/>
    <n v="233"/>
    <n v="195"/>
    <x v="27"/>
    <s v="Spray"/>
    <x v="95"/>
    <n v="57"/>
    <x v="9"/>
    <n v="64409"/>
    <x v="2"/>
  </r>
  <r>
    <x v="5"/>
    <x v="10"/>
    <x v="134"/>
    <n v="233"/>
    <n v="196"/>
    <x v="27"/>
    <s v="Spray"/>
    <x v="96"/>
    <n v="60"/>
    <x v="9"/>
    <n v="249978"/>
    <x v="2"/>
  </r>
  <r>
    <x v="6"/>
    <x v="10"/>
    <x v="135"/>
    <n v="233"/>
    <n v="197"/>
    <x v="27"/>
    <s v="Spray"/>
    <x v="97"/>
    <n v="57"/>
    <x v="10"/>
    <n v="637"/>
    <x v="2"/>
  </r>
  <r>
    <x v="0"/>
    <x v="10"/>
    <x v="136"/>
    <n v="234"/>
    <n v="198"/>
    <x v="27"/>
    <s v="Spray"/>
    <x v="98"/>
    <n v="57"/>
    <x v="10"/>
    <n v="43311"/>
    <x v="2"/>
  </r>
  <r>
    <x v="7"/>
    <x v="10"/>
    <x v="0"/>
    <n v="234"/>
    <n v="199"/>
    <x v="27"/>
    <s v="Spray"/>
    <x v="99"/>
    <n v="54"/>
    <x v="10"/>
    <n v="24848"/>
    <x v="2"/>
  </r>
  <r>
    <x v="8"/>
    <x v="10"/>
    <x v="1"/>
    <n v="234"/>
    <n v="200"/>
    <x v="27"/>
    <s v="Spray"/>
    <x v="100"/>
    <n v="54.5"/>
    <x v="10"/>
    <n v="761"/>
    <x v="2"/>
  </r>
  <r>
    <x v="9"/>
    <x v="10"/>
    <x v="2"/>
    <n v="3105"/>
    <n v="201"/>
    <x v="27"/>
    <s v="Spray"/>
    <x v="101"/>
    <n v="56.6"/>
    <x v="10"/>
    <n v="45608"/>
    <x v="2"/>
  </r>
  <r>
    <x v="10"/>
    <x v="10"/>
    <x v="3"/>
    <n v="3105"/>
    <n v="202"/>
    <x v="27"/>
    <s v="Drip"/>
    <x v="102"/>
    <n v="55.5"/>
    <x v="10"/>
    <n v="234581"/>
    <x v="2"/>
  </r>
  <r>
    <x v="11"/>
    <x v="10"/>
    <x v="4"/>
    <n v="3105"/>
    <n v="203"/>
    <x v="27"/>
    <s v="Drip"/>
    <x v="102"/>
    <n v="58.5"/>
    <x v="10"/>
    <n v="646"/>
    <x v="2"/>
  </r>
  <r>
    <x v="12"/>
    <x v="10"/>
    <x v="5"/>
    <n v="236"/>
    <n v="204"/>
    <x v="27"/>
    <s v="Drip"/>
    <x v="103"/>
    <n v="59.5"/>
    <x v="10"/>
    <n v="43562"/>
    <x v="2"/>
  </r>
  <r>
    <x v="13"/>
    <x v="10"/>
    <x v="6"/>
    <n v="236"/>
    <n v="205"/>
    <x v="27"/>
    <s v="Drip"/>
    <x v="104"/>
    <n v="55"/>
    <x v="10"/>
    <n v="200000"/>
    <x v="2"/>
  </r>
  <r>
    <x v="14"/>
    <x v="10"/>
    <x v="7"/>
    <n v="2903.1"/>
    <n v="206"/>
    <x v="27"/>
    <s v="Drip"/>
    <x v="105"/>
    <n v="53"/>
    <x v="10"/>
    <n v="4847"/>
    <x v="2"/>
  </r>
  <r>
    <x v="1"/>
    <x v="10"/>
    <x v="8"/>
    <n v="2903.1"/>
    <n v="207"/>
    <x v="27"/>
    <s v="Drip"/>
    <x v="106"/>
    <n v="53.5"/>
    <x v="10"/>
    <n v="51239"/>
    <x v="2"/>
  </r>
  <r>
    <x v="2"/>
    <x v="10"/>
    <x v="9"/>
    <n v="2903.1"/>
    <n v="208"/>
    <x v="27"/>
    <s v="Drip"/>
    <x v="107"/>
    <n v="52.5"/>
    <x v="10"/>
    <n v="216396"/>
    <x v="2"/>
  </r>
  <r>
    <x v="3"/>
    <x v="10"/>
    <x v="10"/>
    <n v="2996.6"/>
    <n v="209"/>
    <x v="27"/>
    <s v="Drip"/>
    <x v="108"/>
    <n v="56"/>
    <x v="10"/>
    <n v="2644"/>
    <x v="2"/>
  </r>
  <r>
    <x v="4"/>
    <x v="10"/>
    <x v="11"/>
    <n v="2996.6"/>
    <n v="210"/>
    <x v="27"/>
    <s v="Drip"/>
    <x v="109"/>
    <n v="59.5"/>
    <x v="10"/>
    <n v="44235"/>
    <x v="2"/>
  </r>
  <r>
    <x v="5"/>
    <x v="10"/>
    <x v="12"/>
    <n v="2996.6"/>
    <n v="211"/>
    <x v="27"/>
    <s v="Drip"/>
    <x v="110"/>
    <n v="55"/>
    <x v="10"/>
    <n v="203317"/>
    <x v="2"/>
  </r>
  <r>
    <x v="5"/>
    <x v="10"/>
    <x v="13"/>
    <n v="3522.8"/>
    <n v="212"/>
    <x v="27"/>
    <s v="Drip"/>
    <x v="111"/>
    <n v="53"/>
    <x v="11"/>
    <n v="2134"/>
    <x v="2"/>
  </r>
  <r>
    <x v="4"/>
    <x v="10"/>
    <x v="14"/>
    <n v="3522.8"/>
    <n v="213"/>
    <x v="27"/>
    <s v="Drip"/>
    <x v="112"/>
    <n v="53.5"/>
    <x v="11"/>
    <n v="45186"/>
    <x v="2"/>
  </r>
  <r>
    <x v="5"/>
    <x v="10"/>
    <x v="15"/>
    <n v="3522.8"/>
    <n v="214"/>
    <x v="27"/>
    <s v="Drip"/>
    <x v="113"/>
    <n v="52.5"/>
    <x v="11"/>
    <n v="238542"/>
    <x v="2"/>
  </r>
  <r>
    <x v="6"/>
    <x v="10"/>
    <x v="16"/>
    <n v="3729.8"/>
    <n v="215"/>
    <x v="27"/>
    <s v="Drip"/>
    <x v="114"/>
    <n v="56"/>
    <x v="11"/>
    <n v="1516"/>
    <x v="2"/>
  </r>
  <r>
    <x v="1"/>
    <x v="10"/>
    <x v="17"/>
    <n v="3729.8"/>
    <n v="216"/>
    <x v="27"/>
    <s v="Drip"/>
    <x v="115"/>
    <n v="57"/>
    <x v="11"/>
    <n v="57259"/>
    <x v="2"/>
  </r>
  <r>
    <x v="2"/>
    <x v="10"/>
    <x v="18"/>
    <n v="3729.8"/>
    <n v="217"/>
    <x v="27"/>
    <s v="Drip"/>
    <x v="116"/>
    <n v="57.5"/>
    <x v="11"/>
    <n v="234779"/>
    <x v="2"/>
  </r>
  <r>
    <x v="3"/>
    <x v="10"/>
    <x v="19"/>
    <n v="2746.2"/>
    <n v="218"/>
    <x v="27"/>
    <s v="Drip"/>
    <x v="117"/>
    <n v="57"/>
    <x v="11"/>
    <n v="1493"/>
    <x v="2"/>
  </r>
  <r>
    <x v="4"/>
    <x v="10"/>
    <x v="20"/>
    <n v="2746.2"/>
    <n v="219"/>
    <x v="27"/>
    <s v="Drip"/>
    <x v="118"/>
    <n v="55"/>
    <x v="11"/>
    <n v="64409"/>
    <x v="2"/>
  </r>
  <r>
    <x v="5"/>
    <x v="10"/>
    <x v="21"/>
    <n v="2746.2"/>
    <n v="220"/>
    <x v="27"/>
    <s v="Drip"/>
    <x v="119"/>
    <n v="56"/>
    <x v="11"/>
    <n v="249978"/>
    <x v="2"/>
  </r>
  <r>
    <x v="6"/>
    <x v="10"/>
    <x v="22"/>
    <n v="3360"/>
    <n v="221"/>
    <x v="27"/>
    <s v="Drip"/>
    <x v="120"/>
    <n v="54"/>
    <x v="11"/>
    <n v="637"/>
    <x v="2"/>
  </r>
  <r>
    <x v="0"/>
    <x v="10"/>
    <x v="23"/>
    <n v="3360"/>
    <n v="222"/>
    <x v="27"/>
    <s v="Drip"/>
    <x v="121"/>
    <n v="58"/>
    <x v="11"/>
    <n v="43311"/>
    <x v="2"/>
  </r>
  <r>
    <x v="7"/>
    <x v="10"/>
    <x v="24"/>
    <n v="3360"/>
    <n v="27"/>
    <x v="27"/>
    <s v="Drip"/>
    <x v="122"/>
    <n v="58"/>
    <x v="11"/>
    <n v="24848"/>
    <x v="2"/>
  </r>
  <r>
    <x v="8"/>
    <x v="10"/>
    <x v="25"/>
    <n v="3605.4"/>
    <n v="27"/>
    <x v="27"/>
    <s v="Drip"/>
    <x v="105"/>
    <n v="59"/>
    <x v="11"/>
    <n v="761"/>
    <x v="2"/>
  </r>
  <r>
    <x v="9"/>
    <x v="10"/>
    <x v="26"/>
    <n v="3605.4"/>
    <n v="27"/>
    <x v="27"/>
    <s v="Drip"/>
    <x v="123"/>
    <n v="50"/>
    <x v="11"/>
    <n v="45608"/>
    <x v="2"/>
  </r>
  <r>
    <x v="10"/>
    <x v="10"/>
    <x v="27"/>
    <n v="3605.4"/>
    <n v="27"/>
    <x v="27"/>
    <s v="Drip"/>
    <x v="0"/>
    <n v="54"/>
    <x v="11"/>
    <n v="234581"/>
    <x v="2"/>
  </r>
  <r>
    <x v="11"/>
    <x v="10"/>
    <x v="28"/>
    <n v="3512.4"/>
    <n v="27"/>
    <x v="27"/>
    <s v="Drip"/>
    <x v="1"/>
    <n v="53"/>
    <x v="0"/>
    <n v="646"/>
    <x v="2"/>
  </r>
  <r>
    <x v="12"/>
    <x v="10"/>
    <x v="29"/>
    <n v="3512.4"/>
    <n v="27.2"/>
    <x v="27"/>
    <s v="Drip"/>
    <x v="2"/>
    <n v="59.5"/>
    <x v="0"/>
    <n v="43562"/>
    <x v="1"/>
  </r>
  <r>
    <x v="13"/>
    <x v="10"/>
    <x v="30"/>
    <n v="3512.4"/>
    <n v="27.2"/>
    <x v="27"/>
    <s v="Drip"/>
    <x v="3"/>
    <n v="55"/>
    <x v="0"/>
    <n v="200000"/>
    <x v="1"/>
  </r>
  <r>
    <x v="14"/>
    <x v="10"/>
    <x v="31"/>
    <n v="3296"/>
    <n v="27.2"/>
    <x v="27"/>
    <s v="Drip"/>
    <x v="4"/>
    <n v="53"/>
    <x v="0"/>
    <n v="4847"/>
    <x v="1"/>
  </r>
  <r>
    <x v="1"/>
    <x v="10"/>
    <x v="32"/>
    <n v="3296"/>
    <n v="27"/>
    <x v="27"/>
    <s v="Drip"/>
    <x v="5"/>
    <n v="53.5"/>
    <x v="0"/>
    <n v="51239"/>
    <x v="1"/>
  </r>
  <r>
    <x v="2"/>
    <x v="10"/>
    <x v="33"/>
    <n v="3296"/>
    <n v="27"/>
    <x v="27"/>
    <s v="Drip"/>
    <x v="6"/>
    <n v="52.5"/>
    <x v="0"/>
    <n v="216396"/>
    <x v="1"/>
  </r>
  <r>
    <x v="3"/>
    <x v="10"/>
    <x v="34"/>
    <n v="3550"/>
    <n v="27"/>
    <x v="27"/>
    <s v="Drip"/>
    <x v="7"/>
    <n v="56"/>
    <x v="0"/>
    <n v="2644"/>
    <x v="1"/>
  </r>
  <r>
    <x v="4"/>
    <x v="10"/>
    <x v="35"/>
    <n v="3550"/>
    <n v="27"/>
    <x v="27"/>
    <s v="Drip"/>
    <x v="8"/>
    <n v="57"/>
    <x v="0"/>
    <n v="44235"/>
    <x v="1"/>
  </r>
  <r>
    <x v="5"/>
    <x v="10"/>
    <x v="36"/>
    <n v="3550"/>
    <n v="27"/>
    <x v="27"/>
    <s v="Drip"/>
    <x v="9"/>
    <n v="57.5"/>
    <x v="0"/>
    <n v="203317"/>
    <x v="1"/>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D9736932-F732-4524-8F03-79D356BEE5DF}" name="PivotTable7"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0">
  <location ref="E41:H53" firstHeaderRow="0" firstDataRow="1" firstDataCol="1"/>
  <pivotFields count="12">
    <pivotField showAll="0">
      <items count="17">
        <item x="0"/>
        <item x="7"/>
        <item x="8"/>
        <item x="9"/>
        <item x="10"/>
        <item x="11"/>
        <item x="12"/>
        <item x="13"/>
        <item x="14"/>
        <item x="1"/>
        <item x="2"/>
        <item x="3"/>
        <item x="4"/>
        <item x="5"/>
        <item x="6"/>
        <item x="15"/>
        <item t="default"/>
      </items>
    </pivotField>
    <pivotField axis="axisRow" showAll="0">
      <items count="12">
        <item x="9"/>
        <item x="8"/>
        <item x="10"/>
        <item x="4"/>
        <item x="6"/>
        <item x="2"/>
        <item x="1"/>
        <item x="5"/>
        <item x="0"/>
        <item x="7"/>
        <item x="3"/>
        <item t="default"/>
      </items>
    </pivotField>
    <pivotField showAll="0">
      <items count="157">
        <item x="60"/>
        <item x="67"/>
        <item x="64"/>
        <item x="62"/>
        <item x="150"/>
        <item x="72"/>
        <item x="69"/>
        <item x="149"/>
        <item x="71"/>
        <item x="66"/>
        <item x="63"/>
        <item x="68"/>
        <item x="128"/>
        <item x="70"/>
        <item x="73"/>
        <item x="61"/>
        <item x="59"/>
        <item x="130"/>
        <item x="129"/>
        <item x="65"/>
        <item x="155"/>
        <item x="121"/>
        <item x="102"/>
        <item x="154"/>
        <item x="151"/>
        <item x="153"/>
        <item x="152"/>
        <item x="127"/>
        <item x="101"/>
        <item x="126"/>
        <item x="42"/>
        <item x="36"/>
        <item x="33"/>
        <item x="39"/>
        <item x="100"/>
        <item x="125"/>
        <item x="21"/>
        <item x="27"/>
        <item x="15"/>
        <item x="99"/>
        <item x="24"/>
        <item x="30"/>
        <item x="18"/>
        <item x="122"/>
        <item x="12"/>
        <item x="123"/>
        <item x="9"/>
        <item x="98"/>
        <item x="124"/>
        <item x="135"/>
        <item x="148"/>
        <item x="97"/>
        <item x="120"/>
        <item x="6"/>
        <item x="119"/>
        <item x="96"/>
        <item x="3"/>
        <item x="95"/>
        <item x="94"/>
        <item x="147"/>
        <item x="93"/>
        <item x="0"/>
        <item x="92"/>
        <item x="146"/>
        <item x="118"/>
        <item x="91"/>
        <item x="117"/>
        <item x="116"/>
        <item x="115"/>
        <item x="106"/>
        <item x="107"/>
        <item x="108"/>
        <item x="109"/>
        <item x="114"/>
        <item x="113"/>
        <item x="110"/>
        <item x="112"/>
        <item x="111"/>
        <item x="105"/>
        <item x="104"/>
        <item x="90"/>
        <item x="103"/>
        <item x="89"/>
        <item x="144"/>
        <item x="145"/>
        <item x="143"/>
        <item x="44"/>
        <item x="141"/>
        <item x="142"/>
        <item x="45"/>
        <item x="46"/>
        <item x="47"/>
        <item x="48"/>
        <item x="49"/>
        <item x="50"/>
        <item x="140"/>
        <item x="51"/>
        <item x="52"/>
        <item x="53"/>
        <item x="134"/>
        <item x="131"/>
        <item x="138"/>
        <item x="43"/>
        <item x="136"/>
        <item x="139"/>
        <item x="132"/>
        <item x="133"/>
        <item x="137"/>
        <item x="40"/>
        <item x="37"/>
        <item x="54"/>
        <item x="55"/>
        <item x="56"/>
        <item x="57"/>
        <item x="58"/>
        <item x="34"/>
        <item x="31"/>
        <item x="28"/>
        <item x="25"/>
        <item x="22"/>
        <item x="13"/>
        <item x="16"/>
        <item x="19"/>
        <item x="10"/>
        <item x="7"/>
        <item x="4"/>
        <item x="1"/>
        <item x="74"/>
        <item x="75"/>
        <item x="76"/>
        <item x="77"/>
        <item x="78"/>
        <item x="79"/>
        <item x="80"/>
        <item x="81"/>
        <item x="82"/>
        <item x="83"/>
        <item x="84"/>
        <item x="85"/>
        <item x="86"/>
        <item x="87"/>
        <item x="88"/>
        <item x="41"/>
        <item x="35"/>
        <item x="38"/>
        <item x="32"/>
        <item x="29"/>
        <item x="26"/>
        <item x="8"/>
        <item x="23"/>
        <item x="5"/>
        <item x="20"/>
        <item x="17"/>
        <item x="11"/>
        <item x="14"/>
        <item x="2"/>
        <item t="default"/>
      </items>
    </pivotField>
    <pivotField dataField="1" showAll="0"/>
    <pivotField dataField="1" showAll="0"/>
    <pivotField showAll="0">
      <items count="29">
        <item x="0"/>
        <item x="12"/>
        <item x="2"/>
        <item x="6"/>
        <item x="10"/>
        <item x="11"/>
        <item x="22"/>
        <item x="17"/>
        <item x="24"/>
        <item x="16"/>
        <item x="18"/>
        <item x="8"/>
        <item x="15"/>
        <item x="3"/>
        <item x="13"/>
        <item x="26"/>
        <item x="25"/>
        <item x="1"/>
        <item x="23"/>
        <item x="5"/>
        <item x="14"/>
        <item x="7"/>
        <item x="20"/>
        <item x="19"/>
        <item x="4"/>
        <item x="9"/>
        <item x="21"/>
        <item x="27"/>
        <item t="default"/>
      </items>
    </pivotField>
    <pivotField showAll="0"/>
    <pivotField showAll="0">
      <items count="163">
        <item x="96"/>
        <item x="60"/>
        <item x="131"/>
        <item x="67"/>
        <item x="132"/>
        <item x="69"/>
        <item x="124"/>
        <item x="64"/>
        <item x="73"/>
        <item x="62"/>
        <item x="129"/>
        <item x="130"/>
        <item x="75"/>
        <item x="70"/>
        <item x="66"/>
        <item x="72"/>
        <item x="71"/>
        <item x="68"/>
        <item x="125"/>
        <item x="123"/>
        <item x="63"/>
        <item x="74"/>
        <item x="126"/>
        <item x="128"/>
        <item x="127"/>
        <item x="105"/>
        <item x="61"/>
        <item x="76"/>
        <item x="104"/>
        <item x="137"/>
        <item x="59"/>
        <item x="103"/>
        <item x="65"/>
        <item x="122"/>
        <item x="102"/>
        <item x="36"/>
        <item x="33"/>
        <item x="42"/>
        <item x="39"/>
        <item x="27"/>
        <item x="24"/>
        <item x="15"/>
        <item x="21"/>
        <item x="30"/>
        <item x="121"/>
        <item x="101"/>
        <item x="18"/>
        <item x="154"/>
        <item x="100"/>
        <item x="12"/>
        <item x="9"/>
        <item x="98"/>
        <item x="97"/>
        <item x="135"/>
        <item x="155"/>
        <item x="153"/>
        <item x="99"/>
        <item x="152"/>
        <item x="95"/>
        <item x="6"/>
        <item x="3"/>
        <item x="93"/>
        <item x="94"/>
        <item x="147"/>
        <item x="146"/>
        <item x="151"/>
        <item x="145"/>
        <item x="143"/>
        <item x="133"/>
        <item x="142"/>
        <item x="140"/>
        <item x="0"/>
        <item x="144"/>
        <item x="92"/>
        <item x="141"/>
        <item x="134"/>
        <item x="118"/>
        <item x="109"/>
        <item x="108"/>
        <item x="138"/>
        <item x="110"/>
        <item x="119"/>
        <item x="136"/>
        <item x="120"/>
        <item x="139"/>
        <item x="116"/>
        <item x="161"/>
        <item x="111"/>
        <item x="106"/>
        <item x="112"/>
        <item x="114"/>
        <item x="107"/>
        <item x="113"/>
        <item x="115"/>
        <item x="117"/>
        <item x="160"/>
        <item x="158"/>
        <item x="156"/>
        <item x="159"/>
        <item x="157"/>
        <item x="44"/>
        <item x="45"/>
        <item x="47"/>
        <item x="48"/>
        <item x="50"/>
        <item x="37"/>
        <item x="40"/>
        <item x="43"/>
        <item x="34"/>
        <item x="31"/>
        <item x="28"/>
        <item x="25"/>
        <item x="16"/>
        <item x="22"/>
        <item x="4"/>
        <item x="7"/>
        <item x="19"/>
        <item x="1"/>
        <item x="150"/>
        <item x="10"/>
        <item x="13"/>
        <item x="46"/>
        <item x="49"/>
        <item x="51"/>
        <item x="52"/>
        <item x="53"/>
        <item x="55"/>
        <item x="56"/>
        <item x="77"/>
        <item x="78"/>
        <item x="79"/>
        <item x="57"/>
        <item x="80"/>
        <item x="82"/>
        <item x="83"/>
        <item x="84"/>
        <item x="149"/>
        <item x="54"/>
        <item x="5"/>
        <item x="58"/>
        <item x="35"/>
        <item x="2"/>
        <item x="26"/>
        <item x="23"/>
        <item x="85"/>
        <item x="41"/>
        <item x="38"/>
        <item x="32"/>
        <item x="29"/>
        <item x="20"/>
        <item x="11"/>
        <item x="8"/>
        <item x="148"/>
        <item x="86"/>
        <item x="17"/>
        <item x="14"/>
        <item x="87"/>
        <item x="88"/>
        <item x="89"/>
        <item x="90"/>
        <item x="91"/>
        <item x="81"/>
        <item t="default"/>
      </items>
    </pivotField>
    <pivotField dataField="1" showAll="0"/>
    <pivotField showAll="0">
      <items count="14">
        <item x="5"/>
        <item x="10"/>
        <item x="3"/>
        <item x="11"/>
        <item x="1"/>
        <item x="0"/>
        <item x="2"/>
        <item x="12"/>
        <item x="6"/>
        <item x="9"/>
        <item x="8"/>
        <item x="4"/>
        <item x="7"/>
        <item t="default"/>
      </items>
    </pivotField>
    <pivotField showAll="0"/>
    <pivotField showAll="0">
      <items count="4">
        <item x="0"/>
        <item x="1"/>
        <item x="2"/>
        <item t="default"/>
      </items>
    </pivotField>
  </pivotFields>
  <rowFields count="1">
    <field x="1"/>
  </rowFields>
  <rowItems count="12">
    <i>
      <x/>
    </i>
    <i>
      <x v="1"/>
    </i>
    <i>
      <x v="2"/>
    </i>
    <i>
      <x v="3"/>
    </i>
    <i>
      <x v="4"/>
    </i>
    <i>
      <x v="5"/>
    </i>
    <i>
      <x v="6"/>
    </i>
    <i>
      <x v="7"/>
    </i>
    <i>
      <x v="8"/>
    </i>
    <i>
      <x v="9"/>
    </i>
    <i>
      <x v="10"/>
    </i>
    <i t="grand">
      <x/>
    </i>
  </rowItems>
  <colFields count="1">
    <field x="-2"/>
  </colFields>
  <colItems count="3">
    <i>
      <x/>
    </i>
    <i i="1">
      <x v="1"/>
    </i>
    <i i="2">
      <x v="2"/>
    </i>
  </colItems>
  <dataFields count="3">
    <dataField name="Sum of Rainfall" fld="3" baseField="0" baseItem="0"/>
    <dataField name="Sum of Temperature" fld="4" baseField="0" baseItem="0"/>
    <dataField name="Sum of Humidity" fld="8" baseField="0" baseItem="0"/>
  </dataFields>
  <chartFormats count="3">
    <chartFormat chart="6" format="6" series="1">
      <pivotArea type="data" outline="0" fieldPosition="0">
        <references count="1">
          <reference field="4294967294" count="1" selected="0">
            <x v="0"/>
          </reference>
        </references>
      </pivotArea>
    </chartFormat>
    <chartFormat chart="6" format="7" series="1">
      <pivotArea type="data" outline="0" fieldPosition="0">
        <references count="1">
          <reference field="4294967294" count="1" selected="0">
            <x v="1"/>
          </reference>
        </references>
      </pivotArea>
    </chartFormat>
    <chartFormat chart="6" format="8" series="1">
      <pivotArea type="data" outline="0" fieldPosition="0">
        <references count="1">
          <reference field="4294967294" count="1" selected="0">
            <x v="2"/>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E8BE9002-1E26-4F94-8C0C-33B2AC54F071}" name="PivotTable4"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2">
  <location ref="B41:C45" firstHeaderRow="1" firstDataRow="1" firstDataCol="1"/>
  <pivotFields count="12">
    <pivotField showAll="0">
      <items count="17">
        <item x="0"/>
        <item x="7"/>
        <item x="8"/>
        <item x="9"/>
        <item x="10"/>
        <item x="11"/>
        <item x="12"/>
        <item x="13"/>
        <item x="14"/>
        <item x="1"/>
        <item x="2"/>
        <item x="3"/>
        <item x="4"/>
        <item x="5"/>
        <item x="6"/>
        <item x="15"/>
        <item t="default"/>
      </items>
    </pivotField>
    <pivotField showAll="0">
      <items count="12">
        <item x="9"/>
        <item x="8"/>
        <item x="10"/>
        <item x="4"/>
        <item x="6"/>
        <item x="2"/>
        <item x="1"/>
        <item x="5"/>
        <item x="0"/>
        <item x="7"/>
        <item x="3"/>
        <item t="default"/>
      </items>
    </pivotField>
    <pivotField showAll="0"/>
    <pivotField showAll="0"/>
    <pivotField showAll="0"/>
    <pivotField showAll="0">
      <items count="29">
        <item x="0"/>
        <item x="12"/>
        <item x="2"/>
        <item x="6"/>
        <item x="10"/>
        <item x="11"/>
        <item x="22"/>
        <item x="17"/>
        <item x="24"/>
        <item x="16"/>
        <item x="18"/>
        <item x="8"/>
        <item x="15"/>
        <item x="3"/>
        <item x="13"/>
        <item x="26"/>
        <item x="25"/>
        <item x="1"/>
        <item x="23"/>
        <item x="5"/>
        <item x="14"/>
        <item x="7"/>
        <item x="20"/>
        <item x="19"/>
        <item x="4"/>
        <item x="9"/>
        <item x="21"/>
        <item x="27"/>
        <item t="default"/>
      </items>
    </pivotField>
    <pivotField showAll="0"/>
    <pivotField dataField="1" showAll="0">
      <items count="163">
        <item x="96"/>
        <item x="60"/>
        <item x="131"/>
        <item x="67"/>
        <item x="132"/>
        <item x="69"/>
        <item x="124"/>
        <item x="64"/>
        <item x="73"/>
        <item x="62"/>
        <item x="129"/>
        <item x="130"/>
        <item x="75"/>
        <item x="70"/>
        <item x="66"/>
        <item x="72"/>
        <item x="71"/>
        <item x="68"/>
        <item x="125"/>
        <item x="123"/>
        <item x="63"/>
        <item x="74"/>
        <item x="126"/>
        <item x="128"/>
        <item x="127"/>
        <item x="105"/>
        <item x="61"/>
        <item x="76"/>
        <item x="104"/>
        <item x="137"/>
        <item x="59"/>
        <item x="103"/>
        <item x="65"/>
        <item x="122"/>
        <item x="102"/>
        <item x="36"/>
        <item x="33"/>
        <item x="42"/>
        <item x="39"/>
        <item x="27"/>
        <item x="24"/>
        <item x="15"/>
        <item x="21"/>
        <item x="30"/>
        <item x="121"/>
        <item x="101"/>
        <item x="18"/>
        <item x="154"/>
        <item x="100"/>
        <item x="12"/>
        <item x="9"/>
        <item x="98"/>
        <item x="97"/>
        <item x="135"/>
        <item x="155"/>
        <item x="153"/>
        <item x="99"/>
        <item x="152"/>
        <item x="95"/>
        <item x="6"/>
        <item x="3"/>
        <item x="93"/>
        <item x="94"/>
        <item x="147"/>
        <item x="146"/>
        <item x="151"/>
        <item x="145"/>
        <item x="143"/>
        <item x="133"/>
        <item x="142"/>
        <item x="140"/>
        <item x="0"/>
        <item x="144"/>
        <item x="92"/>
        <item x="141"/>
        <item x="134"/>
        <item x="118"/>
        <item x="109"/>
        <item x="108"/>
        <item x="138"/>
        <item x="110"/>
        <item x="119"/>
        <item x="136"/>
        <item x="120"/>
        <item x="139"/>
        <item x="116"/>
        <item x="161"/>
        <item x="111"/>
        <item x="106"/>
        <item x="112"/>
        <item x="114"/>
        <item x="107"/>
        <item x="113"/>
        <item x="115"/>
        <item x="117"/>
        <item x="160"/>
        <item x="158"/>
        <item x="156"/>
        <item x="159"/>
        <item x="157"/>
        <item x="44"/>
        <item x="45"/>
        <item x="47"/>
        <item x="48"/>
        <item x="50"/>
        <item x="37"/>
        <item x="40"/>
        <item x="43"/>
        <item x="34"/>
        <item x="31"/>
        <item x="28"/>
        <item x="25"/>
        <item x="16"/>
        <item x="22"/>
        <item x="4"/>
        <item x="7"/>
        <item x="19"/>
        <item x="1"/>
        <item x="150"/>
        <item x="10"/>
        <item x="13"/>
        <item x="46"/>
        <item x="49"/>
        <item x="51"/>
        <item x="52"/>
        <item x="53"/>
        <item x="55"/>
        <item x="56"/>
        <item x="77"/>
        <item x="78"/>
        <item x="79"/>
        <item x="57"/>
        <item x="80"/>
        <item x="82"/>
        <item x="83"/>
        <item x="84"/>
        <item x="149"/>
        <item x="54"/>
        <item x="5"/>
        <item x="58"/>
        <item x="35"/>
        <item x="2"/>
        <item x="26"/>
        <item x="23"/>
        <item x="85"/>
        <item x="41"/>
        <item x="38"/>
        <item x="32"/>
        <item x="29"/>
        <item x="20"/>
        <item x="11"/>
        <item x="8"/>
        <item x="148"/>
        <item x="86"/>
        <item x="17"/>
        <item x="14"/>
        <item x="87"/>
        <item x="88"/>
        <item x="89"/>
        <item x="90"/>
        <item x="91"/>
        <item x="81"/>
        <item t="default"/>
      </items>
    </pivotField>
    <pivotField showAll="0"/>
    <pivotField showAll="0">
      <items count="14">
        <item x="5"/>
        <item x="10"/>
        <item x="3"/>
        <item x="11"/>
        <item x="1"/>
        <item x="0"/>
        <item x="2"/>
        <item x="12"/>
        <item x="6"/>
        <item x="9"/>
        <item x="8"/>
        <item x="4"/>
        <item x="7"/>
        <item t="default"/>
      </items>
    </pivotField>
    <pivotField showAll="0"/>
    <pivotField axis="axisRow" showAll="0">
      <items count="4">
        <item x="0"/>
        <item x="1"/>
        <item x="2"/>
        <item t="default"/>
      </items>
    </pivotField>
  </pivotFields>
  <rowFields count="1">
    <field x="11"/>
  </rowFields>
  <rowItems count="4">
    <i>
      <x/>
    </i>
    <i>
      <x v="1"/>
    </i>
    <i>
      <x v="2"/>
    </i>
    <i t="grand">
      <x/>
    </i>
  </rowItems>
  <colItems count="1">
    <i/>
  </colItems>
  <dataFields count="1">
    <dataField name="Sum of yeilds" fld="7" baseField="0" baseItem="0"/>
  </dataFields>
  <chartFormats count="4">
    <chartFormat chart="7" format="5" series="1">
      <pivotArea type="data" outline="0" fieldPosition="0">
        <references count="1">
          <reference field="4294967294" count="1" selected="0">
            <x v="0"/>
          </reference>
        </references>
      </pivotArea>
    </chartFormat>
    <chartFormat chart="7" format="6">
      <pivotArea type="data" outline="0" fieldPosition="0">
        <references count="2">
          <reference field="4294967294" count="1" selected="0">
            <x v="0"/>
          </reference>
          <reference field="11" count="1" selected="0">
            <x v="0"/>
          </reference>
        </references>
      </pivotArea>
    </chartFormat>
    <chartFormat chart="7" format="7">
      <pivotArea type="data" outline="0" fieldPosition="0">
        <references count="2">
          <reference field="4294967294" count="1" selected="0">
            <x v="0"/>
          </reference>
          <reference field="11" count="1" selected="0">
            <x v="1"/>
          </reference>
        </references>
      </pivotArea>
    </chartFormat>
    <chartFormat chart="7" format="8">
      <pivotArea type="data" outline="0" fieldPosition="0">
        <references count="2">
          <reference field="4294967294" count="1" selected="0">
            <x v="0"/>
          </reference>
          <reference field="11" count="1" selected="0">
            <x v="2"/>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C44C0A14-6F95-4A04-B44D-C1BAC32370FD}" name="PivotTable3"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1">
  <location ref="B24:P37" firstHeaderRow="1" firstDataRow="2" firstDataCol="1"/>
  <pivotFields count="12">
    <pivotField showAll="0">
      <items count="17">
        <item x="0"/>
        <item x="7"/>
        <item x="8"/>
        <item x="9"/>
        <item x="10"/>
        <item x="11"/>
        <item x="12"/>
        <item x="13"/>
        <item x="14"/>
        <item x="1"/>
        <item x="2"/>
        <item x="3"/>
        <item x="4"/>
        <item x="5"/>
        <item x="6"/>
        <item x="15"/>
        <item t="default"/>
      </items>
    </pivotField>
    <pivotField axis="axisRow" showAll="0">
      <items count="12">
        <item x="9"/>
        <item x="8"/>
        <item x="10"/>
        <item x="4"/>
        <item x="6"/>
        <item x="2"/>
        <item x="1"/>
        <item x="5"/>
        <item x="0"/>
        <item x="7"/>
        <item x="3"/>
        <item t="default"/>
      </items>
    </pivotField>
    <pivotField showAll="0"/>
    <pivotField showAll="0"/>
    <pivotField showAll="0"/>
    <pivotField showAll="0"/>
    <pivotField showAll="0"/>
    <pivotField showAll="0">
      <items count="163">
        <item x="96"/>
        <item x="60"/>
        <item x="131"/>
        <item x="67"/>
        <item x="132"/>
        <item x="69"/>
        <item x="124"/>
        <item x="64"/>
        <item x="73"/>
        <item x="62"/>
        <item x="129"/>
        <item x="130"/>
        <item x="75"/>
        <item x="70"/>
        <item x="66"/>
        <item x="72"/>
        <item x="71"/>
        <item x="68"/>
        <item x="125"/>
        <item x="123"/>
        <item x="63"/>
        <item x="74"/>
        <item x="126"/>
        <item x="128"/>
        <item x="127"/>
        <item x="105"/>
        <item x="61"/>
        <item x="76"/>
        <item x="104"/>
        <item x="137"/>
        <item x="59"/>
        <item x="103"/>
        <item x="65"/>
        <item x="122"/>
        <item x="102"/>
        <item x="36"/>
        <item x="33"/>
        <item x="42"/>
        <item x="39"/>
        <item x="27"/>
        <item x="24"/>
        <item x="15"/>
        <item x="21"/>
        <item x="30"/>
        <item x="121"/>
        <item x="101"/>
        <item x="18"/>
        <item x="154"/>
        <item x="100"/>
        <item x="12"/>
        <item x="9"/>
        <item x="98"/>
        <item x="97"/>
        <item x="135"/>
        <item x="155"/>
        <item x="153"/>
        <item x="99"/>
        <item x="152"/>
        <item x="95"/>
        <item x="6"/>
        <item x="3"/>
        <item x="93"/>
        <item x="94"/>
        <item x="147"/>
        <item x="146"/>
        <item x="151"/>
        <item x="145"/>
        <item x="143"/>
        <item x="133"/>
        <item x="142"/>
        <item x="140"/>
        <item x="0"/>
        <item x="144"/>
        <item x="92"/>
        <item x="141"/>
        <item x="134"/>
        <item x="118"/>
        <item x="109"/>
        <item x="108"/>
        <item x="138"/>
        <item x="110"/>
        <item x="119"/>
        <item x="136"/>
        <item x="120"/>
        <item x="139"/>
        <item x="116"/>
        <item x="161"/>
        <item x="111"/>
        <item x="106"/>
        <item x="112"/>
        <item x="114"/>
        <item x="107"/>
        <item x="113"/>
        <item x="115"/>
        <item x="117"/>
        <item x="160"/>
        <item x="158"/>
        <item x="156"/>
        <item x="159"/>
        <item x="157"/>
        <item x="44"/>
        <item x="45"/>
        <item x="47"/>
        <item x="48"/>
        <item x="50"/>
        <item x="37"/>
        <item x="40"/>
        <item x="43"/>
        <item x="34"/>
        <item x="31"/>
        <item x="28"/>
        <item x="25"/>
        <item x="16"/>
        <item x="22"/>
        <item x="4"/>
        <item x="7"/>
        <item x="19"/>
        <item x="1"/>
        <item x="150"/>
        <item x="10"/>
        <item x="13"/>
        <item x="46"/>
        <item x="49"/>
        <item x="51"/>
        <item x="52"/>
        <item x="53"/>
        <item x="55"/>
        <item x="56"/>
        <item x="77"/>
        <item x="78"/>
        <item x="79"/>
        <item x="57"/>
        <item x="80"/>
        <item x="82"/>
        <item x="83"/>
        <item x="84"/>
        <item x="149"/>
        <item x="54"/>
        <item x="5"/>
        <item x="58"/>
        <item x="35"/>
        <item x="2"/>
        <item x="26"/>
        <item x="23"/>
        <item x="85"/>
        <item x="41"/>
        <item x="38"/>
        <item x="32"/>
        <item x="29"/>
        <item x="20"/>
        <item x="11"/>
        <item x="8"/>
        <item x="148"/>
        <item x="86"/>
        <item x="17"/>
        <item x="14"/>
        <item x="87"/>
        <item x="88"/>
        <item x="89"/>
        <item x="90"/>
        <item x="91"/>
        <item x="81"/>
        <item t="default"/>
      </items>
    </pivotField>
    <pivotField showAll="0"/>
    <pivotField axis="axisCol" showAll="0">
      <items count="14">
        <item x="5"/>
        <item x="10"/>
        <item x="3"/>
        <item x="11"/>
        <item x="1"/>
        <item x="0"/>
        <item x="2"/>
        <item x="12"/>
        <item x="6"/>
        <item x="9"/>
        <item x="8"/>
        <item x="4"/>
        <item x="7"/>
        <item t="default"/>
      </items>
    </pivotField>
    <pivotField dataField="1" showAll="0"/>
    <pivotField showAll="0">
      <items count="4">
        <item x="0"/>
        <item x="1"/>
        <item x="2"/>
        <item t="default"/>
      </items>
    </pivotField>
  </pivotFields>
  <rowFields count="1">
    <field x="1"/>
  </rowFields>
  <rowItems count="12">
    <i>
      <x/>
    </i>
    <i>
      <x v="1"/>
    </i>
    <i>
      <x v="2"/>
    </i>
    <i>
      <x v="3"/>
    </i>
    <i>
      <x v="4"/>
    </i>
    <i>
      <x v="5"/>
    </i>
    <i>
      <x v="6"/>
    </i>
    <i>
      <x v="7"/>
    </i>
    <i>
      <x v="8"/>
    </i>
    <i>
      <x v="9"/>
    </i>
    <i>
      <x v="10"/>
    </i>
    <i t="grand">
      <x/>
    </i>
  </rowItems>
  <colFields count="1">
    <field x="9"/>
  </colFields>
  <colItems count="14">
    <i>
      <x/>
    </i>
    <i>
      <x v="1"/>
    </i>
    <i>
      <x v="2"/>
    </i>
    <i>
      <x v="3"/>
    </i>
    <i>
      <x v="4"/>
    </i>
    <i>
      <x v="5"/>
    </i>
    <i>
      <x v="6"/>
    </i>
    <i>
      <x v="7"/>
    </i>
    <i>
      <x v="8"/>
    </i>
    <i>
      <x v="9"/>
    </i>
    <i>
      <x v="10"/>
    </i>
    <i>
      <x v="11"/>
    </i>
    <i>
      <x v="12"/>
    </i>
    <i t="grand">
      <x/>
    </i>
  </colItems>
  <dataFields count="1">
    <dataField name="Sum of price" fld="10" baseField="0" baseItem="0"/>
  </dataFields>
  <chartFormats count="13">
    <chartFormat chart="9" format="26" series="1">
      <pivotArea type="data" outline="0" fieldPosition="0">
        <references count="2">
          <reference field="4294967294" count="1" selected="0">
            <x v="0"/>
          </reference>
          <reference field="9" count="1" selected="0">
            <x v="0"/>
          </reference>
        </references>
      </pivotArea>
    </chartFormat>
    <chartFormat chart="9" format="27" series="1">
      <pivotArea type="data" outline="0" fieldPosition="0">
        <references count="2">
          <reference field="4294967294" count="1" selected="0">
            <x v="0"/>
          </reference>
          <reference field="9" count="1" selected="0">
            <x v="1"/>
          </reference>
        </references>
      </pivotArea>
    </chartFormat>
    <chartFormat chart="9" format="28" series="1">
      <pivotArea type="data" outline="0" fieldPosition="0">
        <references count="2">
          <reference field="4294967294" count="1" selected="0">
            <x v="0"/>
          </reference>
          <reference field="9" count="1" selected="0">
            <x v="2"/>
          </reference>
        </references>
      </pivotArea>
    </chartFormat>
    <chartFormat chart="9" format="29" series="1">
      <pivotArea type="data" outline="0" fieldPosition="0">
        <references count="2">
          <reference field="4294967294" count="1" selected="0">
            <x v="0"/>
          </reference>
          <reference field="9" count="1" selected="0">
            <x v="3"/>
          </reference>
        </references>
      </pivotArea>
    </chartFormat>
    <chartFormat chart="9" format="30" series="1">
      <pivotArea type="data" outline="0" fieldPosition="0">
        <references count="2">
          <reference field="4294967294" count="1" selected="0">
            <x v="0"/>
          </reference>
          <reference field="9" count="1" selected="0">
            <x v="4"/>
          </reference>
        </references>
      </pivotArea>
    </chartFormat>
    <chartFormat chart="9" format="31" series="1">
      <pivotArea type="data" outline="0" fieldPosition="0">
        <references count="2">
          <reference field="4294967294" count="1" selected="0">
            <x v="0"/>
          </reference>
          <reference field="9" count="1" selected="0">
            <x v="5"/>
          </reference>
        </references>
      </pivotArea>
    </chartFormat>
    <chartFormat chart="9" format="32" series="1">
      <pivotArea type="data" outline="0" fieldPosition="0">
        <references count="2">
          <reference field="4294967294" count="1" selected="0">
            <x v="0"/>
          </reference>
          <reference field="9" count="1" selected="0">
            <x v="6"/>
          </reference>
        </references>
      </pivotArea>
    </chartFormat>
    <chartFormat chart="9" format="33" series="1">
      <pivotArea type="data" outline="0" fieldPosition="0">
        <references count="2">
          <reference field="4294967294" count="1" selected="0">
            <x v="0"/>
          </reference>
          <reference field="9" count="1" selected="0">
            <x v="7"/>
          </reference>
        </references>
      </pivotArea>
    </chartFormat>
    <chartFormat chart="9" format="34" series="1">
      <pivotArea type="data" outline="0" fieldPosition="0">
        <references count="2">
          <reference field="4294967294" count="1" selected="0">
            <x v="0"/>
          </reference>
          <reference field="9" count="1" selected="0">
            <x v="8"/>
          </reference>
        </references>
      </pivotArea>
    </chartFormat>
    <chartFormat chart="9" format="35" series="1">
      <pivotArea type="data" outline="0" fieldPosition="0">
        <references count="2">
          <reference field="4294967294" count="1" selected="0">
            <x v="0"/>
          </reference>
          <reference field="9" count="1" selected="0">
            <x v="9"/>
          </reference>
        </references>
      </pivotArea>
    </chartFormat>
    <chartFormat chart="9" format="36" series="1">
      <pivotArea type="data" outline="0" fieldPosition="0">
        <references count="2">
          <reference field="4294967294" count="1" selected="0">
            <x v="0"/>
          </reference>
          <reference field="9" count="1" selected="0">
            <x v="10"/>
          </reference>
        </references>
      </pivotArea>
    </chartFormat>
    <chartFormat chart="9" format="37" series="1">
      <pivotArea type="data" outline="0" fieldPosition="0">
        <references count="2">
          <reference field="4294967294" count="1" selected="0">
            <x v="0"/>
          </reference>
          <reference field="9" count="1" selected="0">
            <x v="11"/>
          </reference>
        </references>
      </pivotArea>
    </chartFormat>
    <chartFormat chart="9" format="38" series="1">
      <pivotArea type="data" outline="0" fieldPosition="0">
        <references count="2">
          <reference field="4294967294" count="1" selected="0">
            <x v="0"/>
          </reference>
          <reference field="9" count="1" selected="0">
            <x v="12"/>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A6CCEE15-0D41-4B13-B20B-C34E9AE7F12E}" name="PivotTable1"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33">
  <location ref="A3:O21" firstHeaderRow="1" firstDataRow="2" firstDataCol="1"/>
  <pivotFields count="12">
    <pivotField axis="axisRow" showAll="0">
      <items count="17">
        <item x="0"/>
        <item x="7"/>
        <item x="8"/>
        <item x="9"/>
        <item x="10"/>
        <item x="11"/>
        <item x="12"/>
        <item x="13"/>
        <item x="14"/>
        <item x="1"/>
        <item x="2"/>
        <item x="3"/>
        <item x="4"/>
        <item x="5"/>
        <item x="6"/>
        <item x="15"/>
        <item t="default"/>
      </items>
    </pivotField>
    <pivotField showAll="0">
      <items count="12">
        <item x="9"/>
        <item x="8"/>
        <item x="10"/>
        <item x="4"/>
        <item x="6"/>
        <item x="2"/>
        <item x="1"/>
        <item x="5"/>
        <item x="0"/>
        <item x="7"/>
        <item x="3"/>
        <item t="default"/>
      </items>
    </pivotField>
    <pivotField showAll="0"/>
    <pivotField showAll="0"/>
    <pivotField showAll="0"/>
    <pivotField showAll="0"/>
    <pivotField showAll="0"/>
    <pivotField dataField="1" showAll="0">
      <items count="163">
        <item x="96"/>
        <item x="60"/>
        <item x="131"/>
        <item x="67"/>
        <item x="132"/>
        <item x="69"/>
        <item x="124"/>
        <item x="64"/>
        <item x="73"/>
        <item x="62"/>
        <item x="129"/>
        <item x="130"/>
        <item x="75"/>
        <item x="70"/>
        <item x="66"/>
        <item x="72"/>
        <item x="71"/>
        <item x="68"/>
        <item x="125"/>
        <item x="123"/>
        <item x="63"/>
        <item x="74"/>
        <item x="126"/>
        <item x="128"/>
        <item x="127"/>
        <item x="105"/>
        <item x="61"/>
        <item x="76"/>
        <item x="104"/>
        <item x="137"/>
        <item x="59"/>
        <item x="103"/>
        <item x="65"/>
        <item x="122"/>
        <item x="102"/>
        <item x="36"/>
        <item x="33"/>
        <item x="42"/>
        <item x="39"/>
        <item x="27"/>
        <item x="24"/>
        <item x="15"/>
        <item x="21"/>
        <item x="30"/>
        <item x="121"/>
        <item x="101"/>
        <item x="18"/>
        <item x="154"/>
        <item x="100"/>
        <item x="12"/>
        <item x="9"/>
        <item x="98"/>
        <item x="97"/>
        <item x="135"/>
        <item x="155"/>
        <item x="153"/>
        <item x="99"/>
        <item x="152"/>
        <item x="95"/>
        <item x="6"/>
        <item x="3"/>
        <item x="93"/>
        <item x="94"/>
        <item x="147"/>
        <item x="146"/>
        <item x="151"/>
        <item x="145"/>
        <item x="143"/>
        <item x="133"/>
        <item x="142"/>
        <item x="140"/>
        <item x="0"/>
        <item x="144"/>
        <item x="92"/>
        <item x="141"/>
        <item x="134"/>
        <item x="118"/>
        <item x="109"/>
        <item x="108"/>
        <item x="138"/>
        <item x="110"/>
        <item x="119"/>
        <item x="136"/>
        <item x="120"/>
        <item x="139"/>
        <item x="116"/>
        <item x="161"/>
        <item x="111"/>
        <item x="106"/>
        <item x="112"/>
        <item x="114"/>
        <item x="107"/>
        <item x="113"/>
        <item x="115"/>
        <item x="117"/>
        <item x="160"/>
        <item x="158"/>
        <item x="156"/>
        <item x="159"/>
        <item x="157"/>
        <item x="44"/>
        <item x="45"/>
        <item x="47"/>
        <item x="48"/>
        <item x="50"/>
        <item x="37"/>
        <item x="40"/>
        <item x="43"/>
        <item x="34"/>
        <item x="31"/>
        <item x="28"/>
        <item x="25"/>
        <item x="16"/>
        <item x="22"/>
        <item x="4"/>
        <item x="7"/>
        <item x="19"/>
        <item x="1"/>
        <item x="150"/>
        <item x="10"/>
        <item x="13"/>
        <item x="46"/>
        <item x="49"/>
        <item x="51"/>
        <item x="52"/>
        <item x="53"/>
        <item x="55"/>
        <item x="56"/>
        <item x="77"/>
        <item x="78"/>
        <item x="79"/>
        <item x="57"/>
        <item x="80"/>
        <item x="82"/>
        <item x="83"/>
        <item x="84"/>
        <item x="149"/>
        <item x="54"/>
        <item x="5"/>
        <item x="58"/>
        <item x="35"/>
        <item x="2"/>
        <item x="26"/>
        <item x="23"/>
        <item x="85"/>
        <item x="41"/>
        <item x="38"/>
        <item x="32"/>
        <item x="29"/>
        <item x="20"/>
        <item x="11"/>
        <item x="8"/>
        <item x="148"/>
        <item x="86"/>
        <item x="17"/>
        <item x="14"/>
        <item x="87"/>
        <item x="88"/>
        <item x="89"/>
        <item x="90"/>
        <item x="91"/>
        <item x="81"/>
        <item t="default"/>
      </items>
    </pivotField>
    <pivotField showAll="0"/>
    <pivotField axis="axisCol" showAll="0">
      <items count="14">
        <item x="5"/>
        <item x="10"/>
        <item x="3"/>
        <item x="11"/>
        <item x="1"/>
        <item x="0"/>
        <item x="2"/>
        <item x="12"/>
        <item x="6"/>
        <item x="9"/>
        <item x="8"/>
        <item x="4"/>
        <item x="7"/>
        <item t="default"/>
      </items>
    </pivotField>
    <pivotField showAll="0"/>
    <pivotField showAll="0">
      <items count="4">
        <item x="0"/>
        <item x="1"/>
        <item x="2"/>
        <item t="default"/>
      </items>
    </pivotField>
  </pivotFields>
  <rowFields count="1">
    <field x="0"/>
  </rowFields>
  <rowItems count="17">
    <i>
      <x/>
    </i>
    <i>
      <x v="1"/>
    </i>
    <i>
      <x v="2"/>
    </i>
    <i>
      <x v="3"/>
    </i>
    <i>
      <x v="4"/>
    </i>
    <i>
      <x v="5"/>
    </i>
    <i>
      <x v="6"/>
    </i>
    <i>
      <x v="7"/>
    </i>
    <i>
      <x v="8"/>
    </i>
    <i>
      <x v="9"/>
    </i>
    <i>
      <x v="10"/>
    </i>
    <i>
      <x v="11"/>
    </i>
    <i>
      <x v="12"/>
    </i>
    <i>
      <x v="13"/>
    </i>
    <i>
      <x v="14"/>
    </i>
    <i>
      <x v="15"/>
    </i>
    <i t="grand">
      <x/>
    </i>
  </rowItems>
  <colFields count="1">
    <field x="9"/>
  </colFields>
  <colItems count="14">
    <i>
      <x/>
    </i>
    <i>
      <x v="1"/>
    </i>
    <i>
      <x v="2"/>
    </i>
    <i>
      <x v="3"/>
    </i>
    <i>
      <x v="4"/>
    </i>
    <i>
      <x v="5"/>
    </i>
    <i>
      <x v="6"/>
    </i>
    <i>
      <x v="7"/>
    </i>
    <i>
      <x v="8"/>
    </i>
    <i>
      <x v="9"/>
    </i>
    <i>
      <x v="10"/>
    </i>
    <i>
      <x v="11"/>
    </i>
    <i>
      <x v="12"/>
    </i>
    <i t="grand">
      <x/>
    </i>
  </colItems>
  <dataFields count="1">
    <dataField name="Sum of yeilds" fld="7" baseField="0" baseItem="0"/>
  </dataFields>
  <chartFormats count="39">
    <chartFormat chart="28" format="78" series="1">
      <pivotArea type="data" outline="0" fieldPosition="0">
        <references count="2">
          <reference field="4294967294" count="1" selected="0">
            <x v="0"/>
          </reference>
          <reference field="9" count="1" selected="0">
            <x v="0"/>
          </reference>
        </references>
      </pivotArea>
    </chartFormat>
    <chartFormat chart="28" format="79" series="1">
      <pivotArea type="data" outline="0" fieldPosition="0">
        <references count="2">
          <reference field="4294967294" count="1" selected="0">
            <x v="0"/>
          </reference>
          <reference field="9" count="1" selected="0">
            <x v="1"/>
          </reference>
        </references>
      </pivotArea>
    </chartFormat>
    <chartFormat chart="28" format="80" series="1">
      <pivotArea type="data" outline="0" fieldPosition="0">
        <references count="2">
          <reference field="4294967294" count="1" selected="0">
            <x v="0"/>
          </reference>
          <reference field="9" count="1" selected="0">
            <x v="2"/>
          </reference>
        </references>
      </pivotArea>
    </chartFormat>
    <chartFormat chart="28" format="81" series="1">
      <pivotArea type="data" outline="0" fieldPosition="0">
        <references count="2">
          <reference field="4294967294" count="1" selected="0">
            <x v="0"/>
          </reference>
          <reference field="9" count="1" selected="0">
            <x v="3"/>
          </reference>
        </references>
      </pivotArea>
    </chartFormat>
    <chartFormat chart="28" format="82" series="1">
      <pivotArea type="data" outline="0" fieldPosition="0">
        <references count="2">
          <reference field="4294967294" count="1" selected="0">
            <x v="0"/>
          </reference>
          <reference field="9" count="1" selected="0">
            <x v="4"/>
          </reference>
        </references>
      </pivotArea>
    </chartFormat>
    <chartFormat chart="28" format="83" series="1">
      <pivotArea type="data" outline="0" fieldPosition="0">
        <references count="2">
          <reference field="4294967294" count="1" selected="0">
            <x v="0"/>
          </reference>
          <reference field="9" count="1" selected="0">
            <x v="5"/>
          </reference>
        </references>
      </pivotArea>
    </chartFormat>
    <chartFormat chart="28" format="84" series="1">
      <pivotArea type="data" outline="0" fieldPosition="0">
        <references count="2">
          <reference field="4294967294" count="1" selected="0">
            <x v="0"/>
          </reference>
          <reference field="9" count="1" selected="0">
            <x v="6"/>
          </reference>
        </references>
      </pivotArea>
    </chartFormat>
    <chartFormat chart="28" format="85" series="1">
      <pivotArea type="data" outline="0" fieldPosition="0">
        <references count="2">
          <reference field="4294967294" count="1" selected="0">
            <x v="0"/>
          </reference>
          <reference field="9" count="1" selected="0">
            <x v="7"/>
          </reference>
        </references>
      </pivotArea>
    </chartFormat>
    <chartFormat chart="28" format="86" series="1">
      <pivotArea type="data" outline="0" fieldPosition="0">
        <references count="2">
          <reference field="4294967294" count="1" selected="0">
            <x v="0"/>
          </reference>
          <reference field="9" count="1" selected="0">
            <x v="8"/>
          </reference>
        </references>
      </pivotArea>
    </chartFormat>
    <chartFormat chart="28" format="87" series="1">
      <pivotArea type="data" outline="0" fieldPosition="0">
        <references count="2">
          <reference field="4294967294" count="1" selected="0">
            <x v="0"/>
          </reference>
          <reference field="9" count="1" selected="0">
            <x v="9"/>
          </reference>
        </references>
      </pivotArea>
    </chartFormat>
    <chartFormat chart="28" format="88" series="1">
      <pivotArea type="data" outline="0" fieldPosition="0">
        <references count="2">
          <reference field="4294967294" count="1" selected="0">
            <x v="0"/>
          </reference>
          <reference field="9" count="1" selected="0">
            <x v="10"/>
          </reference>
        </references>
      </pivotArea>
    </chartFormat>
    <chartFormat chart="28" format="89" series="1">
      <pivotArea type="data" outline="0" fieldPosition="0">
        <references count="2">
          <reference field="4294967294" count="1" selected="0">
            <x v="0"/>
          </reference>
          <reference field="9" count="1" selected="0">
            <x v="11"/>
          </reference>
        </references>
      </pivotArea>
    </chartFormat>
    <chartFormat chart="28" format="90" series="1">
      <pivotArea type="data" outline="0" fieldPosition="0">
        <references count="2">
          <reference field="4294967294" count="1" selected="0">
            <x v="0"/>
          </reference>
          <reference field="9" count="1" selected="0">
            <x v="12"/>
          </reference>
        </references>
      </pivotArea>
    </chartFormat>
    <chartFormat chart="29" format="91" series="1">
      <pivotArea type="data" outline="0" fieldPosition="0">
        <references count="2">
          <reference field="4294967294" count="1" selected="0">
            <x v="0"/>
          </reference>
          <reference field="9" count="1" selected="0">
            <x v="0"/>
          </reference>
        </references>
      </pivotArea>
    </chartFormat>
    <chartFormat chart="29" format="92" series="1">
      <pivotArea type="data" outline="0" fieldPosition="0">
        <references count="2">
          <reference field="4294967294" count="1" selected="0">
            <x v="0"/>
          </reference>
          <reference field="9" count="1" selected="0">
            <x v="1"/>
          </reference>
        </references>
      </pivotArea>
    </chartFormat>
    <chartFormat chart="29" format="93" series="1">
      <pivotArea type="data" outline="0" fieldPosition="0">
        <references count="2">
          <reference field="4294967294" count="1" selected="0">
            <x v="0"/>
          </reference>
          <reference field="9" count="1" selected="0">
            <x v="2"/>
          </reference>
        </references>
      </pivotArea>
    </chartFormat>
    <chartFormat chart="29" format="94" series="1">
      <pivotArea type="data" outline="0" fieldPosition="0">
        <references count="2">
          <reference field="4294967294" count="1" selected="0">
            <x v="0"/>
          </reference>
          <reference field="9" count="1" selected="0">
            <x v="3"/>
          </reference>
        </references>
      </pivotArea>
    </chartFormat>
    <chartFormat chart="29" format="95" series="1">
      <pivotArea type="data" outline="0" fieldPosition="0">
        <references count="2">
          <reference field="4294967294" count="1" selected="0">
            <x v="0"/>
          </reference>
          <reference field="9" count="1" selected="0">
            <x v="4"/>
          </reference>
        </references>
      </pivotArea>
    </chartFormat>
    <chartFormat chart="29" format="96" series="1">
      <pivotArea type="data" outline="0" fieldPosition="0">
        <references count="2">
          <reference field="4294967294" count="1" selected="0">
            <x v="0"/>
          </reference>
          <reference field="9" count="1" selected="0">
            <x v="5"/>
          </reference>
        </references>
      </pivotArea>
    </chartFormat>
    <chartFormat chart="29" format="97" series="1">
      <pivotArea type="data" outline="0" fieldPosition="0">
        <references count="2">
          <reference field="4294967294" count="1" selected="0">
            <x v="0"/>
          </reference>
          <reference field="9" count="1" selected="0">
            <x v="6"/>
          </reference>
        </references>
      </pivotArea>
    </chartFormat>
    <chartFormat chart="29" format="98" series="1">
      <pivotArea type="data" outline="0" fieldPosition="0">
        <references count="2">
          <reference field="4294967294" count="1" selected="0">
            <x v="0"/>
          </reference>
          <reference field="9" count="1" selected="0">
            <x v="7"/>
          </reference>
        </references>
      </pivotArea>
    </chartFormat>
    <chartFormat chart="29" format="99" series="1">
      <pivotArea type="data" outline="0" fieldPosition="0">
        <references count="2">
          <reference field="4294967294" count="1" selected="0">
            <x v="0"/>
          </reference>
          <reference field="9" count="1" selected="0">
            <x v="8"/>
          </reference>
        </references>
      </pivotArea>
    </chartFormat>
    <chartFormat chart="29" format="100" series="1">
      <pivotArea type="data" outline="0" fieldPosition="0">
        <references count="2">
          <reference field="4294967294" count="1" selected="0">
            <x v="0"/>
          </reference>
          <reference field="9" count="1" selected="0">
            <x v="9"/>
          </reference>
        </references>
      </pivotArea>
    </chartFormat>
    <chartFormat chart="29" format="101" series="1">
      <pivotArea type="data" outline="0" fieldPosition="0">
        <references count="2">
          <reference field="4294967294" count="1" selected="0">
            <x v="0"/>
          </reference>
          <reference field="9" count="1" selected="0">
            <x v="10"/>
          </reference>
        </references>
      </pivotArea>
    </chartFormat>
    <chartFormat chart="29" format="102" series="1">
      <pivotArea type="data" outline="0" fieldPosition="0">
        <references count="2">
          <reference field="4294967294" count="1" selected="0">
            <x v="0"/>
          </reference>
          <reference field="9" count="1" selected="0">
            <x v="11"/>
          </reference>
        </references>
      </pivotArea>
    </chartFormat>
    <chartFormat chart="29" format="103" series="1">
      <pivotArea type="data" outline="0" fieldPosition="0">
        <references count="2">
          <reference field="4294967294" count="1" selected="0">
            <x v="0"/>
          </reference>
          <reference field="9" count="1" selected="0">
            <x v="12"/>
          </reference>
        </references>
      </pivotArea>
    </chartFormat>
    <chartFormat chart="32" format="91" series="1">
      <pivotArea type="data" outline="0" fieldPosition="0">
        <references count="2">
          <reference field="4294967294" count="1" selected="0">
            <x v="0"/>
          </reference>
          <reference field="9" count="1" selected="0">
            <x v="0"/>
          </reference>
        </references>
      </pivotArea>
    </chartFormat>
    <chartFormat chart="32" format="92" series="1">
      <pivotArea type="data" outline="0" fieldPosition="0">
        <references count="2">
          <reference field="4294967294" count="1" selected="0">
            <x v="0"/>
          </reference>
          <reference field="9" count="1" selected="0">
            <x v="1"/>
          </reference>
        </references>
      </pivotArea>
    </chartFormat>
    <chartFormat chart="32" format="93" series="1">
      <pivotArea type="data" outline="0" fieldPosition="0">
        <references count="2">
          <reference field="4294967294" count="1" selected="0">
            <x v="0"/>
          </reference>
          <reference field="9" count="1" selected="0">
            <x v="2"/>
          </reference>
        </references>
      </pivotArea>
    </chartFormat>
    <chartFormat chart="32" format="94" series="1">
      <pivotArea type="data" outline="0" fieldPosition="0">
        <references count="2">
          <reference field="4294967294" count="1" selected="0">
            <x v="0"/>
          </reference>
          <reference field="9" count="1" selected="0">
            <x v="3"/>
          </reference>
        </references>
      </pivotArea>
    </chartFormat>
    <chartFormat chart="32" format="95" series="1">
      <pivotArea type="data" outline="0" fieldPosition="0">
        <references count="2">
          <reference field="4294967294" count="1" selected="0">
            <x v="0"/>
          </reference>
          <reference field="9" count="1" selected="0">
            <x v="4"/>
          </reference>
        </references>
      </pivotArea>
    </chartFormat>
    <chartFormat chart="32" format="96" series="1">
      <pivotArea type="data" outline="0" fieldPosition="0">
        <references count="2">
          <reference field="4294967294" count="1" selected="0">
            <x v="0"/>
          </reference>
          <reference field="9" count="1" selected="0">
            <x v="5"/>
          </reference>
        </references>
      </pivotArea>
    </chartFormat>
    <chartFormat chart="32" format="97" series="1">
      <pivotArea type="data" outline="0" fieldPosition="0">
        <references count="2">
          <reference field="4294967294" count="1" selected="0">
            <x v="0"/>
          </reference>
          <reference field="9" count="1" selected="0">
            <x v="6"/>
          </reference>
        </references>
      </pivotArea>
    </chartFormat>
    <chartFormat chart="32" format="98" series="1">
      <pivotArea type="data" outline="0" fieldPosition="0">
        <references count="2">
          <reference field="4294967294" count="1" selected="0">
            <x v="0"/>
          </reference>
          <reference field="9" count="1" selected="0">
            <x v="7"/>
          </reference>
        </references>
      </pivotArea>
    </chartFormat>
    <chartFormat chart="32" format="99" series="1">
      <pivotArea type="data" outline="0" fieldPosition="0">
        <references count="2">
          <reference field="4294967294" count="1" selected="0">
            <x v="0"/>
          </reference>
          <reference field="9" count="1" selected="0">
            <x v="8"/>
          </reference>
        </references>
      </pivotArea>
    </chartFormat>
    <chartFormat chart="32" format="100" series="1">
      <pivotArea type="data" outline="0" fieldPosition="0">
        <references count="2">
          <reference field="4294967294" count="1" selected="0">
            <x v="0"/>
          </reference>
          <reference field="9" count="1" selected="0">
            <x v="9"/>
          </reference>
        </references>
      </pivotArea>
    </chartFormat>
    <chartFormat chart="32" format="101" series="1">
      <pivotArea type="data" outline="0" fieldPosition="0">
        <references count="2">
          <reference field="4294967294" count="1" selected="0">
            <x v="0"/>
          </reference>
          <reference field="9" count="1" selected="0">
            <x v="10"/>
          </reference>
        </references>
      </pivotArea>
    </chartFormat>
    <chartFormat chart="32" format="102" series="1">
      <pivotArea type="data" outline="0" fieldPosition="0">
        <references count="2">
          <reference field="4294967294" count="1" selected="0">
            <x v="0"/>
          </reference>
          <reference field="9" count="1" selected="0">
            <x v="11"/>
          </reference>
        </references>
      </pivotArea>
    </chartFormat>
    <chartFormat chart="32" format="103" series="1">
      <pivotArea type="data" outline="0" fieldPosition="0">
        <references count="2">
          <reference field="4294967294" count="1" selected="0">
            <x v="0"/>
          </reference>
          <reference field="9" count="1" selected="0">
            <x v="12"/>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C05F49FE-6378-478E-AF14-4C6EC946AD10}" name="PivotTable8"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1">
  <location ref="B51:C55" firstHeaderRow="1" firstDataRow="1" firstDataCol="1"/>
  <pivotFields count="12">
    <pivotField showAll="0">
      <items count="17">
        <item x="0"/>
        <item x="7"/>
        <item x="8"/>
        <item x="9"/>
        <item x="10"/>
        <item x="11"/>
        <item x="12"/>
        <item x="13"/>
        <item x="14"/>
        <item x="1"/>
        <item x="2"/>
        <item x="3"/>
        <item x="4"/>
        <item x="5"/>
        <item x="6"/>
        <item x="15"/>
        <item t="default"/>
      </items>
    </pivotField>
    <pivotField showAll="0">
      <items count="12">
        <item x="9"/>
        <item x="8"/>
        <item x="10"/>
        <item x="4"/>
        <item x="6"/>
        <item x="2"/>
        <item x="1"/>
        <item x="5"/>
        <item x="0"/>
        <item x="7"/>
        <item x="3"/>
        <item t="default"/>
      </items>
    </pivotField>
    <pivotField showAll="0"/>
    <pivotField showAll="0"/>
    <pivotField showAll="0"/>
    <pivotField showAll="0">
      <items count="29">
        <item x="0"/>
        <item x="12"/>
        <item x="2"/>
        <item x="6"/>
        <item x="10"/>
        <item x="11"/>
        <item x="22"/>
        <item x="17"/>
        <item x="24"/>
        <item x="16"/>
        <item x="18"/>
        <item x="8"/>
        <item x="15"/>
        <item x="3"/>
        <item x="13"/>
        <item x="26"/>
        <item x="25"/>
        <item x="1"/>
        <item x="23"/>
        <item x="5"/>
        <item x="14"/>
        <item x="7"/>
        <item x="20"/>
        <item x="19"/>
        <item x="4"/>
        <item x="9"/>
        <item x="21"/>
        <item x="27"/>
        <item t="default"/>
      </items>
    </pivotField>
    <pivotField showAll="0"/>
    <pivotField dataField="1" showAll="0">
      <items count="163">
        <item x="96"/>
        <item x="60"/>
        <item x="131"/>
        <item x="67"/>
        <item x="132"/>
        <item x="69"/>
        <item x="124"/>
        <item x="64"/>
        <item x="73"/>
        <item x="62"/>
        <item x="129"/>
        <item x="130"/>
        <item x="75"/>
        <item x="70"/>
        <item x="66"/>
        <item x="72"/>
        <item x="71"/>
        <item x="68"/>
        <item x="125"/>
        <item x="123"/>
        <item x="63"/>
        <item x="74"/>
        <item x="126"/>
        <item x="128"/>
        <item x="127"/>
        <item x="105"/>
        <item x="61"/>
        <item x="76"/>
        <item x="104"/>
        <item x="137"/>
        <item x="59"/>
        <item x="103"/>
        <item x="65"/>
        <item x="122"/>
        <item x="102"/>
        <item x="36"/>
        <item x="33"/>
        <item x="42"/>
        <item x="39"/>
        <item x="27"/>
        <item x="24"/>
        <item x="15"/>
        <item x="21"/>
        <item x="30"/>
        <item x="121"/>
        <item x="101"/>
        <item x="18"/>
        <item x="154"/>
        <item x="100"/>
        <item x="12"/>
        <item x="9"/>
        <item x="98"/>
        <item x="97"/>
        <item x="135"/>
        <item x="155"/>
        <item x="153"/>
        <item x="99"/>
        <item x="152"/>
        <item x="95"/>
        <item x="6"/>
        <item x="3"/>
        <item x="93"/>
        <item x="94"/>
        <item x="147"/>
        <item x="146"/>
        <item x="151"/>
        <item x="145"/>
        <item x="143"/>
        <item x="133"/>
        <item x="142"/>
        <item x="140"/>
        <item x="0"/>
        <item x="144"/>
        <item x="92"/>
        <item x="141"/>
        <item x="134"/>
        <item x="118"/>
        <item x="109"/>
        <item x="108"/>
        <item x="138"/>
        <item x="110"/>
        <item x="119"/>
        <item x="136"/>
        <item x="120"/>
        <item x="139"/>
        <item x="116"/>
        <item x="161"/>
        <item x="111"/>
        <item x="106"/>
        <item x="112"/>
        <item x="114"/>
        <item x="107"/>
        <item x="113"/>
        <item x="115"/>
        <item x="117"/>
        <item x="160"/>
        <item x="158"/>
        <item x="156"/>
        <item x="159"/>
        <item x="157"/>
        <item x="44"/>
        <item x="45"/>
        <item x="47"/>
        <item x="48"/>
        <item x="50"/>
        <item x="37"/>
        <item x="40"/>
        <item x="43"/>
        <item x="34"/>
        <item x="31"/>
        <item x="28"/>
        <item x="25"/>
        <item x="16"/>
        <item x="22"/>
        <item x="4"/>
        <item x="7"/>
        <item x="19"/>
        <item x="1"/>
        <item x="150"/>
        <item x="10"/>
        <item x="13"/>
        <item x="46"/>
        <item x="49"/>
        <item x="51"/>
        <item x="52"/>
        <item x="53"/>
        <item x="55"/>
        <item x="56"/>
        <item x="77"/>
        <item x="78"/>
        <item x="79"/>
        <item x="57"/>
        <item x="80"/>
        <item x="82"/>
        <item x="83"/>
        <item x="84"/>
        <item x="149"/>
        <item x="54"/>
        <item x="5"/>
        <item x="58"/>
        <item x="35"/>
        <item x="2"/>
        <item x="26"/>
        <item x="23"/>
        <item x="85"/>
        <item x="41"/>
        <item x="38"/>
        <item x="32"/>
        <item x="29"/>
        <item x="20"/>
        <item x="11"/>
        <item x="8"/>
        <item x="148"/>
        <item x="86"/>
        <item x="17"/>
        <item x="14"/>
        <item x="87"/>
        <item x="88"/>
        <item x="89"/>
        <item x="90"/>
        <item x="91"/>
        <item x="81"/>
        <item t="default"/>
      </items>
    </pivotField>
    <pivotField showAll="0"/>
    <pivotField axis="axisRow" showAll="0">
      <items count="14">
        <item x="5"/>
        <item x="10"/>
        <item x="3"/>
        <item x="11"/>
        <item x="1"/>
        <item x="0"/>
        <item x="2"/>
        <item x="12"/>
        <item x="6"/>
        <item x="9"/>
        <item x="8"/>
        <item x="4"/>
        <item x="7"/>
        <item t="default"/>
      </items>
    </pivotField>
    <pivotField showAll="0"/>
    <pivotField axis="axisRow" showAll="0">
      <items count="4">
        <item sd="0" x="0"/>
        <item sd="0" x="1"/>
        <item sd="0" x="2"/>
        <item t="default"/>
      </items>
    </pivotField>
  </pivotFields>
  <rowFields count="2">
    <field x="11"/>
    <field x="9"/>
  </rowFields>
  <rowItems count="4">
    <i>
      <x/>
    </i>
    <i>
      <x v="1"/>
    </i>
    <i>
      <x v="2"/>
    </i>
    <i t="grand">
      <x/>
    </i>
  </rowItems>
  <colItems count="1">
    <i/>
  </colItems>
  <dataFields count="1">
    <dataField name="Sum of yeilds" fld="7" baseField="0" baseItem="0"/>
  </dataFields>
  <chartFormats count="1">
    <chartFormat chart="9" format="3"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Year" xr10:uid="{F65E8D40-4DFE-477D-AB7C-AEB3FFFA3DC7}" sourceName="Year">
  <pivotTables>
    <pivotTable tabId="4" name="PivotTable4"/>
    <pivotTable tabId="4" name="PivotTable1"/>
    <pivotTable tabId="4" name="PivotTable3"/>
    <pivotTable tabId="4" name="PivotTable7"/>
    <pivotTable tabId="4" name="PivotTable8"/>
  </pivotTables>
  <data>
    <tabular pivotCacheId="1512665016">
      <items count="16">
        <i x="0" s="1"/>
        <i x="7" s="1"/>
        <i x="8" s="1"/>
        <i x="9" s="1"/>
        <i x="10" s="1"/>
        <i x="11" s="1"/>
        <i x="12" s="1"/>
        <i x="13" s="1"/>
        <i x="14" s="1"/>
        <i x="1" s="1"/>
        <i x="2" s="1"/>
        <i x="3" s="1"/>
        <i x="4" s="1"/>
        <i x="5" s="1"/>
        <i x="6" s="1"/>
        <i x="15"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Location" xr10:uid="{628B1F0E-5EBF-4705-9927-246EA28CA9BE}" sourceName="Location">
  <pivotTables>
    <pivotTable tabId="4" name="PivotTable4"/>
    <pivotTable tabId="4" name="PivotTable1"/>
    <pivotTable tabId="4" name="PivotTable3"/>
    <pivotTable tabId="4" name="PivotTable7"/>
    <pivotTable tabId="4" name="PivotTable8"/>
  </pivotTables>
  <data>
    <tabular pivotCacheId="1512665016">
      <items count="11">
        <i x="9" s="1"/>
        <i x="8" s="1"/>
        <i x="10" s="1"/>
        <i x="4" s="1"/>
        <i x="6" s="1"/>
        <i x="2" s="1"/>
        <i x="1" s="1"/>
        <i x="5" s="1"/>
        <i x="0" s="1"/>
        <i x="7" s="1"/>
        <i x="3" s="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Season" xr10:uid="{1AA4F245-0ECF-48C4-855C-597615C1956E}" sourceName="Season">
  <pivotTables>
    <pivotTable tabId="4" name="PivotTable4"/>
    <pivotTable tabId="4" name="PivotTable1"/>
    <pivotTable tabId="4" name="PivotTable3"/>
    <pivotTable tabId="4" name="PivotTable7"/>
    <pivotTable tabId="4" name="PivotTable8"/>
  </pivotTables>
  <data>
    <tabular pivotCacheId="1512665016">
      <items count="3">
        <i x="0" s="1"/>
        <i x="1" s="1"/>
        <i x="2"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Year 1" xr10:uid="{B2E9C10E-EBA5-4EAC-8CA2-300E2CDFB6C0}" cache="Slicer_Year" caption="Year" columnCount="2" style="SlicerStyleDark1" rowHeight="247650"/>
  <slicer name="Location" xr10:uid="{9287F3D3-17F1-4A41-87D2-DAAF6DD2FB55}" cache="Slicer_Location" caption="Location" style="SlicerStyleDark1" rowHeight="247650"/>
  <slicer name="Season" xr10:uid="{F26622D4-29E2-4A98-9A4C-A47386589C0F}" cache="Slicer_Season" caption="Season" showCaption="0" style="SlicerStyleDark1" rowHeight="180000"/>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3D266CE9-5503-4BE9-A783-8DE102C899DF}" name="Table3" displayName="Table3" ref="A1:L3159" totalsRowShown="0">
  <autoFilter ref="A1:L3159" xr:uid="{3D266CE9-5503-4BE9-A783-8DE102C899DF}">
    <filterColumn colId="5">
      <customFilters>
        <customFilter operator="notEqual" val=" "/>
      </customFilters>
    </filterColumn>
  </autoFilter>
  <tableColumns count="12">
    <tableColumn id="1" xr3:uid="{A6DEB586-8923-4B26-AE96-D72CD043ECAF}" name="Year"/>
    <tableColumn id="2" xr3:uid="{D59F38C8-2716-41A6-B5E2-6F8CCF096290}" name="Location"/>
    <tableColumn id="3" xr3:uid="{BA080A2B-6D75-4BE3-9CF5-87236B7B01E8}" name="Area"/>
    <tableColumn id="4" xr3:uid="{A2F819EA-21DE-4A04-8845-5BC01F183652}" name="Rainfall"/>
    <tableColumn id="5" xr3:uid="{B2147703-A301-43C1-92CD-10B1654249D4}" name="Temperature"/>
    <tableColumn id="6" xr3:uid="{4A5BD014-A553-4B45-AF09-F791B03DFE7E}" name="Soil type"/>
    <tableColumn id="7" xr3:uid="{86191DE8-26C5-41EC-927A-B96A854B1C5B}" name="Irrigation"/>
    <tableColumn id="8" xr3:uid="{FA75119E-8686-4E44-982D-5F4DB191DE11}" name="yeilds"/>
    <tableColumn id="9" xr3:uid="{4E47DBFC-0A86-4105-830F-6E04110BE3E2}" name="Humidity"/>
    <tableColumn id="10" xr3:uid="{2C288F13-4AF6-4B2B-A744-1CAA4CFF116E}" name="Crops"/>
    <tableColumn id="11" xr3:uid="{B8A2BDFF-8FCC-4F0F-9125-898B864354C7}" name="price"/>
    <tableColumn id="12" xr3:uid="{5F8FCA80-095A-4DAE-B08D-F188A7A102B2}" name="Season"/>
  </tableColumns>
  <tableStyleInfo name="TableStyleMedium4" showFirstColumn="0" showLastColumn="0" showRowStripes="1" showColumnStripes="0"/>
</table>
</file>

<file path=xl/theme/theme1.xml><?xml version="1.0" encoding="utf-8"?>
<a:theme xmlns:a="http://schemas.openxmlformats.org/drawingml/2006/main" name="Office Theme">
  <a:themeElements>
    <a:clrScheme name="Green">
      <a:dk1>
        <a:sysClr val="windowText" lastClr="000000"/>
      </a:dk1>
      <a:lt1>
        <a:sysClr val="window" lastClr="FFFFFF"/>
      </a:lt1>
      <a:dk2>
        <a:srgbClr val="455F51"/>
      </a:dk2>
      <a:lt2>
        <a:srgbClr val="E3DED1"/>
      </a:lt2>
      <a:accent1>
        <a:srgbClr val="549E39"/>
      </a:accent1>
      <a:accent2>
        <a:srgbClr val="8AB833"/>
      </a:accent2>
      <a:accent3>
        <a:srgbClr val="C0CF3A"/>
      </a:accent3>
      <a:accent4>
        <a:srgbClr val="029676"/>
      </a:accent4>
      <a:accent5>
        <a:srgbClr val="4AB5C4"/>
      </a:accent5>
      <a:accent6>
        <a:srgbClr val="0989B1"/>
      </a:accent6>
      <a:hlink>
        <a:srgbClr val="6B9F25"/>
      </a:hlink>
      <a:folHlink>
        <a:srgbClr val="BA6906"/>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_rels/sheet2.xml.rels><?xml version="1.0" encoding="UTF-8" standalone="yes"?>
<Relationships xmlns="http://schemas.openxmlformats.org/package/2006/relationships"><Relationship Id="rId3" Type="http://schemas.openxmlformats.org/officeDocument/2006/relationships/pivotTable" Target="../pivotTables/pivotTable3.xml"/><Relationship Id="rId2" Type="http://schemas.openxmlformats.org/officeDocument/2006/relationships/pivotTable" Target="../pivotTables/pivotTable2.xml"/><Relationship Id="rId1" Type="http://schemas.openxmlformats.org/officeDocument/2006/relationships/pivotTable" Target="../pivotTables/pivotTable1.xml"/><Relationship Id="rId5" Type="http://schemas.openxmlformats.org/officeDocument/2006/relationships/pivotTable" Target="../pivotTables/pivotTable5.xml"/><Relationship Id="rId4" Type="http://schemas.openxmlformats.org/officeDocument/2006/relationships/pivotTable" Target="../pivotTables/pivotTable4.xml"/></Relationships>
</file>

<file path=xl/worksheets/_rels/sheet3.xml.rels><?xml version="1.0" encoding="UTF-8" standalone="yes"?>
<Relationships xmlns="http://schemas.openxmlformats.org/package/2006/relationships"><Relationship Id="rId3" Type="http://schemas.microsoft.com/office/2007/relationships/slicer" Target="../slicers/slicer1.xml"/><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FDF239E-E962-42C6-AF9C-E508B837F60A}">
  <dimension ref="A1:N3159"/>
  <sheetViews>
    <sheetView workbookViewId="0">
      <selection activeCell="N7" sqref="N7"/>
    </sheetView>
  </sheetViews>
  <sheetFormatPr defaultRowHeight="14.4" x14ac:dyDescent="0.3"/>
  <cols>
    <col min="1" max="1" width="14" customWidth="1"/>
    <col min="2" max="2" width="12.44140625" customWidth="1"/>
    <col min="3" max="3" width="12.33203125" customWidth="1"/>
    <col min="4" max="4" width="12.77734375" customWidth="1"/>
    <col min="5" max="5" width="17.5546875" customWidth="1"/>
    <col min="6" max="6" width="13.5546875" customWidth="1"/>
    <col min="7" max="7" width="14.33203125" customWidth="1"/>
    <col min="8" max="8" width="13.109375" customWidth="1"/>
    <col min="9" max="9" width="14.21875" customWidth="1"/>
    <col min="10" max="10" width="14.33203125" customWidth="1"/>
    <col min="11" max="11" width="16.21875" customWidth="1"/>
    <col min="12" max="12" width="13.109375" customWidth="1"/>
    <col min="14" max="14" width="13.21875" customWidth="1"/>
  </cols>
  <sheetData>
    <row r="1" spans="1:14" x14ac:dyDescent="0.3">
      <c r="A1" t="s">
        <v>0</v>
      </c>
      <c r="B1" t="s">
        <v>1</v>
      </c>
      <c r="C1" t="s">
        <v>2</v>
      </c>
      <c r="D1" t="s">
        <v>3</v>
      </c>
      <c r="E1" t="s">
        <v>4</v>
      </c>
      <c r="F1" t="s">
        <v>5</v>
      </c>
      <c r="G1" t="s">
        <v>6</v>
      </c>
      <c r="H1" t="s">
        <v>7</v>
      </c>
      <c r="I1" t="s">
        <v>8</v>
      </c>
      <c r="J1" t="s">
        <v>9</v>
      </c>
      <c r="K1" t="s">
        <v>10</v>
      </c>
      <c r="L1" t="s">
        <v>11</v>
      </c>
    </row>
    <row r="2" spans="1:14" x14ac:dyDescent="0.3">
      <c r="A2">
        <v>2004</v>
      </c>
      <c r="B2" t="s">
        <v>12</v>
      </c>
      <c r="C2">
        <v>1279</v>
      </c>
      <c r="D2">
        <v>2903.1</v>
      </c>
      <c r="E2">
        <v>27</v>
      </c>
      <c r="F2" t="s">
        <v>13</v>
      </c>
      <c r="G2" t="s">
        <v>14</v>
      </c>
      <c r="H2">
        <v>2570</v>
      </c>
      <c r="I2">
        <v>57</v>
      </c>
      <c r="J2" t="s">
        <v>15</v>
      </c>
      <c r="K2">
        <v>200000</v>
      </c>
      <c r="L2" t="s">
        <v>16</v>
      </c>
    </row>
    <row r="3" spans="1:14" x14ac:dyDescent="0.3">
      <c r="A3">
        <v>2004</v>
      </c>
      <c r="B3" t="s">
        <v>12</v>
      </c>
      <c r="C3">
        <v>13283</v>
      </c>
      <c r="D3">
        <v>2903.1</v>
      </c>
      <c r="E3">
        <v>27</v>
      </c>
      <c r="F3" t="s">
        <v>13</v>
      </c>
      <c r="G3" t="s">
        <v>14</v>
      </c>
      <c r="H3">
        <v>27170</v>
      </c>
      <c r="I3">
        <v>57.5</v>
      </c>
      <c r="J3" t="s">
        <v>15</v>
      </c>
      <c r="K3">
        <v>4847</v>
      </c>
      <c r="L3" t="s">
        <v>16</v>
      </c>
      <c r="N3" s="3" t="s">
        <v>77</v>
      </c>
    </row>
    <row r="4" spans="1:14" x14ac:dyDescent="0.3">
      <c r="A4">
        <v>2004</v>
      </c>
      <c r="B4" t="s">
        <v>12</v>
      </c>
      <c r="C4">
        <v>52119</v>
      </c>
      <c r="D4">
        <v>2903.1</v>
      </c>
      <c r="E4">
        <v>27</v>
      </c>
      <c r="F4" t="s">
        <v>13</v>
      </c>
      <c r="G4" t="s">
        <v>14</v>
      </c>
      <c r="H4">
        <v>114744</v>
      </c>
      <c r="I4">
        <v>57</v>
      </c>
      <c r="J4" t="s">
        <v>15</v>
      </c>
      <c r="K4">
        <v>51239</v>
      </c>
      <c r="L4" t="s">
        <v>16</v>
      </c>
      <c r="N4">
        <f>SUM(H1:H3157)</f>
        <v>73324558.100000009</v>
      </c>
    </row>
    <row r="5" spans="1:14" x14ac:dyDescent="0.3">
      <c r="A5">
        <v>2004</v>
      </c>
      <c r="B5" t="s">
        <v>12</v>
      </c>
      <c r="C5">
        <v>725</v>
      </c>
      <c r="D5">
        <v>2996.6</v>
      </c>
      <c r="E5">
        <v>27</v>
      </c>
      <c r="F5" t="s">
        <v>13</v>
      </c>
      <c r="G5" t="s">
        <v>14</v>
      </c>
      <c r="H5">
        <v>1402</v>
      </c>
      <c r="I5">
        <v>55</v>
      </c>
      <c r="J5" t="s">
        <v>15</v>
      </c>
      <c r="K5">
        <v>216396</v>
      </c>
      <c r="L5" t="s">
        <v>16</v>
      </c>
    </row>
    <row r="6" spans="1:14" x14ac:dyDescent="0.3">
      <c r="A6">
        <v>2004</v>
      </c>
      <c r="B6" t="s">
        <v>12</v>
      </c>
      <c r="C6">
        <v>12885</v>
      </c>
      <c r="D6">
        <v>2996.6</v>
      </c>
      <c r="E6">
        <v>27</v>
      </c>
      <c r="F6" t="s">
        <v>13</v>
      </c>
      <c r="G6" t="s">
        <v>14</v>
      </c>
      <c r="H6">
        <v>23456</v>
      </c>
      <c r="I6">
        <v>56</v>
      </c>
      <c r="J6" t="s">
        <v>15</v>
      </c>
      <c r="K6">
        <v>2644</v>
      </c>
      <c r="L6" t="s">
        <v>16</v>
      </c>
      <c r="N6" s="3" t="s">
        <v>78</v>
      </c>
    </row>
    <row r="7" spans="1:14" x14ac:dyDescent="0.3">
      <c r="A7">
        <v>2004</v>
      </c>
      <c r="B7" t="s">
        <v>12</v>
      </c>
      <c r="C7">
        <v>51179</v>
      </c>
      <c r="D7">
        <v>2996.6</v>
      </c>
      <c r="E7">
        <v>27</v>
      </c>
      <c r="F7" t="s">
        <v>13</v>
      </c>
      <c r="G7" t="s">
        <v>14</v>
      </c>
      <c r="H7">
        <v>107809</v>
      </c>
      <c r="I7">
        <v>54</v>
      </c>
      <c r="J7" t="s">
        <v>15</v>
      </c>
      <c r="K7">
        <v>44235</v>
      </c>
      <c r="L7" t="s">
        <v>16</v>
      </c>
      <c r="N7" s="4">
        <f>AVERAGE(D1:D3157)</f>
        <v>2812.6596958174723</v>
      </c>
    </row>
    <row r="8" spans="1:14" x14ac:dyDescent="0.3">
      <c r="A8">
        <v>2004</v>
      </c>
      <c r="B8" t="s">
        <v>12</v>
      </c>
      <c r="C8">
        <v>468</v>
      </c>
      <c r="D8">
        <v>3522.8</v>
      </c>
      <c r="E8">
        <v>27.2</v>
      </c>
      <c r="F8" t="s">
        <v>13</v>
      </c>
      <c r="G8" t="s">
        <v>14</v>
      </c>
      <c r="H8">
        <v>1132</v>
      </c>
      <c r="I8">
        <v>58</v>
      </c>
      <c r="J8" t="s">
        <v>15</v>
      </c>
      <c r="K8">
        <v>203317</v>
      </c>
      <c r="L8" t="s">
        <v>16</v>
      </c>
    </row>
    <row r="9" spans="1:14" x14ac:dyDescent="0.3">
      <c r="A9">
        <v>2004</v>
      </c>
      <c r="B9" t="s">
        <v>12</v>
      </c>
      <c r="C9">
        <v>11841</v>
      </c>
      <c r="D9">
        <v>3522.8</v>
      </c>
      <c r="E9">
        <v>27.2</v>
      </c>
      <c r="F9" t="s">
        <v>13</v>
      </c>
      <c r="G9" t="s">
        <v>14</v>
      </c>
      <c r="H9">
        <v>23960</v>
      </c>
      <c r="I9">
        <v>58</v>
      </c>
      <c r="J9" t="s">
        <v>15</v>
      </c>
      <c r="K9">
        <v>2134</v>
      </c>
      <c r="L9" t="s">
        <v>16</v>
      </c>
      <c r="N9" s="3" t="s">
        <v>79</v>
      </c>
    </row>
    <row r="10" spans="1:14" x14ac:dyDescent="0.3">
      <c r="A10">
        <v>2004</v>
      </c>
      <c r="B10" t="s">
        <v>12</v>
      </c>
      <c r="C10">
        <v>50975</v>
      </c>
      <c r="D10">
        <v>3522.8</v>
      </c>
      <c r="E10">
        <v>27.2</v>
      </c>
      <c r="F10" t="s">
        <v>13</v>
      </c>
      <c r="G10" t="s">
        <v>14</v>
      </c>
      <c r="H10">
        <v>126487</v>
      </c>
      <c r="I10">
        <v>59</v>
      </c>
      <c r="J10" t="s">
        <v>15</v>
      </c>
      <c r="K10">
        <v>45186</v>
      </c>
      <c r="L10" t="s">
        <v>16</v>
      </c>
      <c r="N10" s="4">
        <f>AVERAGE(E:E)</f>
        <v>65.893698543382243</v>
      </c>
    </row>
    <row r="11" spans="1:14" x14ac:dyDescent="0.3">
      <c r="A11">
        <v>2004</v>
      </c>
      <c r="B11" t="s">
        <v>12</v>
      </c>
      <c r="C11">
        <v>206</v>
      </c>
      <c r="D11">
        <v>3729.8</v>
      </c>
      <c r="E11">
        <v>27</v>
      </c>
      <c r="F11" t="s">
        <v>13</v>
      </c>
      <c r="G11" t="s">
        <v>14</v>
      </c>
      <c r="H11">
        <v>804</v>
      </c>
      <c r="I11">
        <v>50</v>
      </c>
      <c r="J11" t="s">
        <v>15</v>
      </c>
      <c r="K11">
        <v>238542</v>
      </c>
      <c r="L11" t="s">
        <v>16</v>
      </c>
    </row>
    <row r="12" spans="1:14" x14ac:dyDescent="0.3">
      <c r="A12">
        <v>2004</v>
      </c>
      <c r="B12" t="s">
        <v>12</v>
      </c>
      <c r="C12">
        <v>10922</v>
      </c>
      <c r="D12">
        <v>3729.8</v>
      </c>
      <c r="E12">
        <v>27</v>
      </c>
      <c r="F12" t="s">
        <v>13</v>
      </c>
      <c r="G12" t="s">
        <v>14</v>
      </c>
      <c r="H12">
        <v>30362</v>
      </c>
      <c r="I12">
        <v>54</v>
      </c>
      <c r="J12" t="s">
        <v>15</v>
      </c>
      <c r="K12">
        <v>1516</v>
      </c>
      <c r="L12" t="s">
        <v>16</v>
      </c>
      <c r="N12" s="3" t="s">
        <v>80</v>
      </c>
    </row>
    <row r="13" spans="1:14" x14ac:dyDescent="0.3">
      <c r="A13">
        <v>2004</v>
      </c>
      <c r="B13" t="s">
        <v>12</v>
      </c>
      <c r="C13">
        <v>51390</v>
      </c>
      <c r="D13">
        <v>3729.8</v>
      </c>
      <c r="E13">
        <v>27</v>
      </c>
      <c r="F13" t="s">
        <v>13</v>
      </c>
      <c r="G13" t="s">
        <v>14</v>
      </c>
      <c r="H13">
        <v>124492</v>
      </c>
      <c r="I13">
        <v>53</v>
      </c>
      <c r="J13" t="s">
        <v>15</v>
      </c>
      <c r="K13">
        <v>57259</v>
      </c>
      <c r="L13" t="s">
        <v>16</v>
      </c>
      <c r="N13" s="5">
        <f>SUM(K:K)</f>
        <v>272444700</v>
      </c>
    </row>
    <row r="14" spans="1:14" x14ac:dyDescent="0.3">
      <c r="A14">
        <v>2004</v>
      </c>
      <c r="B14" t="s">
        <v>12</v>
      </c>
      <c r="C14">
        <v>177</v>
      </c>
      <c r="D14">
        <v>2746.2</v>
      </c>
      <c r="E14">
        <v>27</v>
      </c>
      <c r="F14" t="s">
        <v>13</v>
      </c>
      <c r="G14" t="s">
        <v>14</v>
      </c>
      <c r="H14">
        <v>792</v>
      </c>
      <c r="I14">
        <v>52</v>
      </c>
      <c r="J14" t="s">
        <v>15</v>
      </c>
      <c r="K14">
        <v>234779</v>
      </c>
      <c r="L14" t="s">
        <v>16</v>
      </c>
    </row>
    <row r="15" spans="1:14" x14ac:dyDescent="0.3">
      <c r="A15">
        <v>2004</v>
      </c>
      <c r="B15" t="s">
        <v>12</v>
      </c>
      <c r="C15">
        <v>10723</v>
      </c>
      <c r="D15">
        <v>2746.2</v>
      </c>
      <c r="E15">
        <v>27</v>
      </c>
      <c r="F15" t="s">
        <v>13</v>
      </c>
      <c r="G15" t="s">
        <v>14</v>
      </c>
      <c r="H15">
        <v>34153</v>
      </c>
      <c r="I15">
        <v>51</v>
      </c>
      <c r="J15" t="s">
        <v>15</v>
      </c>
      <c r="K15">
        <v>1493</v>
      </c>
      <c r="L15" t="s">
        <v>16</v>
      </c>
    </row>
    <row r="16" spans="1:14" x14ac:dyDescent="0.3">
      <c r="A16">
        <v>2004</v>
      </c>
      <c r="B16" t="s">
        <v>17</v>
      </c>
      <c r="C16">
        <v>51709</v>
      </c>
      <c r="D16">
        <v>2746.2</v>
      </c>
      <c r="E16">
        <v>27</v>
      </c>
      <c r="F16" t="s">
        <v>13</v>
      </c>
      <c r="G16" t="s">
        <v>14</v>
      </c>
      <c r="H16">
        <v>132551</v>
      </c>
      <c r="I16">
        <v>57</v>
      </c>
      <c r="J16" t="s">
        <v>15</v>
      </c>
      <c r="K16">
        <v>64409</v>
      </c>
      <c r="L16" t="s">
        <v>16</v>
      </c>
    </row>
    <row r="17" spans="1:12" x14ac:dyDescent="0.3">
      <c r="A17">
        <v>2004</v>
      </c>
      <c r="B17" t="s">
        <v>17</v>
      </c>
      <c r="C17">
        <v>146</v>
      </c>
      <c r="D17">
        <v>3360</v>
      </c>
      <c r="E17">
        <v>27.2</v>
      </c>
      <c r="F17" t="s">
        <v>13</v>
      </c>
      <c r="G17" t="s">
        <v>14</v>
      </c>
      <c r="H17">
        <v>338</v>
      </c>
      <c r="I17">
        <v>57</v>
      </c>
      <c r="J17" t="s">
        <v>15</v>
      </c>
      <c r="K17">
        <v>249978</v>
      </c>
      <c r="L17" t="s">
        <v>16</v>
      </c>
    </row>
    <row r="18" spans="1:12" x14ac:dyDescent="0.3">
      <c r="A18">
        <v>2004</v>
      </c>
      <c r="B18" t="s">
        <v>17</v>
      </c>
      <c r="C18">
        <v>10910</v>
      </c>
      <c r="D18">
        <v>3360</v>
      </c>
      <c r="E18">
        <v>27.2</v>
      </c>
      <c r="F18" t="s">
        <v>13</v>
      </c>
      <c r="G18" t="s">
        <v>14</v>
      </c>
      <c r="H18">
        <v>22966</v>
      </c>
      <c r="I18">
        <v>60</v>
      </c>
      <c r="J18" t="s">
        <v>15</v>
      </c>
      <c r="K18">
        <v>637</v>
      </c>
      <c r="L18" t="s">
        <v>16</v>
      </c>
    </row>
    <row r="19" spans="1:12" x14ac:dyDescent="0.3">
      <c r="A19">
        <v>2004</v>
      </c>
      <c r="B19" t="s">
        <v>17</v>
      </c>
      <c r="C19">
        <v>51355</v>
      </c>
      <c r="D19">
        <v>3360</v>
      </c>
      <c r="E19">
        <v>27.2</v>
      </c>
      <c r="F19" t="s">
        <v>13</v>
      </c>
      <c r="G19" t="s">
        <v>14</v>
      </c>
      <c r="H19">
        <v>131763</v>
      </c>
      <c r="I19">
        <v>57</v>
      </c>
      <c r="J19" t="s">
        <v>15</v>
      </c>
      <c r="K19">
        <v>43311</v>
      </c>
      <c r="L19" t="s">
        <v>16</v>
      </c>
    </row>
    <row r="20" spans="1:12" x14ac:dyDescent="0.3">
      <c r="A20">
        <v>2004</v>
      </c>
      <c r="B20" t="s">
        <v>17</v>
      </c>
      <c r="C20">
        <v>160</v>
      </c>
      <c r="D20">
        <v>3605.4</v>
      </c>
      <c r="E20">
        <v>27.1</v>
      </c>
      <c r="F20" t="s">
        <v>13</v>
      </c>
      <c r="G20" t="s">
        <v>14</v>
      </c>
      <c r="H20">
        <v>404</v>
      </c>
      <c r="I20">
        <v>57</v>
      </c>
      <c r="J20" t="s">
        <v>15</v>
      </c>
      <c r="K20">
        <v>24848</v>
      </c>
      <c r="L20" t="s">
        <v>16</v>
      </c>
    </row>
    <row r="21" spans="1:12" x14ac:dyDescent="0.3">
      <c r="A21">
        <v>2004</v>
      </c>
      <c r="B21" t="s">
        <v>17</v>
      </c>
      <c r="C21">
        <v>10912</v>
      </c>
      <c r="D21">
        <v>3605.4</v>
      </c>
      <c r="E21">
        <v>27.1</v>
      </c>
      <c r="F21" t="s">
        <v>13</v>
      </c>
      <c r="G21" t="s">
        <v>14</v>
      </c>
      <c r="H21">
        <v>24184</v>
      </c>
      <c r="I21">
        <v>54</v>
      </c>
      <c r="J21" t="s">
        <v>15</v>
      </c>
      <c r="K21">
        <v>761</v>
      </c>
      <c r="L21" t="s">
        <v>16</v>
      </c>
    </row>
    <row r="22" spans="1:12" x14ac:dyDescent="0.3">
      <c r="A22">
        <v>2004</v>
      </c>
      <c r="B22" t="s">
        <v>17</v>
      </c>
      <c r="C22">
        <v>51353</v>
      </c>
      <c r="D22">
        <v>3605.4</v>
      </c>
      <c r="E22">
        <v>27.1</v>
      </c>
      <c r="F22" t="s">
        <v>13</v>
      </c>
      <c r="G22" t="s">
        <v>14</v>
      </c>
      <c r="H22">
        <v>124387</v>
      </c>
      <c r="I22">
        <v>54.5</v>
      </c>
      <c r="J22" t="s">
        <v>15</v>
      </c>
      <c r="K22">
        <v>45608</v>
      </c>
      <c r="L22" t="s">
        <v>16</v>
      </c>
    </row>
    <row r="23" spans="1:12" x14ac:dyDescent="0.3">
      <c r="A23">
        <v>2004</v>
      </c>
      <c r="B23" t="s">
        <v>17</v>
      </c>
      <c r="C23">
        <v>142</v>
      </c>
      <c r="D23">
        <v>3512.4</v>
      </c>
      <c r="E23">
        <v>26.8</v>
      </c>
      <c r="F23" t="s">
        <v>13</v>
      </c>
      <c r="G23" t="s">
        <v>14</v>
      </c>
      <c r="H23">
        <v>343</v>
      </c>
      <c r="I23">
        <v>56.6</v>
      </c>
      <c r="J23" t="s">
        <v>15</v>
      </c>
      <c r="K23">
        <v>234581</v>
      </c>
      <c r="L23" t="s">
        <v>16</v>
      </c>
    </row>
    <row r="24" spans="1:12" x14ac:dyDescent="0.3">
      <c r="A24">
        <v>2004</v>
      </c>
      <c r="B24" t="s">
        <v>17</v>
      </c>
      <c r="C24">
        <v>10505</v>
      </c>
      <c r="D24">
        <v>3512.4</v>
      </c>
      <c r="E24">
        <v>26.8</v>
      </c>
      <c r="F24" t="s">
        <v>13</v>
      </c>
      <c r="G24" t="s">
        <v>14</v>
      </c>
      <c r="H24">
        <v>23099</v>
      </c>
      <c r="I24">
        <v>55.5</v>
      </c>
      <c r="J24" t="s">
        <v>15</v>
      </c>
      <c r="K24">
        <v>646</v>
      </c>
      <c r="L24" t="s">
        <v>16</v>
      </c>
    </row>
    <row r="25" spans="1:12" x14ac:dyDescent="0.3">
      <c r="A25">
        <v>2004</v>
      </c>
      <c r="B25" t="s">
        <v>17</v>
      </c>
      <c r="C25">
        <v>51040</v>
      </c>
      <c r="D25">
        <v>3512.4</v>
      </c>
      <c r="E25">
        <v>26.8</v>
      </c>
      <c r="F25" t="s">
        <v>13</v>
      </c>
      <c r="G25" t="s">
        <v>14</v>
      </c>
      <c r="H25">
        <v>117825.84</v>
      </c>
      <c r="I25">
        <v>58.5</v>
      </c>
      <c r="J25" t="s">
        <v>15</v>
      </c>
      <c r="K25">
        <v>43562</v>
      </c>
      <c r="L25" t="s">
        <v>16</v>
      </c>
    </row>
    <row r="26" spans="1:12" x14ac:dyDescent="0.3">
      <c r="A26">
        <v>2004</v>
      </c>
      <c r="B26" t="s">
        <v>17</v>
      </c>
      <c r="C26">
        <v>154</v>
      </c>
      <c r="D26">
        <v>3296</v>
      </c>
      <c r="E26">
        <v>37</v>
      </c>
      <c r="F26" t="s">
        <v>13</v>
      </c>
      <c r="G26" t="s">
        <v>14</v>
      </c>
      <c r="H26">
        <v>336</v>
      </c>
      <c r="I26">
        <v>59.5</v>
      </c>
      <c r="J26" t="s">
        <v>15</v>
      </c>
      <c r="K26">
        <v>200000</v>
      </c>
      <c r="L26" t="s">
        <v>16</v>
      </c>
    </row>
    <row r="27" spans="1:12" x14ac:dyDescent="0.3">
      <c r="A27">
        <v>2004</v>
      </c>
      <c r="B27" t="s">
        <v>17</v>
      </c>
      <c r="C27">
        <v>10318</v>
      </c>
      <c r="D27">
        <v>3296</v>
      </c>
      <c r="E27">
        <v>37</v>
      </c>
      <c r="F27" t="s">
        <v>13</v>
      </c>
      <c r="G27" t="s">
        <v>14</v>
      </c>
      <c r="H27">
        <v>22594</v>
      </c>
      <c r="I27">
        <v>55</v>
      </c>
      <c r="J27" t="s">
        <v>15</v>
      </c>
      <c r="K27">
        <v>4847</v>
      </c>
      <c r="L27" t="s">
        <v>16</v>
      </c>
    </row>
    <row r="28" spans="1:12" x14ac:dyDescent="0.3">
      <c r="A28">
        <v>2004</v>
      </c>
      <c r="B28" t="s">
        <v>17</v>
      </c>
      <c r="C28">
        <v>48083</v>
      </c>
      <c r="D28">
        <v>3296</v>
      </c>
      <c r="E28">
        <v>37</v>
      </c>
      <c r="F28" t="s">
        <v>13</v>
      </c>
      <c r="G28" t="s">
        <v>14</v>
      </c>
      <c r="H28">
        <v>116481.07</v>
      </c>
      <c r="I28">
        <v>53</v>
      </c>
      <c r="J28" t="s">
        <v>15</v>
      </c>
      <c r="K28">
        <v>51239</v>
      </c>
      <c r="L28" t="s">
        <v>16</v>
      </c>
    </row>
    <row r="29" spans="1:12" x14ac:dyDescent="0.3">
      <c r="A29">
        <v>2004</v>
      </c>
      <c r="B29" t="s">
        <v>18</v>
      </c>
      <c r="C29">
        <v>143</v>
      </c>
      <c r="D29">
        <v>3550</v>
      </c>
      <c r="E29">
        <v>38</v>
      </c>
      <c r="F29" t="s">
        <v>13</v>
      </c>
      <c r="G29" t="s">
        <v>14</v>
      </c>
      <c r="H29">
        <v>316</v>
      </c>
      <c r="I29">
        <v>53.5</v>
      </c>
      <c r="J29" t="s">
        <v>15</v>
      </c>
      <c r="K29">
        <v>216396</v>
      </c>
      <c r="L29" t="s">
        <v>16</v>
      </c>
    </row>
    <row r="30" spans="1:12" x14ac:dyDescent="0.3">
      <c r="A30">
        <v>2004</v>
      </c>
      <c r="B30" t="s">
        <v>18</v>
      </c>
      <c r="C30">
        <v>9283</v>
      </c>
      <c r="D30">
        <v>3550</v>
      </c>
      <c r="E30">
        <v>38</v>
      </c>
      <c r="F30" t="s">
        <v>13</v>
      </c>
      <c r="G30" t="s">
        <v>14</v>
      </c>
      <c r="H30">
        <v>21400</v>
      </c>
      <c r="I30">
        <v>52.5</v>
      </c>
      <c r="J30" t="s">
        <v>15</v>
      </c>
      <c r="K30">
        <v>2644</v>
      </c>
      <c r="L30" t="s">
        <v>16</v>
      </c>
    </row>
    <row r="31" spans="1:12" x14ac:dyDescent="0.3">
      <c r="A31">
        <v>2004</v>
      </c>
      <c r="B31" t="s">
        <v>18</v>
      </c>
      <c r="C31">
        <v>47200</v>
      </c>
      <c r="D31">
        <v>3550</v>
      </c>
      <c r="E31">
        <v>38</v>
      </c>
      <c r="F31" t="s">
        <v>13</v>
      </c>
      <c r="G31" t="s">
        <v>14</v>
      </c>
      <c r="H31">
        <v>122102</v>
      </c>
      <c r="I31">
        <v>56</v>
      </c>
      <c r="J31" t="s">
        <v>15</v>
      </c>
      <c r="K31">
        <v>44235</v>
      </c>
      <c r="L31" t="s">
        <v>16</v>
      </c>
    </row>
    <row r="32" spans="1:12" x14ac:dyDescent="0.3">
      <c r="A32">
        <v>2004</v>
      </c>
      <c r="B32" t="s">
        <v>18</v>
      </c>
      <c r="C32">
        <v>158</v>
      </c>
      <c r="D32">
        <v>3654</v>
      </c>
      <c r="E32">
        <v>39</v>
      </c>
      <c r="F32" t="s">
        <v>13</v>
      </c>
      <c r="G32" t="s">
        <v>14</v>
      </c>
      <c r="H32">
        <v>382</v>
      </c>
      <c r="I32">
        <v>57</v>
      </c>
      <c r="J32" t="s">
        <v>15</v>
      </c>
      <c r="K32">
        <v>203317</v>
      </c>
      <c r="L32" t="s">
        <v>16</v>
      </c>
    </row>
    <row r="33" spans="1:12" x14ac:dyDescent="0.3">
      <c r="A33">
        <v>2004</v>
      </c>
      <c r="B33" t="s">
        <v>18</v>
      </c>
      <c r="C33">
        <v>8982</v>
      </c>
      <c r="D33">
        <v>3654</v>
      </c>
      <c r="E33">
        <v>39</v>
      </c>
      <c r="F33" t="s">
        <v>13</v>
      </c>
      <c r="G33" t="s">
        <v>14</v>
      </c>
      <c r="H33">
        <v>19578</v>
      </c>
      <c r="I33">
        <v>57.5</v>
      </c>
      <c r="J33" t="s">
        <v>15</v>
      </c>
      <c r="K33">
        <v>2134</v>
      </c>
      <c r="L33" t="s">
        <v>16</v>
      </c>
    </row>
    <row r="34" spans="1:12" x14ac:dyDescent="0.3">
      <c r="A34">
        <v>2004</v>
      </c>
      <c r="B34" t="s">
        <v>18</v>
      </c>
      <c r="C34">
        <v>46990</v>
      </c>
      <c r="D34">
        <v>3654</v>
      </c>
      <c r="E34">
        <v>39</v>
      </c>
      <c r="F34" t="s">
        <v>13</v>
      </c>
      <c r="G34" t="s">
        <v>14</v>
      </c>
      <c r="H34">
        <v>121037</v>
      </c>
      <c r="I34">
        <v>57</v>
      </c>
      <c r="J34" t="s">
        <v>15</v>
      </c>
      <c r="K34">
        <v>45186</v>
      </c>
      <c r="L34" t="s">
        <v>16</v>
      </c>
    </row>
    <row r="35" spans="1:12" x14ac:dyDescent="0.3">
      <c r="A35">
        <v>2004</v>
      </c>
      <c r="B35" t="s">
        <v>18</v>
      </c>
      <c r="C35">
        <v>103</v>
      </c>
      <c r="D35">
        <v>233</v>
      </c>
      <c r="E35">
        <v>40</v>
      </c>
      <c r="F35" t="s">
        <v>13</v>
      </c>
      <c r="G35" t="s">
        <v>14</v>
      </c>
      <c r="H35">
        <v>231</v>
      </c>
      <c r="I35">
        <v>55</v>
      </c>
      <c r="J35" t="s">
        <v>15</v>
      </c>
      <c r="K35">
        <v>238542</v>
      </c>
      <c r="L35" t="s">
        <v>16</v>
      </c>
    </row>
    <row r="36" spans="1:12" x14ac:dyDescent="0.3">
      <c r="A36">
        <v>2004</v>
      </c>
      <c r="B36" t="s">
        <v>18</v>
      </c>
      <c r="C36">
        <v>8239</v>
      </c>
      <c r="D36">
        <v>233</v>
      </c>
      <c r="E36">
        <v>40</v>
      </c>
      <c r="F36" t="s">
        <v>13</v>
      </c>
      <c r="G36" t="s">
        <v>14</v>
      </c>
      <c r="H36">
        <v>18951</v>
      </c>
      <c r="I36">
        <v>56</v>
      </c>
      <c r="J36" t="s">
        <v>15</v>
      </c>
      <c r="K36">
        <v>1516</v>
      </c>
      <c r="L36" t="s">
        <v>16</v>
      </c>
    </row>
    <row r="37" spans="1:12" x14ac:dyDescent="0.3">
      <c r="A37">
        <v>2004</v>
      </c>
      <c r="B37" t="s">
        <v>18</v>
      </c>
      <c r="C37">
        <v>44563</v>
      </c>
      <c r="D37">
        <v>233</v>
      </c>
      <c r="E37">
        <v>40</v>
      </c>
      <c r="F37" t="s">
        <v>13</v>
      </c>
      <c r="G37" t="s">
        <v>14</v>
      </c>
      <c r="H37">
        <v>110579</v>
      </c>
      <c r="I37">
        <v>54</v>
      </c>
      <c r="J37" t="s">
        <v>15</v>
      </c>
      <c r="K37">
        <v>57259</v>
      </c>
      <c r="L37" t="s">
        <v>16</v>
      </c>
    </row>
    <row r="38" spans="1:12" x14ac:dyDescent="0.3">
      <c r="A38">
        <v>2004</v>
      </c>
      <c r="B38" t="s">
        <v>18</v>
      </c>
      <c r="C38">
        <v>96</v>
      </c>
      <c r="D38">
        <v>234</v>
      </c>
      <c r="E38">
        <v>41</v>
      </c>
      <c r="F38" t="s">
        <v>13</v>
      </c>
      <c r="G38" t="s">
        <v>14</v>
      </c>
      <c r="H38">
        <v>221</v>
      </c>
      <c r="I38">
        <v>58</v>
      </c>
      <c r="J38" t="s">
        <v>15</v>
      </c>
      <c r="K38">
        <v>234779</v>
      </c>
      <c r="L38" t="s">
        <v>16</v>
      </c>
    </row>
    <row r="39" spans="1:12" x14ac:dyDescent="0.3">
      <c r="A39">
        <v>2004</v>
      </c>
      <c r="B39" t="s">
        <v>18</v>
      </c>
      <c r="C39">
        <v>6949</v>
      </c>
      <c r="D39">
        <v>234</v>
      </c>
      <c r="E39">
        <v>41</v>
      </c>
      <c r="F39" t="s">
        <v>13</v>
      </c>
      <c r="G39" t="s">
        <v>14</v>
      </c>
      <c r="H39">
        <v>15362</v>
      </c>
      <c r="I39">
        <v>58</v>
      </c>
      <c r="J39" t="s">
        <v>15</v>
      </c>
      <c r="K39">
        <v>1493</v>
      </c>
      <c r="L39" t="s">
        <v>16</v>
      </c>
    </row>
    <row r="40" spans="1:12" x14ac:dyDescent="0.3">
      <c r="A40">
        <v>2004</v>
      </c>
      <c r="B40" t="s">
        <v>18</v>
      </c>
      <c r="C40">
        <v>44663</v>
      </c>
      <c r="D40">
        <v>234</v>
      </c>
      <c r="E40">
        <v>41</v>
      </c>
      <c r="F40" t="s">
        <v>13</v>
      </c>
      <c r="G40" t="s">
        <v>14</v>
      </c>
      <c r="H40">
        <v>120373</v>
      </c>
      <c r="I40">
        <v>59</v>
      </c>
      <c r="J40" t="s">
        <v>15</v>
      </c>
      <c r="K40">
        <v>64409</v>
      </c>
      <c r="L40" t="s">
        <v>16</v>
      </c>
    </row>
    <row r="41" spans="1:12" x14ac:dyDescent="0.3">
      <c r="A41">
        <v>2004</v>
      </c>
      <c r="B41" t="s">
        <v>18</v>
      </c>
      <c r="C41">
        <v>110</v>
      </c>
      <c r="D41">
        <v>3105</v>
      </c>
      <c r="E41">
        <v>42</v>
      </c>
      <c r="F41" t="s">
        <v>19</v>
      </c>
      <c r="G41" t="s">
        <v>14</v>
      </c>
      <c r="H41">
        <v>291</v>
      </c>
      <c r="I41">
        <v>50</v>
      </c>
      <c r="J41" t="s">
        <v>15</v>
      </c>
      <c r="K41">
        <v>249978</v>
      </c>
      <c r="L41" t="s">
        <v>16</v>
      </c>
    </row>
    <row r="42" spans="1:12" x14ac:dyDescent="0.3">
      <c r="A42">
        <v>2004</v>
      </c>
      <c r="B42" t="s">
        <v>18</v>
      </c>
      <c r="C42">
        <v>6824</v>
      </c>
      <c r="D42">
        <v>3105</v>
      </c>
      <c r="E42">
        <v>42</v>
      </c>
      <c r="F42" t="s">
        <v>19</v>
      </c>
      <c r="G42" t="s">
        <v>14</v>
      </c>
      <c r="H42">
        <v>17231</v>
      </c>
      <c r="I42">
        <v>54</v>
      </c>
      <c r="J42" t="s">
        <v>15</v>
      </c>
      <c r="K42">
        <v>637</v>
      </c>
      <c r="L42" t="s">
        <v>16</v>
      </c>
    </row>
    <row r="43" spans="1:12" x14ac:dyDescent="0.3">
      <c r="A43">
        <v>2004</v>
      </c>
      <c r="B43" t="s">
        <v>18</v>
      </c>
      <c r="C43">
        <v>43013</v>
      </c>
      <c r="D43">
        <v>3105</v>
      </c>
      <c r="E43">
        <v>42</v>
      </c>
      <c r="F43" t="s">
        <v>19</v>
      </c>
      <c r="G43" t="s">
        <v>14</v>
      </c>
      <c r="H43">
        <v>119359</v>
      </c>
      <c r="I43">
        <v>53</v>
      </c>
      <c r="J43" t="s">
        <v>15</v>
      </c>
      <c r="K43">
        <v>43311</v>
      </c>
      <c r="L43" t="s">
        <v>16</v>
      </c>
    </row>
    <row r="44" spans="1:12" x14ac:dyDescent="0.3">
      <c r="A44">
        <v>2004</v>
      </c>
      <c r="B44" t="s">
        <v>20</v>
      </c>
      <c r="C44">
        <v>95</v>
      </c>
      <c r="D44">
        <v>236</v>
      </c>
      <c r="E44">
        <v>43</v>
      </c>
      <c r="F44" t="s">
        <v>19</v>
      </c>
      <c r="G44" t="s">
        <v>14</v>
      </c>
      <c r="H44">
        <v>283</v>
      </c>
      <c r="I44">
        <v>52</v>
      </c>
      <c r="J44" t="s">
        <v>15</v>
      </c>
      <c r="K44">
        <v>24848</v>
      </c>
      <c r="L44" t="s">
        <v>16</v>
      </c>
    </row>
    <row r="45" spans="1:12" x14ac:dyDescent="0.3">
      <c r="A45">
        <v>2004</v>
      </c>
      <c r="B45" t="s">
        <v>20</v>
      </c>
      <c r="C45">
        <v>6441</v>
      </c>
      <c r="D45">
        <v>236</v>
      </c>
      <c r="E45">
        <v>43</v>
      </c>
      <c r="F45" t="s">
        <v>19</v>
      </c>
      <c r="G45" t="s">
        <v>14</v>
      </c>
      <c r="H45">
        <v>17690</v>
      </c>
      <c r="I45">
        <v>51</v>
      </c>
      <c r="J45" t="s">
        <v>15</v>
      </c>
      <c r="K45">
        <v>761</v>
      </c>
      <c r="L45" t="s">
        <v>16</v>
      </c>
    </row>
    <row r="46" spans="1:12" x14ac:dyDescent="0.3">
      <c r="A46">
        <v>2004</v>
      </c>
      <c r="B46" t="s">
        <v>20</v>
      </c>
      <c r="C46">
        <v>4012</v>
      </c>
      <c r="D46">
        <v>2903.1</v>
      </c>
      <c r="E46">
        <v>27</v>
      </c>
      <c r="F46" t="s">
        <v>19</v>
      </c>
      <c r="G46" t="s">
        <v>21</v>
      </c>
      <c r="H46">
        <v>7157</v>
      </c>
      <c r="I46">
        <v>57</v>
      </c>
      <c r="J46" t="s">
        <v>15</v>
      </c>
      <c r="K46">
        <v>45608</v>
      </c>
      <c r="L46" t="s">
        <v>16</v>
      </c>
    </row>
    <row r="47" spans="1:12" x14ac:dyDescent="0.3">
      <c r="A47">
        <v>2004</v>
      </c>
      <c r="B47" t="s">
        <v>20</v>
      </c>
      <c r="C47">
        <v>4877</v>
      </c>
      <c r="D47">
        <v>2903.1</v>
      </c>
      <c r="E47">
        <v>27</v>
      </c>
      <c r="F47" t="s">
        <v>19</v>
      </c>
      <c r="G47" t="s">
        <v>21</v>
      </c>
      <c r="H47">
        <v>8700</v>
      </c>
      <c r="I47">
        <v>57</v>
      </c>
      <c r="J47" t="s">
        <v>15</v>
      </c>
      <c r="K47">
        <v>234581</v>
      </c>
      <c r="L47" t="s">
        <v>16</v>
      </c>
    </row>
    <row r="48" spans="1:12" x14ac:dyDescent="0.3">
      <c r="A48">
        <v>2004</v>
      </c>
      <c r="B48" t="s">
        <v>20</v>
      </c>
      <c r="C48">
        <v>4930</v>
      </c>
      <c r="D48">
        <v>2903.1</v>
      </c>
      <c r="E48">
        <v>27</v>
      </c>
      <c r="F48" t="s">
        <v>19</v>
      </c>
      <c r="G48" t="s">
        <v>21</v>
      </c>
      <c r="H48">
        <v>41266</v>
      </c>
      <c r="I48">
        <v>60</v>
      </c>
      <c r="J48" t="s">
        <v>15</v>
      </c>
      <c r="K48">
        <v>646</v>
      </c>
      <c r="L48" t="s">
        <v>22</v>
      </c>
    </row>
    <row r="49" spans="1:12" x14ac:dyDescent="0.3">
      <c r="A49">
        <v>2004</v>
      </c>
      <c r="B49" t="s">
        <v>20</v>
      </c>
      <c r="C49">
        <v>4954</v>
      </c>
      <c r="D49">
        <v>2996.6</v>
      </c>
      <c r="E49">
        <v>27</v>
      </c>
      <c r="F49" t="s">
        <v>19</v>
      </c>
      <c r="G49" t="s">
        <v>21</v>
      </c>
      <c r="H49">
        <v>8838</v>
      </c>
      <c r="I49">
        <v>57</v>
      </c>
      <c r="J49" t="s">
        <v>15</v>
      </c>
      <c r="K49">
        <v>43562</v>
      </c>
      <c r="L49" t="s">
        <v>22</v>
      </c>
    </row>
    <row r="50" spans="1:12" x14ac:dyDescent="0.3">
      <c r="A50">
        <v>2004</v>
      </c>
      <c r="B50" t="s">
        <v>20</v>
      </c>
      <c r="C50">
        <v>5019</v>
      </c>
      <c r="D50">
        <v>2996.6</v>
      </c>
      <c r="E50">
        <v>27</v>
      </c>
      <c r="F50" t="s">
        <v>19</v>
      </c>
      <c r="G50" t="s">
        <v>21</v>
      </c>
      <c r="H50">
        <v>8954</v>
      </c>
      <c r="I50">
        <v>57</v>
      </c>
      <c r="J50" t="s">
        <v>15</v>
      </c>
      <c r="K50">
        <v>200000</v>
      </c>
      <c r="L50" t="s">
        <v>22</v>
      </c>
    </row>
    <row r="51" spans="1:12" x14ac:dyDescent="0.3">
      <c r="A51">
        <v>2004</v>
      </c>
      <c r="B51" t="s">
        <v>20</v>
      </c>
      <c r="C51">
        <v>5127</v>
      </c>
      <c r="D51">
        <v>2996.6</v>
      </c>
      <c r="E51">
        <v>27</v>
      </c>
      <c r="F51" t="s">
        <v>19</v>
      </c>
      <c r="G51" t="s">
        <v>21</v>
      </c>
      <c r="H51">
        <v>42915</v>
      </c>
      <c r="I51">
        <v>54</v>
      </c>
      <c r="J51" t="s">
        <v>15</v>
      </c>
      <c r="K51">
        <v>4847</v>
      </c>
      <c r="L51" t="s">
        <v>22</v>
      </c>
    </row>
    <row r="52" spans="1:12" x14ac:dyDescent="0.3">
      <c r="A52">
        <v>2004</v>
      </c>
      <c r="B52" t="s">
        <v>20</v>
      </c>
      <c r="C52">
        <v>5174</v>
      </c>
      <c r="D52">
        <v>3522.8</v>
      </c>
      <c r="E52">
        <v>27.2</v>
      </c>
      <c r="F52" t="s">
        <v>19</v>
      </c>
      <c r="G52" t="s">
        <v>21</v>
      </c>
      <c r="H52">
        <v>9230</v>
      </c>
      <c r="I52">
        <v>54.5</v>
      </c>
      <c r="J52" t="s">
        <v>15</v>
      </c>
      <c r="K52">
        <v>51239</v>
      </c>
      <c r="L52" t="s">
        <v>22</v>
      </c>
    </row>
    <row r="53" spans="1:12" x14ac:dyDescent="0.3">
      <c r="A53">
        <v>2004</v>
      </c>
      <c r="B53" t="s">
        <v>20</v>
      </c>
      <c r="C53">
        <v>5294</v>
      </c>
      <c r="D53">
        <v>3522.8</v>
      </c>
      <c r="E53">
        <v>27.2</v>
      </c>
      <c r="F53" t="s">
        <v>19</v>
      </c>
      <c r="G53" t="s">
        <v>21</v>
      </c>
      <c r="H53">
        <v>44313</v>
      </c>
      <c r="I53">
        <v>56.6</v>
      </c>
      <c r="J53" t="s">
        <v>15</v>
      </c>
      <c r="K53">
        <v>216396</v>
      </c>
      <c r="L53" t="s">
        <v>22</v>
      </c>
    </row>
    <row r="54" spans="1:12" x14ac:dyDescent="0.3">
      <c r="A54">
        <v>2004</v>
      </c>
      <c r="B54" t="s">
        <v>20</v>
      </c>
      <c r="C54">
        <v>5474</v>
      </c>
      <c r="D54">
        <v>3522.8</v>
      </c>
      <c r="E54">
        <v>27.2</v>
      </c>
      <c r="F54" t="s">
        <v>19</v>
      </c>
      <c r="G54" t="s">
        <v>21</v>
      </c>
      <c r="H54">
        <v>45820</v>
      </c>
      <c r="I54">
        <v>55.5</v>
      </c>
      <c r="J54" t="s">
        <v>15</v>
      </c>
      <c r="K54">
        <v>2644</v>
      </c>
      <c r="L54" t="s">
        <v>22</v>
      </c>
    </row>
    <row r="55" spans="1:12" x14ac:dyDescent="0.3">
      <c r="A55">
        <v>2004</v>
      </c>
      <c r="B55" t="s">
        <v>20</v>
      </c>
      <c r="C55">
        <v>5864</v>
      </c>
      <c r="D55">
        <v>3729.8</v>
      </c>
      <c r="E55">
        <v>27</v>
      </c>
      <c r="F55" t="s">
        <v>19</v>
      </c>
      <c r="G55" t="s">
        <v>21</v>
      </c>
      <c r="H55">
        <v>49084</v>
      </c>
      <c r="I55">
        <v>58.5</v>
      </c>
      <c r="J55" t="s">
        <v>15</v>
      </c>
      <c r="K55">
        <v>44235</v>
      </c>
      <c r="L55" t="s">
        <v>22</v>
      </c>
    </row>
    <row r="56" spans="1:12" x14ac:dyDescent="0.3">
      <c r="A56">
        <v>2004</v>
      </c>
      <c r="B56" t="s">
        <v>20</v>
      </c>
      <c r="C56">
        <v>7028</v>
      </c>
      <c r="D56">
        <v>3729.8</v>
      </c>
      <c r="E56">
        <v>27</v>
      </c>
      <c r="F56" t="s">
        <v>19</v>
      </c>
      <c r="G56" t="s">
        <v>21</v>
      </c>
      <c r="H56">
        <v>86311</v>
      </c>
      <c r="I56">
        <v>59.5</v>
      </c>
      <c r="J56" t="s">
        <v>15</v>
      </c>
      <c r="K56">
        <v>203317</v>
      </c>
      <c r="L56" t="s">
        <v>22</v>
      </c>
    </row>
    <row r="57" spans="1:12" x14ac:dyDescent="0.3">
      <c r="A57">
        <v>2004</v>
      </c>
      <c r="B57" t="s">
        <v>20</v>
      </c>
      <c r="C57">
        <v>7403</v>
      </c>
      <c r="D57">
        <v>3729.8</v>
      </c>
      <c r="E57">
        <v>27</v>
      </c>
      <c r="F57" t="s">
        <v>19</v>
      </c>
      <c r="G57" t="s">
        <v>21</v>
      </c>
      <c r="H57">
        <v>57642</v>
      </c>
      <c r="I57">
        <v>55</v>
      </c>
      <c r="J57" t="s">
        <v>15</v>
      </c>
      <c r="K57">
        <v>2134</v>
      </c>
      <c r="L57" t="s">
        <v>22</v>
      </c>
    </row>
    <row r="58" spans="1:12" x14ac:dyDescent="0.3">
      <c r="A58">
        <v>2004</v>
      </c>
      <c r="B58" t="s">
        <v>20</v>
      </c>
      <c r="C58">
        <v>7501</v>
      </c>
      <c r="D58">
        <v>2746.2</v>
      </c>
      <c r="E58">
        <v>27</v>
      </c>
      <c r="F58" t="s">
        <v>19</v>
      </c>
      <c r="G58" t="s">
        <v>21</v>
      </c>
      <c r="H58">
        <v>58405</v>
      </c>
      <c r="I58">
        <v>53</v>
      </c>
      <c r="J58" t="s">
        <v>15</v>
      </c>
      <c r="K58">
        <v>45186</v>
      </c>
      <c r="L58" t="s">
        <v>22</v>
      </c>
    </row>
    <row r="59" spans="1:12" x14ac:dyDescent="0.3">
      <c r="A59">
        <v>2004</v>
      </c>
      <c r="B59" t="s">
        <v>20</v>
      </c>
      <c r="C59">
        <v>7714</v>
      </c>
      <c r="D59">
        <v>2746.2</v>
      </c>
      <c r="E59">
        <v>27</v>
      </c>
      <c r="F59" t="s">
        <v>19</v>
      </c>
      <c r="G59" t="s">
        <v>21</v>
      </c>
      <c r="H59">
        <v>60751</v>
      </c>
      <c r="I59">
        <v>53.5</v>
      </c>
      <c r="J59" t="s">
        <v>15</v>
      </c>
      <c r="K59">
        <v>238542</v>
      </c>
      <c r="L59" t="s">
        <v>22</v>
      </c>
    </row>
    <row r="60" spans="1:12" x14ac:dyDescent="0.3">
      <c r="A60">
        <v>2004</v>
      </c>
      <c r="B60" t="s">
        <v>20</v>
      </c>
      <c r="C60">
        <v>7856</v>
      </c>
      <c r="D60">
        <v>2746.2</v>
      </c>
      <c r="E60">
        <v>27</v>
      </c>
      <c r="F60" t="s">
        <v>19</v>
      </c>
      <c r="G60" t="s">
        <v>21</v>
      </c>
      <c r="H60">
        <v>109506</v>
      </c>
      <c r="I60">
        <v>52.5</v>
      </c>
      <c r="J60" t="s">
        <v>15</v>
      </c>
      <c r="K60">
        <v>1516</v>
      </c>
      <c r="L60" t="s">
        <v>22</v>
      </c>
    </row>
    <row r="61" spans="1:12" x14ac:dyDescent="0.3">
      <c r="A61">
        <v>2004</v>
      </c>
      <c r="B61" t="s">
        <v>20</v>
      </c>
      <c r="C61">
        <v>32</v>
      </c>
      <c r="D61">
        <v>3360</v>
      </c>
      <c r="E61">
        <v>27.2</v>
      </c>
      <c r="F61" t="s">
        <v>19</v>
      </c>
      <c r="G61" t="s">
        <v>21</v>
      </c>
      <c r="H61">
        <v>114</v>
      </c>
      <c r="I61">
        <v>56</v>
      </c>
      <c r="J61" t="s">
        <v>15</v>
      </c>
      <c r="K61">
        <v>57259</v>
      </c>
      <c r="L61" t="s">
        <v>22</v>
      </c>
    </row>
    <row r="62" spans="1:12" x14ac:dyDescent="0.3">
      <c r="A62">
        <v>2004</v>
      </c>
      <c r="B62" t="s">
        <v>20</v>
      </c>
      <c r="C62">
        <v>1</v>
      </c>
      <c r="D62">
        <v>3360</v>
      </c>
      <c r="E62">
        <v>27.2</v>
      </c>
      <c r="F62" t="s">
        <v>19</v>
      </c>
      <c r="G62" t="s">
        <v>21</v>
      </c>
      <c r="H62">
        <v>3</v>
      </c>
      <c r="I62">
        <v>57</v>
      </c>
      <c r="J62" t="s">
        <v>15</v>
      </c>
      <c r="K62">
        <v>234779</v>
      </c>
      <c r="L62" t="s">
        <v>22</v>
      </c>
    </row>
    <row r="63" spans="1:12" x14ac:dyDescent="0.3">
      <c r="A63">
        <v>2004</v>
      </c>
      <c r="B63" t="s">
        <v>20</v>
      </c>
      <c r="C63">
        <v>30</v>
      </c>
      <c r="D63">
        <v>3360</v>
      </c>
      <c r="E63">
        <v>27.2</v>
      </c>
      <c r="F63" t="s">
        <v>19</v>
      </c>
      <c r="G63" t="s">
        <v>21</v>
      </c>
      <c r="H63">
        <v>95</v>
      </c>
      <c r="I63">
        <v>57.5</v>
      </c>
      <c r="J63" t="s">
        <v>15</v>
      </c>
      <c r="K63">
        <v>1493</v>
      </c>
      <c r="L63" t="s">
        <v>22</v>
      </c>
    </row>
    <row r="64" spans="1:12" x14ac:dyDescent="0.3">
      <c r="A64">
        <v>2004</v>
      </c>
      <c r="B64" t="s">
        <v>23</v>
      </c>
      <c r="C64">
        <v>6</v>
      </c>
      <c r="D64">
        <v>3605.4</v>
      </c>
      <c r="E64">
        <v>27.1</v>
      </c>
      <c r="F64" t="s">
        <v>19</v>
      </c>
      <c r="G64" t="s">
        <v>21</v>
      </c>
      <c r="H64">
        <v>19</v>
      </c>
      <c r="I64">
        <v>57</v>
      </c>
      <c r="J64" t="s">
        <v>15</v>
      </c>
      <c r="K64">
        <v>64409</v>
      </c>
      <c r="L64" t="s">
        <v>22</v>
      </c>
    </row>
    <row r="65" spans="1:12" x14ac:dyDescent="0.3">
      <c r="A65">
        <v>2004</v>
      </c>
      <c r="B65" t="s">
        <v>23</v>
      </c>
      <c r="C65">
        <v>15</v>
      </c>
      <c r="D65">
        <v>3605.4</v>
      </c>
      <c r="E65">
        <v>27.1</v>
      </c>
      <c r="F65" t="s">
        <v>19</v>
      </c>
      <c r="G65" t="s">
        <v>21</v>
      </c>
      <c r="H65">
        <v>54</v>
      </c>
      <c r="I65">
        <v>55</v>
      </c>
      <c r="J65" t="s">
        <v>15</v>
      </c>
      <c r="K65">
        <v>249978</v>
      </c>
      <c r="L65" t="s">
        <v>22</v>
      </c>
    </row>
    <row r="66" spans="1:12" x14ac:dyDescent="0.3">
      <c r="A66">
        <v>2004</v>
      </c>
      <c r="B66" t="s">
        <v>23</v>
      </c>
      <c r="C66">
        <v>4</v>
      </c>
      <c r="D66">
        <v>3605.4</v>
      </c>
      <c r="E66">
        <v>27.1</v>
      </c>
      <c r="F66" t="s">
        <v>19</v>
      </c>
      <c r="G66" t="s">
        <v>21</v>
      </c>
      <c r="H66">
        <v>13</v>
      </c>
      <c r="I66">
        <v>56</v>
      </c>
      <c r="J66" t="s">
        <v>15</v>
      </c>
      <c r="K66">
        <v>200000</v>
      </c>
      <c r="L66" t="s">
        <v>22</v>
      </c>
    </row>
    <row r="67" spans="1:12" x14ac:dyDescent="0.3">
      <c r="A67">
        <v>2004</v>
      </c>
      <c r="B67" t="s">
        <v>23</v>
      </c>
      <c r="C67">
        <v>39</v>
      </c>
      <c r="D67">
        <v>3512.4</v>
      </c>
      <c r="E67">
        <v>26.8</v>
      </c>
      <c r="F67" t="s">
        <v>19</v>
      </c>
      <c r="G67" t="s">
        <v>21</v>
      </c>
      <c r="H67">
        <v>123</v>
      </c>
      <c r="I67">
        <v>54</v>
      </c>
      <c r="J67" t="s">
        <v>15</v>
      </c>
      <c r="K67">
        <v>4847</v>
      </c>
      <c r="L67" t="s">
        <v>22</v>
      </c>
    </row>
    <row r="68" spans="1:12" x14ac:dyDescent="0.3">
      <c r="A68">
        <v>2004</v>
      </c>
      <c r="B68" t="s">
        <v>23</v>
      </c>
      <c r="C68">
        <v>6</v>
      </c>
      <c r="D68">
        <v>3512.4</v>
      </c>
      <c r="E68">
        <v>26.8</v>
      </c>
      <c r="F68" t="s">
        <v>19</v>
      </c>
      <c r="G68" t="s">
        <v>21</v>
      </c>
      <c r="H68">
        <v>19</v>
      </c>
      <c r="I68">
        <v>58</v>
      </c>
      <c r="J68" t="s">
        <v>15</v>
      </c>
      <c r="K68">
        <v>51239</v>
      </c>
      <c r="L68" t="s">
        <v>22</v>
      </c>
    </row>
    <row r="69" spans="1:12" x14ac:dyDescent="0.3">
      <c r="A69">
        <v>2004</v>
      </c>
      <c r="B69" t="s">
        <v>23</v>
      </c>
      <c r="C69">
        <v>12</v>
      </c>
      <c r="D69">
        <v>3512.4</v>
      </c>
      <c r="E69">
        <v>26.8</v>
      </c>
      <c r="F69" t="s">
        <v>19</v>
      </c>
      <c r="G69" t="s">
        <v>21</v>
      </c>
      <c r="H69">
        <v>32</v>
      </c>
      <c r="I69">
        <v>58</v>
      </c>
      <c r="J69" t="s">
        <v>15</v>
      </c>
      <c r="K69">
        <v>216396</v>
      </c>
      <c r="L69" t="s">
        <v>22</v>
      </c>
    </row>
    <row r="70" spans="1:12" x14ac:dyDescent="0.3">
      <c r="A70">
        <v>2004</v>
      </c>
      <c r="B70" t="s">
        <v>23</v>
      </c>
      <c r="C70">
        <v>3</v>
      </c>
      <c r="D70">
        <v>3296</v>
      </c>
      <c r="E70">
        <v>37</v>
      </c>
      <c r="F70" t="s">
        <v>19</v>
      </c>
      <c r="G70" t="s">
        <v>21</v>
      </c>
      <c r="H70">
        <v>8</v>
      </c>
      <c r="I70">
        <v>59</v>
      </c>
      <c r="J70" t="s">
        <v>15</v>
      </c>
      <c r="K70">
        <v>2644</v>
      </c>
      <c r="L70" t="s">
        <v>22</v>
      </c>
    </row>
    <row r="71" spans="1:12" x14ac:dyDescent="0.3">
      <c r="A71">
        <v>2004</v>
      </c>
      <c r="B71" t="s">
        <v>23</v>
      </c>
      <c r="C71">
        <v>17</v>
      </c>
      <c r="D71">
        <v>3296</v>
      </c>
      <c r="E71">
        <v>37</v>
      </c>
      <c r="F71" t="s">
        <v>24</v>
      </c>
      <c r="G71" t="s">
        <v>21</v>
      </c>
      <c r="H71">
        <v>50</v>
      </c>
      <c r="I71">
        <v>50</v>
      </c>
      <c r="J71" t="s">
        <v>15</v>
      </c>
      <c r="K71">
        <v>44235</v>
      </c>
      <c r="L71" t="s">
        <v>22</v>
      </c>
    </row>
    <row r="72" spans="1:12" x14ac:dyDescent="0.3">
      <c r="A72">
        <v>2004</v>
      </c>
      <c r="B72" t="s">
        <v>23</v>
      </c>
      <c r="C72">
        <v>3</v>
      </c>
      <c r="D72">
        <v>3296</v>
      </c>
      <c r="E72">
        <v>37</v>
      </c>
      <c r="F72" t="s">
        <v>24</v>
      </c>
      <c r="G72" t="s">
        <v>21</v>
      </c>
      <c r="H72">
        <v>10</v>
      </c>
      <c r="I72">
        <v>54</v>
      </c>
      <c r="J72" t="s">
        <v>15</v>
      </c>
      <c r="K72">
        <v>203317</v>
      </c>
      <c r="L72" t="s">
        <v>22</v>
      </c>
    </row>
    <row r="73" spans="1:12" x14ac:dyDescent="0.3">
      <c r="A73">
        <v>2004</v>
      </c>
      <c r="B73" t="s">
        <v>23</v>
      </c>
      <c r="C73">
        <v>9</v>
      </c>
      <c r="D73">
        <v>3550</v>
      </c>
      <c r="E73">
        <v>38</v>
      </c>
      <c r="F73" t="s">
        <v>24</v>
      </c>
      <c r="G73" t="s">
        <v>21</v>
      </c>
      <c r="H73">
        <v>29</v>
      </c>
      <c r="I73">
        <v>53</v>
      </c>
      <c r="J73" t="s">
        <v>15</v>
      </c>
      <c r="K73">
        <v>2134</v>
      </c>
      <c r="L73" t="s">
        <v>22</v>
      </c>
    </row>
    <row r="74" spans="1:12" x14ac:dyDescent="0.3">
      <c r="A74">
        <v>2004</v>
      </c>
      <c r="B74" t="s">
        <v>23</v>
      </c>
      <c r="C74">
        <v>21</v>
      </c>
      <c r="D74">
        <v>3550</v>
      </c>
      <c r="E74">
        <v>38</v>
      </c>
      <c r="F74" t="s">
        <v>24</v>
      </c>
      <c r="G74" t="s">
        <v>21</v>
      </c>
      <c r="H74">
        <v>44</v>
      </c>
      <c r="I74">
        <v>52</v>
      </c>
      <c r="J74" t="s">
        <v>15</v>
      </c>
      <c r="K74">
        <v>45186</v>
      </c>
      <c r="L74" t="s">
        <v>22</v>
      </c>
    </row>
    <row r="75" spans="1:12" x14ac:dyDescent="0.3">
      <c r="A75">
        <v>2004</v>
      </c>
      <c r="B75" t="s">
        <v>23</v>
      </c>
      <c r="C75">
        <v>11</v>
      </c>
      <c r="D75">
        <v>3550</v>
      </c>
      <c r="E75">
        <v>38</v>
      </c>
      <c r="F75" t="s">
        <v>24</v>
      </c>
      <c r="G75" t="s">
        <v>21</v>
      </c>
      <c r="H75">
        <v>33</v>
      </c>
      <c r="I75">
        <v>51</v>
      </c>
      <c r="J75" t="s">
        <v>15</v>
      </c>
      <c r="K75">
        <v>238542</v>
      </c>
      <c r="L75" t="s">
        <v>22</v>
      </c>
    </row>
    <row r="76" spans="1:12" x14ac:dyDescent="0.3">
      <c r="A76">
        <v>2004</v>
      </c>
      <c r="B76" t="s">
        <v>23</v>
      </c>
      <c r="C76">
        <v>4</v>
      </c>
      <c r="D76">
        <v>3654</v>
      </c>
      <c r="E76">
        <v>39</v>
      </c>
      <c r="F76" t="s">
        <v>24</v>
      </c>
      <c r="G76" t="s">
        <v>21</v>
      </c>
      <c r="H76">
        <v>14</v>
      </c>
      <c r="I76">
        <v>57</v>
      </c>
      <c r="J76" t="s">
        <v>15</v>
      </c>
      <c r="K76">
        <v>1516</v>
      </c>
      <c r="L76" t="s">
        <v>22</v>
      </c>
    </row>
    <row r="77" spans="1:12" x14ac:dyDescent="0.3">
      <c r="A77">
        <v>2004</v>
      </c>
      <c r="B77" t="s">
        <v>23</v>
      </c>
      <c r="C77">
        <v>15</v>
      </c>
      <c r="D77">
        <v>3654</v>
      </c>
      <c r="E77">
        <v>39</v>
      </c>
      <c r="F77" t="s">
        <v>24</v>
      </c>
      <c r="G77" t="s">
        <v>21</v>
      </c>
      <c r="H77">
        <v>56</v>
      </c>
      <c r="I77">
        <v>57</v>
      </c>
      <c r="J77" t="s">
        <v>15</v>
      </c>
      <c r="K77">
        <v>57259</v>
      </c>
      <c r="L77" t="s">
        <v>22</v>
      </c>
    </row>
    <row r="78" spans="1:12" x14ac:dyDescent="0.3">
      <c r="A78">
        <v>2004</v>
      </c>
      <c r="B78" t="s">
        <v>23</v>
      </c>
      <c r="C78">
        <v>8</v>
      </c>
      <c r="D78">
        <v>3654</v>
      </c>
      <c r="E78">
        <v>39</v>
      </c>
      <c r="F78" t="s">
        <v>24</v>
      </c>
      <c r="G78" t="s">
        <v>21</v>
      </c>
      <c r="H78">
        <v>26</v>
      </c>
      <c r="I78">
        <v>60</v>
      </c>
      <c r="J78" t="s">
        <v>15</v>
      </c>
      <c r="K78">
        <v>234779</v>
      </c>
      <c r="L78" t="s">
        <v>22</v>
      </c>
    </row>
    <row r="79" spans="1:12" x14ac:dyDescent="0.3">
      <c r="A79">
        <v>2004</v>
      </c>
      <c r="B79" t="s">
        <v>23</v>
      </c>
      <c r="C79">
        <v>29</v>
      </c>
      <c r="D79">
        <v>233</v>
      </c>
      <c r="E79">
        <v>40</v>
      </c>
      <c r="F79" t="s">
        <v>24</v>
      </c>
      <c r="G79" t="s">
        <v>21</v>
      </c>
      <c r="H79">
        <v>98</v>
      </c>
      <c r="I79">
        <v>57</v>
      </c>
      <c r="J79" t="s">
        <v>15</v>
      </c>
      <c r="K79">
        <v>1493</v>
      </c>
      <c r="L79" t="s">
        <v>25</v>
      </c>
    </row>
    <row r="80" spans="1:12" x14ac:dyDescent="0.3">
      <c r="A80">
        <v>2004</v>
      </c>
      <c r="B80" t="s">
        <v>23</v>
      </c>
      <c r="C80">
        <v>1</v>
      </c>
      <c r="D80">
        <v>233</v>
      </c>
      <c r="E80">
        <v>40</v>
      </c>
      <c r="F80" t="s">
        <v>24</v>
      </c>
      <c r="G80" t="s">
        <v>21</v>
      </c>
      <c r="H80">
        <v>3</v>
      </c>
      <c r="I80">
        <v>57</v>
      </c>
      <c r="J80" t="s">
        <v>15</v>
      </c>
      <c r="K80">
        <v>64409</v>
      </c>
      <c r="L80" t="s">
        <v>25</v>
      </c>
    </row>
    <row r="81" spans="1:12" x14ac:dyDescent="0.3">
      <c r="A81">
        <v>2004</v>
      </c>
      <c r="B81" t="s">
        <v>23</v>
      </c>
      <c r="C81">
        <v>13736</v>
      </c>
      <c r="D81">
        <v>233</v>
      </c>
      <c r="E81">
        <v>40</v>
      </c>
      <c r="F81" t="s">
        <v>24</v>
      </c>
      <c r="G81" t="s">
        <v>21</v>
      </c>
      <c r="H81">
        <v>58637</v>
      </c>
      <c r="I81">
        <v>54</v>
      </c>
      <c r="J81" t="s">
        <v>15</v>
      </c>
      <c r="K81">
        <v>249978</v>
      </c>
      <c r="L81" t="s">
        <v>25</v>
      </c>
    </row>
    <row r="82" spans="1:12" x14ac:dyDescent="0.3">
      <c r="A82">
        <v>2004</v>
      </c>
      <c r="B82" t="s">
        <v>23</v>
      </c>
      <c r="C82">
        <v>14003</v>
      </c>
      <c r="D82">
        <v>234</v>
      </c>
      <c r="E82">
        <v>41</v>
      </c>
      <c r="F82" t="s">
        <v>24</v>
      </c>
      <c r="G82" t="s">
        <v>21</v>
      </c>
      <c r="H82">
        <v>59777</v>
      </c>
      <c r="I82">
        <v>54.5</v>
      </c>
      <c r="J82" t="s">
        <v>15</v>
      </c>
      <c r="K82">
        <v>637</v>
      </c>
      <c r="L82" t="s">
        <v>25</v>
      </c>
    </row>
    <row r="83" spans="1:12" x14ac:dyDescent="0.3">
      <c r="A83">
        <v>2004</v>
      </c>
      <c r="B83" t="s">
        <v>23</v>
      </c>
      <c r="C83">
        <v>14179</v>
      </c>
      <c r="D83">
        <v>234</v>
      </c>
      <c r="E83">
        <v>41</v>
      </c>
      <c r="F83" t="s">
        <v>24</v>
      </c>
      <c r="G83" t="s">
        <v>21</v>
      </c>
      <c r="H83">
        <v>60528</v>
      </c>
      <c r="I83">
        <v>56.6</v>
      </c>
      <c r="J83" t="s">
        <v>15</v>
      </c>
      <c r="K83">
        <v>43311</v>
      </c>
      <c r="L83" t="s">
        <v>25</v>
      </c>
    </row>
    <row r="84" spans="1:12" x14ac:dyDescent="0.3">
      <c r="A84">
        <v>2004</v>
      </c>
      <c r="B84" t="s">
        <v>23</v>
      </c>
      <c r="C84">
        <v>14319</v>
      </c>
      <c r="D84">
        <v>234</v>
      </c>
      <c r="E84">
        <v>41</v>
      </c>
      <c r="F84" t="s">
        <v>24</v>
      </c>
      <c r="G84" t="s">
        <v>21</v>
      </c>
      <c r="H84">
        <v>61126</v>
      </c>
      <c r="I84">
        <v>55.5</v>
      </c>
      <c r="J84" t="s">
        <v>15</v>
      </c>
      <c r="K84">
        <v>24848</v>
      </c>
      <c r="L84" t="s">
        <v>25</v>
      </c>
    </row>
    <row r="85" spans="1:12" x14ac:dyDescent="0.3">
      <c r="A85">
        <v>2004</v>
      </c>
      <c r="B85" t="s">
        <v>23</v>
      </c>
      <c r="C85">
        <v>14464</v>
      </c>
      <c r="D85">
        <v>3105</v>
      </c>
      <c r="E85">
        <v>42</v>
      </c>
      <c r="F85" t="s">
        <v>24</v>
      </c>
      <c r="G85" t="s">
        <v>21</v>
      </c>
      <c r="H85">
        <v>623687</v>
      </c>
      <c r="I85">
        <v>58.5</v>
      </c>
      <c r="J85" t="s">
        <v>15</v>
      </c>
      <c r="K85">
        <v>761</v>
      </c>
      <c r="L85" t="s">
        <v>25</v>
      </c>
    </row>
    <row r="86" spans="1:12" x14ac:dyDescent="0.3">
      <c r="A86">
        <v>2004</v>
      </c>
      <c r="B86" t="s">
        <v>23</v>
      </c>
      <c r="C86">
        <v>14876</v>
      </c>
      <c r="D86">
        <v>3105</v>
      </c>
      <c r="E86">
        <v>42</v>
      </c>
      <c r="F86" t="s">
        <v>24</v>
      </c>
      <c r="G86" t="s">
        <v>21</v>
      </c>
      <c r="H86">
        <v>63504</v>
      </c>
      <c r="I86">
        <v>59.5</v>
      </c>
      <c r="J86" t="s">
        <v>15</v>
      </c>
      <c r="K86">
        <v>45608</v>
      </c>
      <c r="L86" t="s">
        <v>25</v>
      </c>
    </row>
    <row r="87" spans="1:12" x14ac:dyDescent="0.3">
      <c r="A87">
        <v>2004</v>
      </c>
      <c r="B87" t="s">
        <v>23</v>
      </c>
      <c r="C87">
        <v>14976</v>
      </c>
      <c r="D87">
        <v>3105</v>
      </c>
      <c r="E87">
        <v>42</v>
      </c>
      <c r="F87" t="s">
        <v>24</v>
      </c>
      <c r="G87" t="s">
        <v>21</v>
      </c>
      <c r="H87">
        <v>63931</v>
      </c>
      <c r="I87">
        <v>55</v>
      </c>
      <c r="J87" t="s">
        <v>15</v>
      </c>
      <c r="K87">
        <v>234581</v>
      </c>
      <c r="L87" t="s">
        <v>25</v>
      </c>
    </row>
    <row r="88" spans="1:12" x14ac:dyDescent="0.3">
      <c r="A88">
        <v>2004</v>
      </c>
      <c r="B88" t="s">
        <v>23</v>
      </c>
      <c r="C88">
        <v>15009</v>
      </c>
      <c r="D88">
        <v>236</v>
      </c>
      <c r="E88">
        <v>43</v>
      </c>
      <c r="F88" t="s">
        <v>24</v>
      </c>
      <c r="G88" t="s">
        <v>21</v>
      </c>
      <c r="H88">
        <v>73730</v>
      </c>
      <c r="I88">
        <v>53</v>
      </c>
      <c r="J88" t="s">
        <v>15</v>
      </c>
      <c r="K88">
        <v>646</v>
      </c>
      <c r="L88" t="s">
        <v>25</v>
      </c>
    </row>
    <row r="89" spans="1:12" x14ac:dyDescent="0.3">
      <c r="A89">
        <v>2004</v>
      </c>
      <c r="B89" t="s">
        <v>23</v>
      </c>
      <c r="C89">
        <v>15114</v>
      </c>
      <c r="D89">
        <v>2903.1</v>
      </c>
      <c r="E89">
        <v>27</v>
      </c>
      <c r="F89" t="s">
        <v>24</v>
      </c>
      <c r="G89" t="s">
        <v>26</v>
      </c>
      <c r="H89">
        <v>118416</v>
      </c>
      <c r="I89">
        <v>53.5</v>
      </c>
      <c r="J89" t="s">
        <v>15</v>
      </c>
      <c r="K89">
        <v>43562</v>
      </c>
      <c r="L89" t="s">
        <v>25</v>
      </c>
    </row>
    <row r="90" spans="1:12" x14ac:dyDescent="0.3">
      <c r="A90">
        <v>2004</v>
      </c>
      <c r="B90" t="s">
        <v>23</v>
      </c>
      <c r="C90">
        <v>16224</v>
      </c>
      <c r="D90">
        <v>2903.1</v>
      </c>
      <c r="E90">
        <v>27</v>
      </c>
      <c r="F90" t="s">
        <v>24</v>
      </c>
      <c r="G90" t="s">
        <v>26</v>
      </c>
      <c r="H90">
        <v>130132</v>
      </c>
      <c r="I90">
        <v>52.5</v>
      </c>
      <c r="J90" t="s">
        <v>15</v>
      </c>
      <c r="K90">
        <v>200000</v>
      </c>
      <c r="L90" t="s">
        <v>25</v>
      </c>
    </row>
    <row r="91" spans="1:12" x14ac:dyDescent="0.3">
      <c r="A91">
        <v>2004</v>
      </c>
      <c r="B91" t="s">
        <v>23</v>
      </c>
      <c r="C91">
        <v>17095</v>
      </c>
      <c r="D91">
        <v>2903.1</v>
      </c>
      <c r="E91">
        <v>27</v>
      </c>
      <c r="F91" t="s">
        <v>24</v>
      </c>
      <c r="G91" t="s">
        <v>26</v>
      </c>
      <c r="H91">
        <v>154889</v>
      </c>
      <c r="I91">
        <v>56</v>
      </c>
      <c r="J91" t="s">
        <v>15</v>
      </c>
      <c r="K91">
        <v>4847</v>
      </c>
      <c r="L91" t="s">
        <v>25</v>
      </c>
    </row>
    <row r="92" spans="1:12" x14ac:dyDescent="0.3">
      <c r="A92">
        <v>2004</v>
      </c>
      <c r="B92" t="s">
        <v>23</v>
      </c>
      <c r="C92">
        <v>17512</v>
      </c>
      <c r="D92">
        <v>2996.6</v>
      </c>
      <c r="E92">
        <v>27</v>
      </c>
      <c r="F92" t="s">
        <v>24</v>
      </c>
      <c r="G92" t="s">
        <v>26</v>
      </c>
      <c r="H92">
        <v>171739</v>
      </c>
      <c r="I92">
        <v>57</v>
      </c>
      <c r="J92" t="s">
        <v>15</v>
      </c>
      <c r="K92">
        <v>51239</v>
      </c>
      <c r="L92" t="s">
        <v>25</v>
      </c>
    </row>
    <row r="93" spans="1:12" x14ac:dyDescent="0.3">
      <c r="A93">
        <v>2004</v>
      </c>
      <c r="B93" t="s">
        <v>23</v>
      </c>
      <c r="C93">
        <v>17587</v>
      </c>
      <c r="D93">
        <v>2996.6</v>
      </c>
      <c r="E93">
        <v>27</v>
      </c>
      <c r="F93" t="s">
        <v>24</v>
      </c>
      <c r="G93" t="s">
        <v>26</v>
      </c>
      <c r="H93">
        <v>172475</v>
      </c>
      <c r="I93">
        <v>57.5</v>
      </c>
      <c r="J93" t="s">
        <v>15</v>
      </c>
      <c r="K93">
        <v>216396</v>
      </c>
      <c r="L93" t="s">
        <v>25</v>
      </c>
    </row>
    <row r="94" spans="1:12" x14ac:dyDescent="0.3">
      <c r="A94">
        <v>2004</v>
      </c>
      <c r="B94" t="s">
        <v>23</v>
      </c>
      <c r="C94">
        <v>17771</v>
      </c>
      <c r="D94">
        <v>2996.6</v>
      </c>
      <c r="E94">
        <v>27</v>
      </c>
      <c r="F94" t="s">
        <v>24</v>
      </c>
      <c r="G94" t="s">
        <v>26</v>
      </c>
      <c r="H94">
        <v>177939</v>
      </c>
      <c r="I94">
        <v>57</v>
      </c>
      <c r="J94" t="s">
        <v>15</v>
      </c>
      <c r="K94">
        <v>2644</v>
      </c>
      <c r="L94" t="s">
        <v>25</v>
      </c>
    </row>
    <row r="95" spans="1:12" x14ac:dyDescent="0.3">
      <c r="A95">
        <v>2004</v>
      </c>
      <c r="B95" t="s">
        <v>23</v>
      </c>
      <c r="C95">
        <v>17825</v>
      </c>
      <c r="D95">
        <v>3522.8</v>
      </c>
      <c r="E95">
        <v>27.2</v>
      </c>
      <c r="F95" t="s">
        <v>24</v>
      </c>
      <c r="G95" t="s">
        <v>26</v>
      </c>
      <c r="H95">
        <v>313547</v>
      </c>
      <c r="I95">
        <v>55</v>
      </c>
      <c r="J95" t="s">
        <v>15</v>
      </c>
      <c r="K95">
        <v>44235</v>
      </c>
      <c r="L95" t="s">
        <v>25</v>
      </c>
    </row>
    <row r="96" spans="1:12" x14ac:dyDescent="0.3">
      <c r="A96">
        <v>2004</v>
      </c>
      <c r="B96" t="s">
        <v>23</v>
      </c>
      <c r="C96">
        <v>3147</v>
      </c>
      <c r="D96">
        <v>3522.8</v>
      </c>
      <c r="E96">
        <v>27.2</v>
      </c>
      <c r="F96" t="s">
        <v>24</v>
      </c>
      <c r="G96" t="s">
        <v>26</v>
      </c>
      <c r="H96">
        <v>2783</v>
      </c>
      <c r="I96">
        <v>56</v>
      </c>
      <c r="J96" t="s">
        <v>15</v>
      </c>
      <c r="K96">
        <v>203317</v>
      </c>
      <c r="L96" t="s">
        <v>25</v>
      </c>
    </row>
    <row r="97" spans="1:12" x14ac:dyDescent="0.3">
      <c r="A97">
        <v>2004</v>
      </c>
      <c r="B97" t="s">
        <v>23</v>
      </c>
      <c r="C97">
        <v>2578</v>
      </c>
      <c r="D97">
        <v>3522.8</v>
      </c>
      <c r="E97">
        <v>27.2</v>
      </c>
      <c r="F97" t="s">
        <v>24</v>
      </c>
      <c r="G97" t="s">
        <v>26</v>
      </c>
      <c r="H97">
        <v>1533</v>
      </c>
      <c r="I97">
        <v>54</v>
      </c>
      <c r="J97" t="s">
        <v>15</v>
      </c>
      <c r="K97">
        <v>2134</v>
      </c>
      <c r="L97" t="s">
        <v>25</v>
      </c>
    </row>
    <row r="98" spans="1:12" x14ac:dyDescent="0.3">
      <c r="A98">
        <v>2004</v>
      </c>
      <c r="B98" t="s">
        <v>23</v>
      </c>
      <c r="C98">
        <v>1591</v>
      </c>
      <c r="D98">
        <v>3729.8</v>
      </c>
      <c r="E98">
        <v>27</v>
      </c>
      <c r="F98" t="s">
        <v>24</v>
      </c>
      <c r="G98" t="s">
        <v>26</v>
      </c>
      <c r="H98">
        <v>1647</v>
      </c>
      <c r="I98">
        <v>58</v>
      </c>
      <c r="J98" t="s">
        <v>15</v>
      </c>
      <c r="K98">
        <v>45186</v>
      </c>
      <c r="L98" t="s">
        <v>25</v>
      </c>
    </row>
    <row r="99" spans="1:12" x14ac:dyDescent="0.3">
      <c r="A99">
        <v>2004</v>
      </c>
      <c r="B99" t="s">
        <v>23</v>
      </c>
      <c r="C99">
        <v>1298</v>
      </c>
      <c r="D99">
        <v>3729.8</v>
      </c>
      <c r="E99">
        <v>27</v>
      </c>
      <c r="F99" t="s">
        <v>24</v>
      </c>
      <c r="G99" t="s">
        <v>26</v>
      </c>
      <c r="H99">
        <v>975</v>
      </c>
      <c r="I99">
        <v>58</v>
      </c>
      <c r="J99" t="s">
        <v>15</v>
      </c>
      <c r="K99">
        <v>238542</v>
      </c>
      <c r="L99" t="s">
        <v>25</v>
      </c>
    </row>
    <row r="100" spans="1:12" x14ac:dyDescent="0.3">
      <c r="A100">
        <v>2004</v>
      </c>
      <c r="B100" t="s">
        <v>23</v>
      </c>
      <c r="C100">
        <v>4</v>
      </c>
      <c r="D100">
        <v>3729.8</v>
      </c>
      <c r="E100">
        <v>27</v>
      </c>
      <c r="F100" t="s">
        <v>24</v>
      </c>
      <c r="G100" t="s">
        <v>26</v>
      </c>
      <c r="H100">
        <v>2</v>
      </c>
      <c r="I100">
        <v>59</v>
      </c>
      <c r="J100" t="s">
        <v>15</v>
      </c>
      <c r="K100">
        <v>1516</v>
      </c>
      <c r="L100" t="s">
        <v>25</v>
      </c>
    </row>
    <row r="101" spans="1:12" x14ac:dyDescent="0.3">
      <c r="A101">
        <v>2004</v>
      </c>
      <c r="B101" t="s">
        <v>23</v>
      </c>
      <c r="C101">
        <v>1122</v>
      </c>
      <c r="D101">
        <v>2746.2</v>
      </c>
      <c r="E101">
        <v>27</v>
      </c>
      <c r="F101" t="s">
        <v>24</v>
      </c>
      <c r="G101" t="s">
        <v>26</v>
      </c>
      <c r="H101">
        <v>836</v>
      </c>
      <c r="I101">
        <v>50</v>
      </c>
      <c r="J101" t="s">
        <v>15</v>
      </c>
      <c r="K101">
        <v>57259</v>
      </c>
      <c r="L101" t="s">
        <v>25</v>
      </c>
    </row>
    <row r="102" spans="1:12" x14ac:dyDescent="0.3">
      <c r="A102">
        <v>2004</v>
      </c>
      <c r="B102" t="s">
        <v>23</v>
      </c>
      <c r="C102">
        <v>917</v>
      </c>
      <c r="D102">
        <v>2746.2</v>
      </c>
      <c r="E102">
        <v>27</v>
      </c>
      <c r="F102" t="s">
        <v>27</v>
      </c>
      <c r="G102" t="s">
        <v>26</v>
      </c>
      <c r="H102">
        <v>806</v>
      </c>
      <c r="I102">
        <v>54</v>
      </c>
      <c r="J102" t="s">
        <v>15</v>
      </c>
      <c r="K102">
        <v>234779</v>
      </c>
      <c r="L102" t="s">
        <v>25</v>
      </c>
    </row>
    <row r="103" spans="1:12" x14ac:dyDescent="0.3">
      <c r="A103">
        <v>2004</v>
      </c>
      <c r="B103" t="s">
        <v>23</v>
      </c>
      <c r="C103">
        <v>819</v>
      </c>
      <c r="D103">
        <v>2746.2</v>
      </c>
      <c r="E103">
        <v>27</v>
      </c>
      <c r="F103" t="s">
        <v>27</v>
      </c>
      <c r="G103" t="s">
        <v>26</v>
      </c>
      <c r="H103">
        <v>880</v>
      </c>
      <c r="I103">
        <v>53</v>
      </c>
      <c r="J103" t="s">
        <v>15</v>
      </c>
      <c r="K103">
        <v>1493</v>
      </c>
      <c r="L103" t="s">
        <v>25</v>
      </c>
    </row>
    <row r="104" spans="1:12" x14ac:dyDescent="0.3">
      <c r="A104">
        <v>2004</v>
      </c>
      <c r="B104" t="s">
        <v>23</v>
      </c>
      <c r="C104">
        <v>619</v>
      </c>
      <c r="D104">
        <v>3360</v>
      </c>
      <c r="E104">
        <v>27.2</v>
      </c>
      <c r="F104" t="s">
        <v>27</v>
      </c>
      <c r="G104" t="s">
        <v>26</v>
      </c>
      <c r="H104">
        <v>770</v>
      </c>
      <c r="I104">
        <v>52</v>
      </c>
      <c r="J104" t="s">
        <v>15</v>
      </c>
      <c r="K104">
        <v>64409</v>
      </c>
      <c r="L104" t="s">
        <v>25</v>
      </c>
    </row>
    <row r="105" spans="1:12" x14ac:dyDescent="0.3">
      <c r="A105">
        <v>2004</v>
      </c>
      <c r="B105" t="s">
        <v>23</v>
      </c>
      <c r="C105">
        <v>391</v>
      </c>
      <c r="D105">
        <v>3360</v>
      </c>
      <c r="E105">
        <v>27.2</v>
      </c>
      <c r="F105" t="s">
        <v>27</v>
      </c>
      <c r="G105" t="s">
        <v>26</v>
      </c>
      <c r="H105">
        <v>395</v>
      </c>
      <c r="I105">
        <v>51</v>
      </c>
      <c r="J105" t="s">
        <v>15</v>
      </c>
      <c r="K105">
        <v>249978</v>
      </c>
      <c r="L105" t="s">
        <v>25</v>
      </c>
    </row>
    <row r="106" spans="1:12" x14ac:dyDescent="0.3">
      <c r="A106">
        <v>2004</v>
      </c>
      <c r="B106" t="s">
        <v>23</v>
      </c>
      <c r="C106">
        <v>211</v>
      </c>
      <c r="D106">
        <v>3360</v>
      </c>
      <c r="E106">
        <v>27.2</v>
      </c>
      <c r="F106" t="s">
        <v>27</v>
      </c>
      <c r="G106" t="s">
        <v>26</v>
      </c>
      <c r="H106">
        <v>187</v>
      </c>
      <c r="I106">
        <v>57</v>
      </c>
      <c r="J106" t="s">
        <v>15</v>
      </c>
      <c r="K106">
        <v>637</v>
      </c>
      <c r="L106" t="s">
        <v>25</v>
      </c>
    </row>
    <row r="107" spans="1:12" x14ac:dyDescent="0.3">
      <c r="A107">
        <v>2004</v>
      </c>
      <c r="B107" t="s">
        <v>23</v>
      </c>
      <c r="C107">
        <v>153</v>
      </c>
      <c r="D107">
        <v>3605.4</v>
      </c>
      <c r="E107">
        <v>27.1</v>
      </c>
      <c r="F107" t="s">
        <v>27</v>
      </c>
      <c r="G107" t="s">
        <v>26</v>
      </c>
      <c r="H107">
        <v>187</v>
      </c>
      <c r="I107">
        <v>57</v>
      </c>
      <c r="J107" t="s">
        <v>15</v>
      </c>
      <c r="K107">
        <v>43311</v>
      </c>
      <c r="L107" t="s">
        <v>25</v>
      </c>
    </row>
    <row r="108" spans="1:12" x14ac:dyDescent="0.3">
      <c r="A108">
        <v>2004</v>
      </c>
      <c r="B108" t="s">
        <v>23</v>
      </c>
      <c r="C108">
        <v>111</v>
      </c>
      <c r="D108">
        <v>3605.4</v>
      </c>
      <c r="E108">
        <v>27.1</v>
      </c>
      <c r="F108" t="s">
        <v>27</v>
      </c>
      <c r="G108" t="s">
        <v>26</v>
      </c>
      <c r="H108">
        <v>121</v>
      </c>
      <c r="I108">
        <v>60</v>
      </c>
      <c r="J108" t="s">
        <v>15</v>
      </c>
      <c r="K108">
        <v>24848</v>
      </c>
      <c r="L108" t="s">
        <v>25</v>
      </c>
    </row>
    <row r="109" spans="1:12" x14ac:dyDescent="0.3">
      <c r="A109">
        <v>2004</v>
      </c>
      <c r="B109" t="s">
        <v>23</v>
      </c>
      <c r="C109">
        <v>76</v>
      </c>
      <c r="D109">
        <v>3605.4</v>
      </c>
      <c r="E109">
        <v>27.1</v>
      </c>
      <c r="F109" t="s">
        <v>27</v>
      </c>
      <c r="G109" t="s">
        <v>26</v>
      </c>
      <c r="H109">
        <v>103</v>
      </c>
      <c r="I109">
        <v>57</v>
      </c>
      <c r="J109" t="s">
        <v>15</v>
      </c>
      <c r="K109">
        <v>761</v>
      </c>
      <c r="L109" t="s">
        <v>25</v>
      </c>
    </row>
    <row r="110" spans="1:12" x14ac:dyDescent="0.3">
      <c r="A110">
        <v>2004</v>
      </c>
      <c r="B110" t="s">
        <v>23</v>
      </c>
      <c r="C110">
        <v>53</v>
      </c>
      <c r="D110">
        <v>3512.4</v>
      </c>
      <c r="E110">
        <v>26.8</v>
      </c>
      <c r="F110" t="s">
        <v>27</v>
      </c>
      <c r="G110" t="s">
        <v>26</v>
      </c>
      <c r="H110">
        <v>71</v>
      </c>
      <c r="I110">
        <v>57</v>
      </c>
      <c r="J110" t="s">
        <v>15</v>
      </c>
      <c r="K110">
        <v>45608</v>
      </c>
      <c r="L110" t="s">
        <v>25</v>
      </c>
    </row>
    <row r="111" spans="1:12" x14ac:dyDescent="0.3">
      <c r="A111">
        <v>2004</v>
      </c>
      <c r="B111" t="s">
        <v>23</v>
      </c>
      <c r="C111">
        <v>2688</v>
      </c>
      <c r="D111">
        <v>3512.4</v>
      </c>
      <c r="E111">
        <v>26.8</v>
      </c>
      <c r="F111" t="s">
        <v>27</v>
      </c>
      <c r="G111" t="s">
        <v>26</v>
      </c>
      <c r="H111">
        <v>3961</v>
      </c>
      <c r="I111">
        <v>54</v>
      </c>
      <c r="J111" t="s">
        <v>15</v>
      </c>
      <c r="K111">
        <v>234581</v>
      </c>
      <c r="L111" t="s">
        <v>25</v>
      </c>
    </row>
    <row r="112" spans="1:12" x14ac:dyDescent="0.3">
      <c r="A112">
        <v>2004</v>
      </c>
      <c r="B112" t="s">
        <v>23</v>
      </c>
      <c r="C112">
        <v>2311</v>
      </c>
      <c r="D112">
        <v>3512.4</v>
      </c>
      <c r="E112">
        <v>26.8</v>
      </c>
      <c r="F112" t="s">
        <v>27</v>
      </c>
      <c r="G112" t="s">
        <v>26</v>
      </c>
      <c r="H112">
        <v>4247</v>
      </c>
      <c r="I112">
        <v>54.5</v>
      </c>
      <c r="J112" t="s">
        <v>15</v>
      </c>
      <c r="K112">
        <v>646</v>
      </c>
      <c r="L112" t="s">
        <v>25</v>
      </c>
    </row>
    <row r="113" spans="1:12" x14ac:dyDescent="0.3">
      <c r="A113">
        <v>2004</v>
      </c>
      <c r="B113" t="s">
        <v>23</v>
      </c>
      <c r="C113">
        <v>2188</v>
      </c>
      <c r="D113">
        <v>3296</v>
      </c>
      <c r="E113">
        <v>37</v>
      </c>
      <c r="F113" t="s">
        <v>27</v>
      </c>
      <c r="G113" t="s">
        <v>26</v>
      </c>
      <c r="H113">
        <v>3290</v>
      </c>
      <c r="I113">
        <v>56.6</v>
      </c>
      <c r="J113" t="s">
        <v>15</v>
      </c>
      <c r="K113">
        <v>43562</v>
      </c>
      <c r="L113" t="s">
        <v>25</v>
      </c>
    </row>
    <row r="114" spans="1:12" x14ac:dyDescent="0.3">
      <c r="A114">
        <v>2004</v>
      </c>
      <c r="B114" t="s">
        <v>23</v>
      </c>
      <c r="C114">
        <v>1998</v>
      </c>
      <c r="D114">
        <v>3296</v>
      </c>
      <c r="E114">
        <v>37</v>
      </c>
      <c r="F114" t="s">
        <v>27</v>
      </c>
      <c r="G114" t="s">
        <v>26</v>
      </c>
      <c r="H114">
        <v>3138</v>
      </c>
      <c r="I114">
        <v>55.5</v>
      </c>
      <c r="J114" t="s">
        <v>15</v>
      </c>
      <c r="K114">
        <v>200000</v>
      </c>
      <c r="L114" t="s">
        <v>25</v>
      </c>
    </row>
    <row r="115" spans="1:12" x14ac:dyDescent="0.3">
      <c r="A115">
        <v>2004</v>
      </c>
      <c r="B115" t="s">
        <v>23</v>
      </c>
      <c r="C115">
        <v>2006</v>
      </c>
      <c r="D115">
        <v>3296</v>
      </c>
      <c r="E115">
        <v>37</v>
      </c>
      <c r="F115" t="s">
        <v>27</v>
      </c>
      <c r="G115" t="s">
        <v>26</v>
      </c>
      <c r="H115">
        <v>3423</v>
      </c>
      <c r="I115">
        <v>58.5</v>
      </c>
      <c r="J115" t="s">
        <v>15</v>
      </c>
      <c r="K115">
        <v>4847</v>
      </c>
      <c r="L115" t="s">
        <v>25</v>
      </c>
    </row>
    <row r="116" spans="1:12" x14ac:dyDescent="0.3">
      <c r="A116">
        <v>2004</v>
      </c>
      <c r="B116" t="s">
        <v>23</v>
      </c>
      <c r="C116">
        <v>2034</v>
      </c>
      <c r="D116">
        <v>3550</v>
      </c>
      <c r="E116">
        <v>38</v>
      </c>
      <c r="F116" t="s">
        <v>27</v>
      </c>
      <c r="G116" t="s">
        <v>26</v>
      </c>
      <c r="H116">
        <v>3899</v>
      </c>
      <c r="I116">
        <v>59.5</v>
      </c>
      <c r="J116" t="s">
        <v>15</v>
      </c>
      <c r="K116">
        <v>51239</v>
      </c>
      <c r="L116" t="s">
        <v>25</v>
      </c>
    </row>
    <row r="117" spans="1:12" x14ac:dyDescent="0.3">
      <c r="A117">
        <v>2004</v>
      </c>
      <c r="B117" t="s">
        <v>23</v>
      </c>
      <c r="C117">
        <v>2035</v>
      </c>
      <c r="D117">
        <v>3550</v>
      </c>
      <c r="E117">
        <v>38</v>
      </c>
      <c r="F117" t="s">
        <v>27</v>
      </c>
      <c r="G117" t="s">
        <v>26</v>
      </c>
      <c r="H117">
        <v>4015</v>
      </c>
      <c r="I117">
        <v>55</v>
      </c>
      <c r="J117" t="s">
        <v>15</v>
      </c>
      <c r="K117">
        <v>216396</v>
      </c>
      <c r="L117" t="s">
        <v>25</v>
      </c>
    </row>
    <row r="118" spans="1:12" x14ac:dyDescent="0.3">
      <c r="A118">
        <v>2004</v>
      </c>
      <c r="B118" t="s">
        <v>23</v>
      </c>
      <c r="C118">
        <v>2074</v>
      </c>
      <c r="D118">
        <v>3550</v>
      </c>
      <c r="E118">
        <v>38</v>
      </c>
      <c r="F118" t="s">
        <v>27</v>
      </c>
      <c r="G118" t="s">
        <v>26</v>
      </c>
      <c r="H118">
        <v>4279</v>
      </c>
      <c r="I118">
        <v>53</v>
      </c>
      <c r="J118" t="s">
        <v>15</v>
      </c>
      <c r="K118">
        <v>2644</v>
      </c>
      <c r="L118" t="s">
        <v>25</v>
      </c>
    </row>
    <row r="119" spans="1:12" x14ac:dyDescent="0.3">
      <c r="A119">
        <v>2004</v>
      </c>
      <c r="B119" t="s">
        <v>23</v>
      </c>
      <c r="C119">
        <v>2127</v>
      </c>
      <c r="D119">
        <v>3654</v>
      </c>
      <c r="E119">
        <v>39</v>
      </c>
      <c r="F119" t="s">
        <v>27</v>
      </c>
      <c r="G119" t="s">
        <v>26</v>
      </c>
      <c r="H119">
        <v>4167</v>
      </c>
      <c r="I119">
        <v>53.5</v>
      </c>
      <c r="J119" t="s">
        <v>15</v>
      </c>
      <c r="K119">
        <v>44235</v>
      </c>
      <c r="L119" t="s">
        <v>25</v>
      </c>
    </row>
    <row r="120" spans="1:12" x14ac:dyDescent="0.3">
      <c r="A120">
        <v>2004</v>
      </c>
      <c r="B120" t="s">
        <v>23</v>
      </c>
      <c r="C120">
        <v>2090</v>
      </c>
      <c r="D120">
        <v>3654</v>
      </c>
      <c r="E120">
        <v>39</v>
      </c>
      <c r="F120" t="s">
        <v>27</v>
      </c>
      <c r="G120" t="s">
        <v>26</v>
      </c>
      <c r="H120">
        <v>4479</v>
      </c>
      <c r="I120">
        <v>52.5</v>
      </c>
      <c r="J120" t="s">
        <v>15</v>
      </c>
      <c r="K120">
        <v>203317</v>
      </c>
      <c r="L120" t="s">
        <v>25</v>
      </c>
    </row>
    <row r="121" spans="1:12" x14ac:dyDescent="0.3">
      <c r="A121">
        <v>2004</v>
      </c>
      <c r="B121" t="s">
        <v>23</v>
      </c>
      <c r="C121">
        <v>2059</v>
      </c>
      <c r="D121">
        <v>3654</v>
      </c>
      <c r="E121">
        <v>39</v>
      </c>
      <c r="F121" t="s">
        <v>27</v>
      </c>
      <c r="G121" t="s">
        <v>26</v>
      </c>
      <c r="H121">
        <v>3699</v>
      </c>
      <c r="I121">
        <v>56</v>
      </c>
      <c r="J121" t="s">
        <v>15</v>
      </c>
      <c r="K121">
        <v>2134</v>
      </c>
      <c r="L121" t="s">
        <v>25</v>
      </c>
    </row>
    <row r="122" spans="1:12" x14ac:dyDescent="0.3">
      <c r="A122">
        <v>2004</v>
      </c>
      <c r="B122" t="s">
        <v>23</v>
      </c>
      <c r="C122">
        <v>2050</v>
      </c>
      <c r="D122">
        <v>233</v>
      </c>
      <c r="E122">
        <v>40</v>
      </c>
      <c r="F122" t="s">
        <v>27</v>
      </c>
      <c r="G122" t="s">
        <v>26</v>
      </c>
      <c r="H122">
        <v>4904</v>
      </c>
      <c r="I122">
        <v>57</v>
      </c>
      <c r="J122" t="s">
        <v>15</v>
      </c>
      <c r="K122">
        <v>45186</v>
      </c>
      <c r="L122" t="s">
        <v>25</v>
      </c>
    </row>
    <row r="123" spans="1:12" x14ac:dyDescent="0.3">
      <c r="A123">
        <v>2004</v>
      </c>
      <c r="B123" t="s">
        <v>23</v>
      </c>
      <c r="C123">
        <v>1865</v>
      </c>
      <c r="D123">
        <v>233</v>
      </c>
      <c r="E123">
        <v>40</v>
      </c>
      <c r="F123" t="s">
        <v>27</v>
      </c>
      <c r="G123" t="s">
        <v>26</v>
      </c>
      <c r="H123">
        <v>2821</v>
      </c>
      <c r="I123">
        <v>57.5</v>
      </c>
      <c r="J123" t="s">
        <v>15</v>
      </c>
      <c r="K123">
        <v>238542</v>
      </c>
      <c r="L123" t="s">
        <v>25</v>
      </c>
    </row>
    <row r="124" spans="1:12" x14ac:dyDescent="0.3">
      <c r="A124">
        <v>2004</v>
      </c>
      <c r="B124" t="s">
        <v>23</v>
      </c>
      <c r="C124">
        <v>1841</v>
      </c>
      <c r="D124">
        <v>233</v>
      </c>
      <c r="E124">
        <v>40</v>
      </c>
      <c r="F124" t="s">
        <v>27</v>
      </c>
      <c r="G124" t="s">
        <v>26</v>
      </c>
      <c r="H124">
        <v>3472</v>
      </c>
      <c r="I124">
        <v>57</v>
      </c>
      <c r="J124" t="s">
        <v>15</v>
      </c>
      <c r="K124">
        <v>1516</v>
      </c>
      <c r="L124" t="s">
        <v>25</v>
      </c>
    </row>
    <row r="125" spans="1:12" x14ac:dyDescent="0.3">
      <c r="A125">
        <v>2004</v>
      </c>
      <c r="B125" t="s">
        <v>23</v>
      </c>
      <c r="C125">
        <v>1799</v>
      </c>
      <c r="D125">
        <v>234</v>
      </c>
      <c r="E125">
        <v>41</v>
      </c>
      <c r="F125" t="s">
        <v>27</v>
      </c>
      <c r="G125" t="s">
        <v>26</v>
      </c>
      <c r="H125">
        <v>3647</v>
      </c>
      <c r="I125">
        <v>55</v>
      </c>
      <c r="J125" t="s">
        <v>15</v>
      </c>
      <c r="K125">
        <v>200000</v>
      </c>
      <c r="L125" t="s">
        <v>25</v>
      </c>
    </row>
    <row r="126" spans="1:12" x14ac:dyDescent="0.3">
      <c r="A126">
        <v>2004</v>
      </c>
      <c r="B126" t="s">
        <v>23</v>
      </c>
      <c r="C126">
        <v>1468</v>
      </c>
      <c r="D126">
        <v>234</v>
      </c>
      <c r="E126">
        <v>41</v>
      </c>
      <c r="F126" t="s">
        <v>27</v>
      </c>
      <c r="G126" t="s">
        <v>26</v>
      </c>
      <c r="H126">
        <v>393</v>
      </c>
      <c r="I126">
        <v>56</v>
      </c>
      <c r="J126" t="s">
        <v>15</v>
      </c>
      <c r="K126">
        <v>4847</v>
      </c>
      <c r="L126" t="s">
        <v>25</v>
      </c>
    </row>
    <row r="127" spans="1:12" x14ac:dyDescent="0.3">
      <c r="A127">
        <v>2004</v>
      </c>
      <c r="B127" t="s">
        <v>23</v>
      </c>
      <c r="C127">
        <v>568</v>
      </c>
      <c r="D127">
        <v>234</v>
      </c>
      <c r="E127">
        <v>41</v>
      </c>
      <c r="F127" t="s">
        <v>19</v>
      </c>
      <c r="G127" t="s">
        <v>26</v>
      </c>
      <c r="H127">
        <v>167</v>
      </c>
      <c r="I127">
        <v>54</v>
      </c>
      <c r="J127" t="s">
        <v>15</v>
      </c>
      <c r="K127">
        <v>51239</v>
      </c>
      <c r="L127" t="s">
        <v>25</v>
      </c>
    </row>
    <row r="128" spans="1:12" x14ac:dyDescent="0.3">
      <c r="A128">
        <v>2004</v>
      </c>
      <c r="B128" t="s">
        <v>23</v>
      </c>
      <c r="C128">
        <v>407</v>
      </c>
      <c r="D128">
        <v>3105</v>
      </c>
      <c r="E128">
        <v>42</v>
      </c>
      <c r="F128" t="s">
        <v>19</v>
      </c>
      <c r="G128" t="s">
        <v>26</v>
      </c>
      <c r="H128">
        <v>71</v>
      </c>
      <c r="I128">
        <v>58</v>
      </c>
      <c r="J128" t="s">
        <v>15</v>
      </c>
      <c r="K128">
        <v>216396</v>
      </c>
      <c r="L128" t="s">
        <v>25</v>
      </c>
    </row>
    <row r="129" spans="1:12" x14ac:dyDescent="0.3">
      <c r="A129">
        <v>2004</v>
      </c>
      <c r="B129" t="s">
        <v>23</v>
      </c>
      <c r="C129">
        <v>177</v>
      </c>
      <c r="D129">
        <v>3105</v>
      </c>
      <c r="E129">
        <v>42</v>
      </c>
      <c r="F129" t="s">
        <v>19</v>
      </c>
      <c r="G129" t="s">
        <v>26</v>
      </c>
      <c r="H129">
        <v>52</v>
      </c>
      <c r="I129">
        <v>58</v>
      </c>
      <c r="J129" t="s">
        <v>15</v>
      </c>
      <c r="K129">
        <v>2644</v>
      </c>
      <c r="L129" t="s">
        <v>25</v>
      </c>
    </row>
    <row r="130" spans="1:12" x14ac:dyDescent="0.3">
      <c r="A130">
        <v>2004</v>
      </c>
      <c r="B130" t="s">
        <v>23</v>
      </c>
      <c r="C130">
        <v>51</v>
      </c>
      <c r="D130">
        <v>3105</v>
      </c>
      <c r="E130">
        <v>42</v>
      </c>
      <c r="F130" t="s">
        <v>19</v>
      </c>
      <c r="G130" t="s">
        <v>26</v>
      </c>
      <c r="H130">
        <v>12</v>
      </c>
      <c r="I130">
        <v>59</v>
      </c>
      <c r="J130" t="s">
        <v>15</v>
      </c>
      <c r="K130">
        <v>44235</v>
      </c>
      <c r="L130" t="s">
        <v>25</v>
      </c>
    </row>
    <row r="131" spans="1:12" x14ac:dyDescent="0.3">
      <c r="A131">
        <v>2004</v>
      </c>
      <c r="B131" t="s">
        <v>23</v>
      </c>
      <c r="C131">
        <v>173</v>
      </c>
      <c r="D131">
        <v>236</v>
      </c>
      <c r="E131">
        <v>43</v>
      </c>
      <c r="F131" t="s">
        <v>19</v>
      </c>
      <c r="G131" t="s">
        <v>26</v>
      </c>
      <c r="H131">
        <v>51</v>
      </c>
      <c r="I131">
        <v>50</v>
      </c>
      <c r="J131" t="s">
        <v>15</v>
      </c>
      <c r="K131">
        <v>203317</v>
      </c>
      <c r="L131" t="s">
        <v>25</v>
      </c>
    </row>
    <row r="132" spans="1:12" x14ac:dyDescent="0.3">
      <c r="A132">
        <v>2004</v>
      </c>
      <c r="B132" t="s">
        <v>23</v>
      </c>
      <c r="C132">
        <v>201</v>
      </c>
      <c r="D132">
        <v>236</v>
      </c>
      <c r="E132">
        <v>43</v>
      </c>
      <c r="F132" t="s">
        <v>19</v>
      </c>
      <c r="G132" t="s">
        <v>26</v>
      </c>
      <c r="H132">
        <v>61</v>
      </c>
      <c r="I132">
        <v>54</v>
      </c>
      <c r="J132" t="s">
        <v>15</v>
      </c>
      <c r="K132">
        <v>2134</v>
      </c>
      <c r="L132" t="s">
        <v>25</v>
      </c>
    </row>
    <row r="133" spans="1:12" x14ac:dyDescent="0.3">
      <c r="A133">
        <v>2013</v>
      </c>
      <c r="B133" t="s">
        <v>23</v>
      </c>
      <c r="C133">
        <v>206</v>
      </c>
      <c r="D133">
        <v>321</v>
      </c>
      <c r="E133">
        <v>128</v>
      </c>
      <c r="F133" t="s">
        <v>19</v>
      </c>
      <c r="G133" t="s">
        <v>14</v>
      </c>
      <c r="H133">
        <v>67</v>
      </c>
      <c r="I133">
        <v>53</v>
      </c>
      <c r="J133" t="s">
        <v>28</v>
      </c>
      <c r="K133">
        <v>45186</v>
      </c>
      <c r="L133" t="s">
        <v>25</v>
      </c>
    </row>
    <row r="134" spans="1:12" x14ac:dyDescent="0.3">
      <c r="A134">
        <v>2014</v>
      </c>
      <c r="B134" t="s">
        <v>23</v>
      </c>
      <c r="C134">
        <v>243</v>
      </c>
      <c r="D134">
        <v>3654</v>
      </c>
      <c r="E134">
        <v>129</v>
      </c>
      <c r="F134" t="s">
        <v>19</v>
      </c>
      <c r="G134" t="s">
        <v>14</v>
      </c>
      <c r="H134">
        <v>62</v>
      </c>
      <c r="I134">
        <v>52</v>
      </c>
      <c r="J134" t="s">
        <v>28</v>
      </c>
      <c r="K134">
        <v>238542</v>
      </c>
      <c r="L134" t="s">
        <v>25</v>
      </c>
    </row>
    <row r="135" spans="1:12" x14ac:dyDescent="0.3">
      <c r="A135">
        <v>2015</v>
      </c>
      <c r="B135" t="s">
        <v>23</v>
      </c>
      <c r="C135">
        <v>123</v>
      </c>
      <c r="D135">
        <v>323</v>
      </c>
      <c r="E135">
        <v>130</v>
      </c>
      <c r="F135" t="s">
        <v>19</v>
      </c>
      <c r="G135" t="s">
        <v>14</v>
      </c>
      <c r="H135">
        <v>32</v>
      </c>
      <c r="I135">
        <v>51</v>
      </c>
      <c r="J135" t="s">
        <v>28</v>
      </c>
      <c r="K135">
        <v>1516</v>
      </c>
      <c r="L135" t="s">
        <v>25</v>
      </c>
    </row>
    <row r="136" spans="1:12" x14ac:dyDescent="0.3">
      <c r="A136">
        <v>2016</v>
      </c>
      <c r="B136" t="s">
        <v>23</v>
      </c>
      <c r="C136">
        <v>82</v>
      </c>
      <c r="D136">
        <v>324</v>
      </c>
      <c r="E136">
        <v>131</v>
      </c>
      <c r="F136" t="s">
        <v>19</v>
      </c>
      <c r="G136" t="s">
        <v>14</v>
      </c>
      <c r="H136">
        <v>22</v>
      </c>
      <c r="I136">
        <v>57</v>
      </c>
      <c r="J136" t="s">
        <v>28</v>
      </c>
      <c r="K136">
        <v>57259</v>
      </c>
      <c r="L136" t="s">
        <v>25</v>
      </c>
    </row>
    <row r="137" spans="1:12" x14ac:dyDescent="0.3">
      <c r="A137">
        <v>2017</v>
      </c>
      <c r="B137" t="s">
        <v>23</v>
      </c>
      <c r="C137">
        <v>74</v>
      </c>
      <c r="D137">
        <v>3105</v>
      </c>
      <c r="E137">
        <v>132</v>
      </c>
      <c r="F137" t="s">
        <v>19</v>
      </c>
      <c r="G137" t="s">
        <v>14</v>
      </c>
      <c r="H137">
        <v>25</v>
      </c>
      <c r="I137">
        <v>57</v>
      </c>
      <c r="J137" t="s">
        <v>28</v>
      </c>
      <c r="K137">
        <v>234779</v>
      </c>
      <c r="L137" t="s">
        <v>25</v>
      </c>
    </row>
    <row r="138" spans="1:12" x14ac:dyDescent="0.3">
      <c r="A138">
        <v>2018</v>
      </c>
      <c r="B138" t="s">
        <v>23</v>
      </c>
      <c r="C138">
        <v>18</v>
      </c>
      <c r="D138">
        <v>326</v>
      </c>
      <c r="E138">
        <v>133</v>
      </c>
      <c r="F138" t="s">
        <v>19</v>
      </c>
      <c r="G138" t="s">
        <v>14</v>
      </c>
      <c r="H138">
        <v>4</v>
      </c>
      <c r="I138">
        <v>60</v>
      </c>
      <c r="J138" t="s">
        <v>28</v>
      </c>
      <c r="K138">
        <v>1493</v>
      </c>
      <c r="L138" t="s">
        <v>25</v>
      </c>
    </row>
    <row r="139" spans="1:12" x14ac:dyDescent="0.3">
      <c r="A139">
        <v>2004</v>
      </c>
      <c r="B139" t="s">
        <v>23</v>
      </c>
      <c r="C139">
        <v>37</v>
      </c>
      <c r="D139">
        <v>327</v>
      </c>
      <c r="E139">
        <v>134</v>
      </c>
      <c r="F139" t="s">
        <v>19</v>
      </c>
      <c r="G139" t="s">
        <v>14</v>
      </c>
      <c r="H139">
        <v>9</v>
      </c>
      <c r="I139">
        <v>57</v>
      </c>
      <c r="J139" t="s">
        <v>29</v>
      </c>
      <c r="K139">
        <v>64409</v>
      </c>
      <c r="L139" t="s">
        <v>25</v>
      </c>
    </row>
    <row r="140" spans="1:12" x14ac:dyDescent="0.3">
      <c r="A140">
        <v>2005</v>
      </c>
      <c r="B140" t="s">
        <v>23</v>
      </c>
      <c r="C140">
        <v>35</v>
      </c>
      <c r="D140">
        <v>328</v>
      </c>
      <c r="E140">
        <v>135</v>
      </c>
      <c r="F140" t="s">
        <v>19</v>
      </c>
      <c r="G140" t="s">
        <v>14</v>
      </c>
      <c r="H140">
        <v>12</v>
      </c>
      <c r="I140">
        <v>57</v>
      </c>
      <c r="J140" t="s">
        <v>29</v>
      </c>
      <c r="K140">
        <v>249978</v>
      </c>
      <c r="L140" t="s">
        <v>25</v>
      </c>
    </row>
    <row r="141" spans="1:12" x14ac:dyDescent="0.3">
      <c r="A141">
        <v>2006</v>
      </c>
      <c r="B141" t="s">
        <v>23</v>
      </c>
      <c r="C141">
        <v>5974</v>
      </c>
      <c r="D141">
        <v>2903.1</v>
      </c>
      <c r="E141">
        <v>136</v>
      </c>
      <c r="F141" t="s">
        <v>19</v>
      </c>
      <c r="G141" t="s">
        <v>14</v>
      </c>
      <c r="H141">
        <v>2089</v>
      </c>
      <c r="I141">
        <v>54</v>
      </c>
      <c r="J141" t="s">
        <v>29</v>
      </c>
      <c r="K141">
        <v>637</v>
      </c>
      <c r="L141" t="s">
        <v>25</v>
      </c>
    </row>
    <row r="142" spans="1:12" x14ac:dyDescent="0.3">
      <c r="A142">
        <v>2007</v>
      </c>
      <c r="B142" t="s">
        <v>23</v>
      </c>
      <c r="C142">
        <v>6631</v>
      </c>
      <c r="D142">
        <v>2903.1</v>
      </c>
      <c r="E142">
        <v>137</v>
      </c>
      <c r="F142" t="s">
        <v>19</v>
      </c>
      <c r="G142" t="s">
        <v>14</v>
      </c>
      <c r="H142">
        <v>2810</v>
      </c>
      <c r="I142">
        <v>54.5</v>
      </c>
      <c r="J142" t="s">
        <v>29</v>
      </c>
      <c r="K142">
        <v>43311</v>
      </c>
      <c r="L142" t="s">
        <v>25</v>
      </c>
    </row>
    <row r="143" spans="1:12" x14ac:dyDescent="0.3">
      <c r="A143">
        <v>2008</v>
      </c>
      <c r="B143" t="s">
        <v>23</v>
      </c>
      <c r="C143">
        <v>6705</v>
      </c>
      <c r="D143">
        <v>2903.1</v>
      </c>
      <c r="E143">
        <v>138</v>
      </c>
      <c r="F143" t="s">
        <v>19</v>
      </c>
      <c r="G143" t="s">
        <v>14</v>
      </c>
      <c r="H143">
        <v>841</v>
      </c>
      <c r="I143">
        <v>56.6</v>
      </c>
      <c r="J143" t="s">
        <v>29</v>
      </c>
      <c r="K143">
        <v>24848</v>
      </c>
      <c r="L143" t="s">
        <v>25</v>
      </c>
    </row>
    <row r="144" spans="1:12" x14ac:dyDescent="0.3">
      <c r="A144">
        <v>2009</v>
      </c>
      <c r="B144" t="s">
        <v>23</v>
      </c>
      <c r="C144">
        <v>5876</v>
      </c>
      <c r="D144">
        <v>2996.6</v>
      </c>
      <c r="E144">
        <v>139</v>
      </c>
      <c r="F144" t="s">
        <v>19</v>
      </c>
      <c r="G144" t="s">
        <v>14</v>
      </c>
      <c r="H144">
        <v>3550</v>
      </c>
      <c r="I144">
        <v>55.5</v>
      </c>
      <c r="J144" t="s">
        <v>29</v>
      </c>
      <c r="K144">
        <v>761</v>
      </c>
      <c r="L144" t="s">
        <v>25</v>
      </c>
    </row>
    <row r="145" spans="1:12" x14ac:dyDescent="0.3">
      <c r="A145">
        <v>2010</v>
      </c>
      <c r="B145" t="s">
        <v>23</v>
      </c>
      <c r="C145">
        <v>326</v>
      </c>
      <c r="D145">
        <v>2996.6</v>
      </c>
      <c r="E145">
        <v>140</v>
      </c>
      <c r="F145" t="s">
        <v>19</v>
      </c>
      <c r="G145" t="s">
        <v>14</v>
      </c>
      <c r="H145">
        <v>109</v>
      </c>
      <c r="I145">
        <v>58.5</v>
      </c>
      <c r="J145" t="s">
        <v>29</v>
      </c>
      <c r="K145">
        <v>45608</v>
      </c>
      <c r="L145" t="s">
        <v>25</v>
      </c>
    </row>
    <row r="146" spans="1:12" x14ac:dyDescent="0.3">
      <c r="A146">
        <v>2011</v>
      </c>
      <c r="B146" t="s">
        <v>23</v>
      </c>
      <c r="C146">
        <v>6470</v>
      </c>
      <c r="D146">
        <v>2996.6</v>
      </c>
      <c r="E146">
        <v>141</v>
      </c>
      <c r="F146" t="s">
        <v>19</v>
      </c>
      <c r="G146" t="s">
        <v>14</v>
      </c>
      <c r="H146">
        <v>3368</v>
      </c>
      <c r="I146">
        <v>59.5</v>
      </c>
      <c r="J146" t="s">
        <v>29</v>
      </c>
      <c r="K146">
        <v>234581</v>
      </c>
      <c r="L146" t="s">
        <v>25</v>
      </c>
    </row>
    <row r="147" spans="1:12" x14ac:dyDescent="0.3">
      <c r="A147">
        <v>2012</v>
      </c>
      <c r="B147" t="s">
        <v>23</v>
      </c>
      <c r="C147">
        <v>6709</v>
      </c>
      <c r="D147">
        <v>3522.8</v>
      </c>
      <c r="E147">
        <v>142</v>
      </c>
      <c r="F147" t="s">
        <v>19</v>
      </c>
      <c r="G147" t="s">
        <v>14</v>
      </c>
      <c r="H147">
        <v>3671</v>
      </c>
      <c r="I147">
        <v>55</v>
      </c>
      <c r="J147" t="s">
        <v>29</v>
      </c>
      <c r="K147">
        <v>646</v>
      </c>
      <c r="L147" t="s">
        <v>25</v>
      </c>
    </row>
    <row r="148" spans="1:12" x14ac:dyDescent="0.3">
      <c r="A148">
        <v>2013</v>
      </c>
      <c r="B148" t="s">
        <v>23</v>
      </c>
      <c r="C148">
        <v>6186</v>
      </c>
      <c r="D148">
        <v>3522.8</v>
      </c>
      <c r="E148">
        <v>143</v>
      </c>
      <c r="F148" t="s">
        <v>19</v>
      </c>
      <c r="G148" t="s">
        <v>14</v>
      </c>
      <c r="H148">
        <v>2404</v>
      </c>
      <c r="I148">
        <v>53</v>
      </c>
      <c r="J148" t="s">
        <v>29</v>
      </c>
      <c r="K148">
        <v>43562</v>
      </c>
      <c r="L148" t="s">
        <v>25</v>
      </c>
    </row>
    <row r="149" spans="1:12" x14ac:dyDescent="0.3">
      <c r="A149">
        <v>2014</v>
      </c>
      <c r="B149" t="s">
        <v>23</v>
      </c>
      <c r="C149">
        <v>6503</v>
      </c>
      <c r="D149">
        <v>3522.8</v>
      </c>
      <c r="E149">
        <v>144</v>
      </c>
      <c r="F149" t="s">
        <v>19</v>
      </c>
      <c r="G149" t="s">
        <v>14</v>
      </c>
      <c r="H149">
        <v>2805</v>
      </c>
      <c r="I149">
        <v>53.5</v>
      </c>
      <c r="J149" t="s">
        <v>29</v>
      </c>
      <c r="K149">
        <v>200000</v>
      </c>
      <c r="L149" t="s">
        <v>25</v>
      </c>
    </row>
    <row r="150" spans="1:12" x14ac:dyDescent="0.3">
      <c r="A150">
        <v>2015</v>
      </c>
      <c r="B150" t="s">
        <v>23</v>
      </c>
      <c r="C150">
        <v>5220</v>
      </c>
      <c r="D150">
        <v>3729.8</v>
      </c>
      <c r="E150">
        <v>145</v>
      </c>
      <c r="F150" t="s">
        <v>19</v>
      </c>
      <c r="G150" t="s">
        <v>14</v>
      </c>
      <c r="H150">
        <v>2331</v>
      </c>
      <c r="I150">
        <v>52.5</v>
      </c>
      <c r="J150" t="s">
        <v>29</v>
      </c>
      <c r="K150">
        <v>4847</v>
      </c>
      <c r="L150" t="s">
        <v>25</v>
      </c>
    </row>
    <row r="151" spans="1:12" x14ac:dyDescent="0.3">
      <c r="A151">
        <v>2016</v>
      </c>
      <c r="B151" t="s">
        <v>23</v>
      </c>
      <c r="C151">
        <v>4677</v>
      </c>
      <c r="D151">
        <v>3729.8</v>
      </c>
      <c r="E151">
        <v>146</v>
      </c>
      <c r="F151" t="s">
        <v>19</v>
      </c>
      <c r="G151" t="s">
        <v>14</v>
      </c>
      <c r="H151">
        <v>2088</v>
      </c>
      <c r="I151">
        <v>56</v>
      </c>
      <c r="J151" t="s">
        <v>29</v>
      </c>
      <c r="K151">
        <v>51239</v>
      </c>
      <c r="L151" t="s">
        <v>25</v>
      </c>
    </row>
    <row r="152" spans="1:12" x14ac:dyDescent="0.3">
      <c r="A152">
        <v>2017</v>
      </c>
      <c r="B152" t="s">
        <v>23</v>
      </c>
      <c r="C152">
        <v>4803</v>
      </c>
      <c r="D152">
        <v>3729.8</v>
      </c>
      <c r="E152">
        <v>147</v>
      </c>
      <c r="F152" t="s">
        <v>24</v>
      </c>
      <c r="G152" t="s">
        <v>14</v>
      </c>
      <c r="H152">
        <v>2628</v>
      </c>
      <c r="I152">
        <v>57</v>
      </c>
      <c r="J152" t="s">
        <v>29</v>
      </c>
      <c r="K152">
        <v>216396</v>
      </c>
      <c r="L152" t="s">
        <v>25</v>
      </c>
    </row>
    <row r="153" spans="1:12" x14ac:dyDescent="0.3">
      <c r="A153">
        <v>2018</v>
      </c>
      <c r="B153" t="s">
        <v>23</v>
      </c>
      <c r="C153">
        <v>3739</v>
      </c>
      <c r="D153">
        <v>2746.2</v>
      </c>
      <c r="E153">
        <v>148</v>
      </c>
      <c r="F153" t="s">
        <v>24</v>
      </c>
      <c r="G153" t="s">
        <v>14</v>
      </c>
      <c r="H153">
        <v>1939</v>
      </c>
      <c r="I153">
        <v>57.5</v>
      </c>
      <c r="J153" t="s">
        <v>29</v>
      </c>
      <c r="K153">
        <v>2644</v>
      </c>
      <c r="L153" t="s">
        <v>25</v>
      </c>
    </row>
    <row r="154" spans="1:12" x14ac:dyDescent="0.3">
      <c r="A154">
        <v>2004</v>
      </c>
      <c r="B154" t="s">
        <v>23</v>
      </c>
      <c r="C154">
        <v>3529</v>
      </c>
      <c r="D154">
        <v>2746.2</v>
      </c>
      <c r="E154">
        <v>149</v>
      </c>
      <c r="F154" t="s">
        <v>24</v>
      </c>
      <c r="G154" t="s">
        <v>14</v>
      </c>
      <c r="H154">
        <v>1871</v>
      </c>
      <c r="I154">
        <v>57</v>
      </c>
      <c r="J154" t="s">
        <v>30</v>
      </c>
      <c r="K154">
        <v>44235</v>
      </c>
      <c r="L154" t="s">
        <v>25</v>
      </c>
    </row>
    <row r="155" spans="1:12" x14ac:dyDescent="0.3">
      <c r="A155">
        <v>2005</v>
      </c>
      <c r="B155" t="s">
        <v>23</v>
      </c>
      <c r="C155">
        <v>3649</v>
      </c>
      <c r="D155">
        <v>2746.2</v>
      </c>
      <c r="E155">
        <v>150</v>
      </c>
      <c r="F155" t="s">
        <v>24</v>
      </c>
      <c r="G155" t="s">
        <v>14</v>
      </c>
      <c r="H155">
        <v>1868</v>
      </c>
      <c r="I155">
        <v>55</v>
      </c>
      <c r="J155" t="s">
        <v>30</v>
      </c>
      <c r="K155">
        <v>203317</v>
      </c>
      <c r="L155" t="s">
        <v>25</v>
      </c>
    </row>
    <row r="156" spans="1:12" x14ac:dyDescent="0.3">
      <c r="A156">
        <v>2006</v>
      </c>
      <c r="B156" t="s">
        <v>23</v>
      </c>
      <c r="C156">
        <v>1374</v>
      </c>
      <c r="D156">
        <v>3360</v>
      </c>
      <c r="E156">
        <v>151</v>
      </c>
      <c r="F156" t="s">
        <v>24</v>
      </c>
      <c r="G156" t="s">
        <v>14</v>
      </c>
      <c r="H156">
        <v>127919</v>
      </c>
      <c r="I156">
        <v>56</v>
      </c>
      <c r="J156" t="s">
        <v>30</v>
      </c>
      <c r="K156">
        <v>2134</v>
      </c>
      <c r="L156" t="s">
        <v>25</v>
      </c>
    </row>
    <row r="157" spans="1:12" x14ac:dyDescent="0.3">
      <c r="A157">
        <v>2007</v>
      </c>
      <c r="B157" t="s">
        <v>23</v>
      </c>
      <c r="C157">
        <v>933</v>
      </c>
      <c r="D157">
        <v>3360</v>
      </c>
      <c r="E157">
        <v>152</v>
      </c>
      <c r="F157" t="s">
        <v>24</v>
      </c>
      <c r="G157" t="s">
        <v>14</v>
      </c>
      <c r="H157">
        <v>75340</v>
      </c>
      <c r="I157">
        <v>54</v>
      </c>
      <c r="J157" t="s">
        <v>30</v>
      </c>
      <c r="K157">
        <v>45186</v>
      </c>
      <c r="L157" t="s">
        <v>25</v>
      </c>
    </row>
    <row r="158" spans="1:12" x14ac:dyDescent="0.3">
      <c r="A158">
        <v>2008</v>
      </c>
      <c r="B158" t="s">
        <v>23</v>
      </c>
      <c r="C158">
        <v>345</v>
      </c>
      <c r="D158">
        <v>3360</v>
      </c>
      <c r="E158">
        <v>153</v>
      </c>
      <c r="F158" t="s">
        <v>24</v>
      </c>
      <c r="G158" t="s">
        <v>14</v>
      </c>
      <c r="H158">
        <v>29170</v>
      </c>
      <c r="I158">
        <v>58</v>
      </c>
      <c r="J158" t="s">
        <v>30</v>
      </c>
      <c r="K158">
        <v>238542</v>
      </c>
      <c r="L158" t="s">
        <v>25</v>
      </c>
    </row>
    <row r="159" spans="1:12" x14ac:dyDescent="0.3">
      <c r="A159">
        <v>2009</v>
      </c>
      <c r="B159" t="s">
        <v>23</v>
      </c>
      <c r="C159">
        <v>29</v>
      </c>
      <c r="D159">
        <v>3605.4</v>
      </c>
      <c r="E159">
        <v>154</v>
      </c>
      <c r="F159" t="s">
        <v>24</v>
      </c>
      <c r="G159" t="s">
        <v>14</v>
      </c>
      <c r="H159">
        <v>1901</v>
      </c>
      <c r="I159">
        <v>58</v>
      </c>
      <c r="J159" t="s">
        <v>30</v>
      </c>
      <c r="K159">
        <v>1516</v>
      </c>
      <c r="L159" t="s">
        <v>25</v>
      </c>
    </row>
    <row r="160" spans="1:12" x14ac:dyDescent="0.3">
      <c r="A160">
        <v>2010</v>
      </c>
      <c r="B160" t="s">
        <v>23</v>
      </c>
      <c r="C160">
        <v>11</v>
      </c>
      <c r="D160">
        <v>3605.4</v>
      </c>
      <c r="E160">
        <v>155</v>
      </c>
      <c r="F160" t="s">
        <v>24</v>
      </c>
      <c r="G160" t="s">
        <v>14</v>
      </c>
      <c r="H160">
        <v>972</v>
      </c>
      <c r="I160">
        <v>59</v>
      </c>
      <c r="J160" t="s">
        <v>30</v>
      </c>
      <c r="K160">
        <v>57259</v>
      </c>
      <c r="L160" t="s">
        <v>16</v>
      </c>
    </row>
    <row r="161" spans="1:12" x14ac:dyDescent="0.3">
      <c r="A161">
        <v>2011</v>
      </c>
      <c r="B161" t="s">
        <v>23</v>
      </c>
      <c r="C161">
        <v>10</v>
      </c>
      <c r="D161">
        <v>3605.4</v>
      </c>
      <c r="E161">
        <v>156</v>
      </c>
      <c r="F161" t="s">
        <v>24</v>
      </c>
      <c r="G161" t="s">
        <v>14</v>
      </c>
      <c r="H161">
        <v>874</v>
      </c>
      <c r="I161">
        <v>50</v>
      </c>
      <c r="J161" t="s">
        <v>30</v>
      </c>
      <c r="K161">
        <v>234779</v>
      </c>
      <c r="L161" t="s">
        <v>16</v>
      </c>
    </row>
    <row r="162" spans="1:12" x14ac:dyDescent="0.3">
      <c r="A162">
        <v>2012</v>
      </c>
      <c r="B162" t="s">
        <v>23</v>
      </c>
      <c r="C162">
        <v>7</v>
      </c>
      <c r="D162">
        <v>3512.4</v>
      </c>
      <c r="E162">
        <v>157</v>
      </c>
      <c r="F162" t="s">
        <v>24</v>
      </c>
      <c r="G162" t="s">
        <v>14</v>
      </c>
      <c r="H162">
        <v>592</v>
      </c>
      <c r="I162">
        <v>54</v>
      </c>
      <c r="J162" t="s">
        <v>30</v>
      </c>
      <c r="K162">
        <v>1493</v>
      </c>
      <c r="L162" t="s">
        <v>16</v>
      </c>
    </row>
    <row r="163" spans="1:12" x14ac:dyDescent="0.3">
      <c r="A163">
        <v>2013</v>
      </c>
      <c r="B163" t="s">
        <v>23</v>
      </c>
      <c r="C163">
        <v>10</v>
      </c>
      <c r="D163">
        <v>3512.4</v>
      </c>
      <c r="E163">
        <v>158</v>
      </c>
      <c r="F163" t="s">
        <v>24</v>
      </c>
      <c r="G163" t="s">
        <v>14</v>
      </c>
      <c r="H163">
        <v>864</v>
      </c>
      <c r="I163">
        <v>53</v>
      </c>
      <c r="J163" t="s">
        <v>30</v>
      </c>
      <c r="K163">
        <v>64409</v>
      </c>
      <c r="L163" t="s">
        <v>16</v>
      </c>
    </row>
    <row r="164" spans="1:12" x14ac:dyDescent="0.3">
      <c r="A164">
        <v>2014</v>
      </c>
      <c r="B164" t="s">
        <v>23</v>
      </c>
      <c r="C164">
        <v>56</v>
      </c>
      <c r="D164">
        <v>3512.4</v>
      </c>
      <c r="E164">
        <v>159</v>
      </c>
      <c r="F164" t="s">
        <v>24</v>
      </c>
      <c r="G164" t="s">
        <v>14</v>
      </c>
      <c r="H164">
        <v>5373</v>
      </c>
      <c r="I164">
        <v>52</v>
      </c>
      <c r="J164" t="s">
        <v>30</v>
      </c>
      <c r="K164">
        <v>249978</v>
      </c>
      <c r="L164" t="s">
        <v>16</v>
      </c>
    </row>
    <row r="165" spans="1:12" x14ac:dyDescent="0.3">
      <c r="A165">
        <v>2015</v>
      </c>
      <c r="B165" t="s">
        <v>23</v>
      </c>
      <c r="C165">
        <v>68</v>
      </c>
      <c r="D165">
        <v>3296</v>
      </c>
      <c r="E165">
        <v>160</v>
      </c>
      <c r="F165" t="s">
        <v>24</v>
      </c>
      <c r="G165" t="s">
        <v>14</v>
      </c>
      <c r="H165">
        <v>6589</v>
      </c>
      <c r="I165">
        <v>51</v>
      </c>
      <c r="J165" t="s">
        <v>30</v>
      </c>
      <c r="K165">
        <v>637</v>
      </c>
      <c r="L165" t="s">
        <v>16</v>
      </c>
    </row>
    <row r="166" spans="1:12" x14ac:dyDescent="0.3">
      <c r="A166">
        <v>2016</v>
      </c>
      <c r="B166" t="s">
        <v>23</v>
      </c>
      <c r="C166">
        <v>56</v>
      </c>
      <c r="D166">
        <v>3296</v>
      </c>
      <c r="E166">
        <v>161</v>
      </c>
      <c r="F166" t="s">
        <v>24</v>
      </c>
      <c r="G166" t="s">
        <v>14</v>
      </c>
      <c r="H166">
        <v>5107</v>
      </c>
      <c r="I166">
        <v>57</v>
      </c>
      <c r="J166" t="s">
        <v>30</v>
      </c>
      <c r="K166">
        <v>43311</v>
      </c>
      <c r="L166" t="s">
        <v>16</v>
      </c>
    </row>
    <row r="167" spans="1:12" x14ac:dyDescent="0.3">
      <c r="A167">
        <v>2017</v>
      </c>
      <c r="B167" t="s">
        <v>23</v>
      </c>
      <c r="C167">
        <v>66</v>
      </c>
      <c r="D167">
        <v>3296</v>
      </c>
      <c r="E167">
        <v>162</v>
      </c>
      <c r="F167" t="s">
        <v>24</v>
      </c>
      <c r="G167" t="s">
        <v>14</v>
      </c>
      <c r="H167">
        <v>5518</v>
      </c>
      <c r="I167">
        <v>57</v>
      </c>
      <c r="J167" t="s">
        <v>30</v>
      </c>
      <c r="K167">
        <v>24848</v>
      </c>
      <c r="L167" t="s">
        <v>16</v>
      </c>
    </row>
    <row r="168" spans="1:12" x14ac:dyDescent="0.3">
      <c r="A168">
        <v>2018</v>
      </c>
      <c r="B168" t="s">
        <v>23</v>
      </c>
      <c r="C168">
        <v>55</v>
      </c>
      <c r="D168">
        <v>3550</v>
      </c>
      <c r="E168">
        <v>163</v>
      </c>
      <c r="F168" t="s">
        <v>24</v>
      </c>
      <c r="G168" t="s">
        <v>14</v>
      </c>
      <c r="H168">
        <v>4912</v>
      </c>
      <c r="I168">
        <v>60</v>
      </c>
      <c r="J168" t="s">
        <v>30</v>
      </c>
      <c r="K168">
        <v>761</v>
      </c>
      <c r="L168" t="s">
        <v>16</v>
      </c>
    </row>
    <row r="169" spans="1:12" x14ac:dyDescent="0.3">
      <c r="A169">
        <v>2004</v>
      </c>
      <c r="B169" t="s">
        <v>31</v>
      </c>
      <c r="C169">
        <v>42</v>
      </c>
      <c r="D169">
        <v>3550</v>
      </c>
      <c r="E169">
        <v>164</v>
      </c>
      <c r="F169" t="s">
        <v>24</v>
      </c>
      <c r="G169" t="s">
        <v>14</v>
      </c>
      <c r="H169">
        <v>3830</v>
      </c>
      <c r="I169">
        <v>57</v>
      </c>
      <c r="J169" t="s">
        <v>32</v>
      </c>
      <c r="K169">
        <v>45608</v>
      </c>
      <c r="L169" t="s">
        <v>16</v>
      </c>
    </row>
    <row r="170" spans="1:12" x14ac:dyDescent="0.3">
      <c r="A170">
        <v>2005</v>
      </c>
      <c r="B170" t="s">
        <v>31</v>
      </c>
      <c r="C170">
        <v>51179</v>
      </c>
      <c r="D170">
        <v>3550</v>
      </c>
      <c r="E170">
        <v>165</v>
      </c>
      <c r="F170" t="s">
        <v>24</v>
      </c>
      <c r="G170" t="s">
        <v>14</v>
      </c>
      <c r="H170">
        <v>4</v>
      </c>
      <c r="I170">
        <v>57</v>
      </c>
      <c r="J170" t="s">
        <v>32</v>
      </c>
      <c r="K170">
        <v>234581</v>
      </c>
      <c r="L170" t="s">
        <v>16</v>
      </c>
    </row>
    <row r="171" spans="1:12" x14ac:dyDescent="0.3">
      <c r="A171">
        <v>2006</v>
      </c>
      <c r="B171" t="s">
        <v>31</v>
      </c>
      <c r="C171">
        <v>468</v>
      </c>
      <c r="D171">
        <v>3654</v>
      </c>
      <c r="E171">
        <v>166</v>
      </c>
      <c r="F171" t="s">
        <v>24</v>
      </c>
      <c r="G171" t="s">
        <v>14</v>
      </c>
      <c r="H171">
        <v>9</v>
      </c>
      <c r="I171">
        <v>54</v>
      </c>
      <c r="J171" t="s">
        <v>32</v>
      </c>
      <c r="K171">
        <v>646</v>
      </c>
      <c r="L171" t="s">
        <v>16</v>
      </c>
    </row>
    <row r="172" spans="1:12" x14ac:dyDescent="0.3">
      <c r="A172">
        <v>2007</v>
      </c>
      <c r="B172" t="s">
        <v>31</v>
      </c>
      <c r="C172">
        <v>11841</v>
      </c>
      <c r="D172">
        <v>3654</v>
      </c>
      <c r="E172">
        <v>167</v>
      </c>
      <c r="F172" t="s">
        <v>24</v>
      </c>
      <c r="G172" t="s">
        <v>14</v>
      </c>
      <c r="H172">
        <v>12</v>
      </c>
      <c r="I172">
        <v>54.5</v>
      </c>
      <c r="J172" t="s">
        <v>32</v>
      </c>
      <c r="K172">
        <v>43562</v>
      </c>
      <c r="L172" t="s">
        <v>16</v>
      </c>
    </row>
    <row r="173" spans="1:12" x14ac:dyDescent="0.3">
      <c r="A173">
        <v>2008</v>
      </c>
      <c r="B173" t="s">
        <v>31</v>
      </c>
      <c r="C173">
        <v>50975</v>
      </c>
      <c r="D173">
        <v>3654</v>
      </c>
      <c r="E173">
        <v>168</v>
      </c>
      <c r="F173" t="s">
        <v>24</v>
      </c>
      <c r="G173" t="s">
        <v>14</v>
      </c>
      <c r="H173">
        <v>2089</v>
      </c>
      <c r="I173">
        <v>56.6</v>
      </c>
      <c r="J173" t="s">
        <v>32</v>
      </c>
      <c r="K173">
        <v>200000</v>
      </c>
      <c r="L173" t="s">
        <v>16</v>
      </c>
    </row>
    <row r="174" spans="1:12" x14ac:dyDescent="0.3">
      <c r="A174">
        <v>2009</v>
      </c>
      <c r="B174" t="s">
        <v>31</v>
      </c>
      <c r="C174">
        <v>206</v>
      </c>
      <c r="D174">
        <v>233</v>
      </c>
      <c r="E174">
        <v>169</v>
      </c>
      <c r="F174" t="s">
        <v>24</v>
      </c>
      <c r="G174" t="s">
        <v>14</v>
      </c>
      <c r="H174">
        <v>2810</v>
      </c>
      <c r="I174">
        <v>55.5</v>
      </c>
      <c r="J174" t="s">
        <v>32</v>
      </c>
      <c r="K174">
        <v>4847</v>
      </c>
      <c r="L174" t="s">
        <v>16</v>
      </c>
    </row>
    <row r="175" spans="1:12" x14ac:dyDescent="0.3">
      <c r="A175">
        <v>2010</v>
      </c>
      <c r="B175" t="s">
        <v>31</v>
      </c>
      <c r="C175">
        <v>10922</v>
      </c>
      <c r="D175">
        <v>233</v>
      </c>
      <c r="E175">
        <v>170</v>
      </c>
      <c r="F175" t="s">
        <v>24</v>
      </c>
      <c r="G175" t="s">
        <v>14</v>
      </c>
      <c r="H175">
        <v>841</v>
      </c>
      <c r="I175">
        <v>58.5</v>
      </c>
      <c r="J175" t="s">
        <v>32</v>
      </c>
      <c r="K175">
        <v>51239</v>
      </c>
      <c r="L175" t="s">
        <v>16</v>
      </c>
    </row>
    <row r="176" spans="1:12" x14ac:dyDescent="0.3">
      <c r="A176">
        <v>2011</v>
      </c>
      <c r="B176" t="s">
        <v>31</v>
      </c>
      <c r="C176">
        <v>51390</v>
      </c>
      <c r="D176">
        <v>233</v>
      </c>
      <c r="E176">
        <v>171</v>
      </c>
      <c r="F176" t="s">
        <v>24</v>
      </c>
      <c r="G176" t="s">
        <v>14</v>
      </c>
      <c r="H176">
        <v>3550</v>
      </c>
      <c r="I176">
        <v>59.5</v>
      </c>
      <c r="J176" t="s">
        <v>32</v>
      </c>
      <c r="K176">
        <v>216396</v>
      </c>
      <c r="L176" t="s">
        <v>16</v>
      </c>
    </row>
    <row r="177" spans="1:12" x14ac:dyDescent="0.3">
      <c r="A177">
        <v>2012</v>
      </c>
      <c r="B177" t="s">
        <v>31</v>
      </c>
      <c r="C177">
        <v>177</v>
      </c>
      <c r="D177">
        <v>234</v>
      </c>
      <c r="E177">
        <v>172</v>
      </c>
      <c r="F177" t="s">
        <v>13</v>
      </c>
      <c r="G177" t="s">
        <v>21</v>
      </c>
      <c r="H177">
        <v>109</v>
      </c>
      <c r="I177">
        <v>55</v>
      </c>
      <c r="J177" t="s">
        <v>32</v>
      </c>
      <c r="K177">
        <v>2644</v>
      </c>
      <c r="L177" t="s">
        <v>16</v>
      </c>
    </row>
    <row r="178" spans="1:12" x14ac:dyDescent="0.3">
      <c r="A178">
        <v>2013</v>
      </c>
      <c r="B178" t="s">
        <v>31</v>
      </c>
      <c r="C178">
        <v>10723</v>
      </c>
      <c r="D178">
        <v>234</v>
      </c>
      <c r="E178">
        <v>173</v>
      </c>
      <c r="F178" t="s">
        <v>13</v>
      </c>
      <c r="G178" t="s">
        <v>21</v>
      </c>
      <c r="H178">
        <v>3368</v>
      </c>
      <c r="I178">
        <v>53</v>
      </c>
      <c r="J178" t="s">
        <v>32</v>
      </c>
      <c r="K178">
        <v>44235</v>
      </c>
      <c r="L178" t="s">
        <v>16</v>
      </c>
    </row>
    <row r="179" spans="1:12" x14ac:dyDescent="0.3">
      <c r="A179">
        <v>2014</v>
      </c>
      <c r="B179" t="s">
        <v>31</v>
      </c>
      <c r="C179">
        <v>51709</v>
      </c>
      <c r="D179">
        <v>234</v>
      </c>
      <c r="E179">
        <v>174</v>
      </c>
      <c r="F179" t="s">
        <v>13</v>
      </c>
      <c r="G179" t="s">
        <v>21</v>
      </c>
      <c r="H179">
        <v>3671</v>
      </c>
      <c r="I179">
        <v>53.5</v>
      </c>
      <c r="J179" t="s">
        <v>32</v>
      </c>
      <c r="K179">
        <v>203317</v>
      </c>
      <c r="L179" t="s">
        <v>16</v>
      </c>
    </row>
    <row r="180" spans="1:12" x14ac:dyDescent="0.3">
      <c r="A180">
        <v>2015</v>
      </c>
      <c r="B180" t="s">
        <v>31</v>
      </c>
      <c r="C180">
        <v>146</v>
      </c>
      <c r="D180">
        <v>3105</v>
      </c>
      <c r="E180">
        <v>175</v>
      </c>
      <c r="F180" t="s">
        <v>13</v>
      </c>
      <c r="G180" t="s">
        <v>21</v>
      </c>
      <c r="H180">
        <v>2404</v>
      </c>
      <c r="I180">
        <v>52.5</v>
      </c>
      <c r="J180" t="s">
        <v>32</v>
      </c>
      <c r="K180">
        <v>2134</v>
      </c>
      <c r="L180" t="s">
        <v>16</v>
      </c>
    </row>
    <row r="181" spans="1:12" x14ac:dyDescent="0.3">
      <c r="A181">
        <v>2016</v>
      </c>
      <c r="B181" t="s">
        <v>31</v>
      </c>
      <c r="C181">
        <v>10910</v>
      </c>
      <c r="D181">
        <v>3105</v>
      </c>
      <c r="E181">
        <v>176</v>
      </c>
      <c r="F181" t="s">
        <v>13</v>
      </c>
      <c r="G181" t="s">
        <v>21</v>
      </c>
      <c r="H181">
        <v>2805</v>
      </c>
      <c r="I181">
        <v>56</v>
      </c>
      <c r="J181" t="s">
        <v>32</v>
      </c>
      <c r="K181">
        <v>45186</v>
      </c>
      <c r="L181" t="s">
        <v>16</v>
      </c>
    </row>
    <row r="182" spans="1:12" x14ac:dyDescent="0.3">
      <c r="A182">
        <v>2017</v>
      </c>
      <c r="B182" t="s">
        <v>31</v>
      </c>
      <c r="C182">
        <v>51355</v>
      </c>
      <c r="D182">
        <v>3105</v>
      </c>
      <c r="E182">
        <v>177</v>
      </c>
      <c r="F182" t="s">
        <v>13</v>
      </c>
      <c r="G182" t="s">
        <v>21</v>
      </c>
      <c r="H182">
        <v>2331</v>
      </c>
      <c r="I182">
        <v>57</v>
      </c>
      <c r="J182" t="s">
        <v>32</v>
      </c>
      <c r="K182">
        <v>238542</v>
      </c>
      <c r="L182" t="s">
        <v>16</v>
      </c>
    </row>
    <row r="183" spans="1:12" x14ac:dyDescent="0.3">
      <c r="A183">
        <v>2018</v>
      </c>
      <c r="B183" t="s">
        <v>31</v>
      </c>
      <c r="C183">
        <v>160</v>
      </c>
      <c r="D183">
        <v>236</v>
      </c>
      <c r="E183">
        <v>178</v>
      </c>
      <c r="F183" t="s">
        <v>13</v>
      </c>
      <c r="G183" t="s">
        <v>21</v>
      </c>
      <c r="H183">
        <v>2088</v>
      </c>
      <c r="I183">
        <v>57.5</v>
      </c>
      <c r="J183" t="s">
        <v>32</v>
      </c>
      <c r="K183">
        <v>1516</v>
      </c>
      <c r="L183" t="s">
        <v>16</v>
      </c>
    </row>
    <row r="184" spans="1:12" x14ac:dyDescent="0.3">
      <c r="A184">
        <v>2004</v>
      </c>
      <c r="B184" t="s">
        <v>31</v>
      </c>
      <c r="C184">
        <v>10912</v>
      </c>
      <c r="D184">
        <v>236</v>
      </c>
      <c r="E184">
        <v>179</v>
      </c>
      <c r="F184" t="s">
        <v>13</v>
      </c>
      <c r="G184" t="s">
        <v>21</v>
      </c>
      <c r="H184">
        <v>2628</v>
      </c>
      <c r="I184">
        <v>57</v>
      </c>
      <c r="J184" t="s">
        <v>33</v>
      </c>
      <c r="K184">
        <v>200000</v>
      </c>
      <c r="L184" t="s">
        <v>16</v>
      </c>
    </row>
    <row r="185" spans="1:12" x14ac:dyDescent="0.3">
      <c r="A185">
        <v>2005</v>
      </c>
      <c r="B185" t="s">
        <v>31</v>
      </c>
      <c r="C185">
        <v>51353</v>
      </c>
      <c r="D185">
        <v>2903.1</v>
      </c>
      <c r="E185">
        <v>180</v>
      </c>
      <c r="F185" t="s">
        <v>13</v>
      </c>
      <c r="G185" t="s">
        <v>21</v>
      </c>
      <c r="H185">
        <v>1939</v>
      </c>
      <c r="I185">
        <v>55</v>
      </c>
      <c r="J185" t="s">
        <v>33</v>
      </c>
      <c r="K185">
        <v>4847</v>
      </c>
      <c r="L185" t="s">
        <v>16</v>
      </c>
    </row>
    <row r="186" spans="1:12" x14ac:dyDescent="0.3">
      <c r="A186">
        <v>2006</v>
      </c>
      <c r="B186" t="s">
        <v>31</v>
      </c>
      <c r="C186">
        <v>142</v>
      </c>
      <c r="D186">
        <v>2903.1</v>
      </c>
      <c r="E186">
        <v>181</v>
      </c>
      <c r="F186" t="s">
        <v>13</v>
      </c>
      <c r="G186" t="s">
        <v>21</v>
      </c>
      <c r="H186">
        <v>1871</v>
      </c>
      <c r="I186">
        <v>56</v>
      </c>
      <c r="J186" t="s">
        <v>33</v>
      </c>
      <c r="K186">
        <v>51239</v>
      </c>
      <c r="L186" t="s">
        <v>16</v>
      </c>
    </row>
    <row r="187" spans="1:12" x14ac:dyDescent="0.3">
      <c r="A187">
        <v>2007</v>
      </c>
      <c r="B187" t="s">
        <v>31</v>
      </c>
      <c r="C187">
        <v>10505</v>
      </c>
      <c r="D187">
        <v>2903.1</v>
      </c>
      <c r="E187">
        <v>182</v>
      </c>
      <c r="F187" t="s">
        <v>13</v>
      </c>
      <c r="G187" t="s">
        <v>21</v>
      </c>
      <c r="H187">
        <v>1868</v>
      </c>
      <c r="I187">
        <v>54</v>
      </c>
      <c r="J187" t="s">
        <v>33</v>
      </c>
      <c r="K187">
        <v>216396</v>
      </c>
      <c r="L187" t="s">
        <v>16</v>
      </c>
    </row>
    <row r="188" spans="1:12" x14ac:dyDescent="0.3">
      <c r="A188">
        <v>2008</v>
      </c>
      <c r="B188" t="s">
        <v>31</v>
      </c>
      <c r="C188">
        <v>51040</v>
      </c>
      <c r="D188">
        <v>2996.6</v>
      </c>
      <c r="E188">
        <v>183</v>
      </c>
      <c r="F188" t="s">
        <v>13</v>
      </c>
      <c r="G188" t="s">
        <v>21</v>
      </c>
      <c r="H188">
        <v>127919</v>
      </c>
      <c r="I188">
        <v>58</v>
      </c>
      <c r="J188" t="s">
        <v>33</v>
      </c>
      <c r="K188">
        <v>2644</v>
      </c>
      <c r="L188" t="s">
        <v>16</v>
      </c>
    </row>
    <row r="189" spans="1:12" x14ac:dyDescent="0.3">
      <c r="A189">
        <v>2009</v>
      </c>
      <c r="B189" t="s">
        <v>31</v>
      </c>
      <c r="C189">
        <v>154</v>
      </c>
      <c r="D189">
        <v>2996.6</v>
      </c>
      <c r="E189">
        <v>184</v>
      </c>
      <c r="F189" t="s">
        <v>13</v>
      </c>
      <c r="G189" t="s">
        <v>21</v>
      </c>
      <c r="H189">
        <v>75340</v>
      </c>
      <c r="I189">
        <v>58</v>
      </c>
      <c r="J189" t="s">
        <v>33</v>
      </c>
      <c r="K189">
        <v>44235</v>
      </c>
      <c r="L189" t="s">
        <v>16</v>
      </c>
    </row>
    <row r="190" spans="1:12" x14ac:dyDescent="0.3">
      <c r="A190">
        <v>2010</v>
      </c>
      <c r="B190" t="s">
        <v>31</v>
      </c>
      <c r="C190">
        <v>10318</v>
      </c>
      <c r="D190">
        <v>2996.6</v>
      </c>
      <c r="E190">
        <v>185</v>
      </c>
      <c r="F190" t="s">
        <v>13</v>
      </c>
      <c r="G190" t="s">
        <v>21</v>
      </c>
      <c r="H190">
        <v>29170</v>
      </c>
      <c r="I190">
        <v>59</v>
      </c>
      <c r="J190" t="s">
        <v>33</v>
      </c>
      <c r="K190">
        <v>203317</v>
      </c>
      <c r="L190" t="s">
        <v>16</v>
      </c>
    </row>
    <row r="191" spans="1:12" x14ac:dyDescent="0.3">
      <c r="A191">
        <v>2011</v>
      </c>
      <c r="B191" t="s">
        <v>31</v>
      </c>
      <c r="C191">
        <v>48083</v>
      </c>
      <c r="D191">
        <v>3522.8</v>
      </c>
      <c r="E191">
        <v>186</v>
      </c>
      <c r="F191" t="s">
        <v>13</v>
      </c>
      <c r="G191" t="s">
        <v>21</v>
      </c>
      <c r="H191">
        <v>1901</v>
      </c>
      <c r="I191">
        <v>50</v>
      </c>
      <c r="J191" t="s">
        <v>33</v>
      </c>
      <c r="K191">
        <v>2134</v>
      </c>
      <c r="L191" t="s">
        <v>16</v>
      </c>
    </row>
    <row r="192" spans="1:12" x14ac:dyDescent="0.3">
      <c r="A192">
        <v>2012</v>
      </c>
      <c r="B192" t="s">
        <v>31</v>
      </c>
      <c r="C192">
        <v>143</v>
      </c>
      <c r="D192">
        <v>3522.8</v>
      </c>
      <c r="E192">
        <v>187</v>
      </c>
      <c r="F192" t="s">
        <v>13</v>
      </c>
      <c r="G192" t="s">
        <v>21</v>
      </c>
      <c r="H192">
        <v>972</v>
      </c>
      <c r="I192">
        <v>54</v>
      </c>
      <c r="J192" t="s">
        <v>33</v>
      </c>
      <c r="K192">
        <v>45186</v>
      </c>
      <c r="L192" t="s">
        <v>16</v>
      </c>
    </row>
    <row r="193" spans="1:12" x14ac:dyDescent="0.3">
      <c r="A193">
        <v>2013</v>
      </c>
      <c r="B193" t="s">
        <v>31</v>
      </c>
      <c r="C193">
        <v>9283</v>
      </c>
      <c r="D193">
        <v>3522.8</v>
      </c>
      <c r="E193">
        <v>188</v>
      </c>
      <c r="F193" t="s">
        <v>13</v>
      </c>
      <c r="G193" t="s">
        <v>21</v>
      </c>
      <c r="H193">
        <v>874</v>
      </c>
      <c r="I193">
        <v>53</v>
      </c>
      <c r="J193" t="s">
        <v>33</v>
      </c>
      <c r="K193">
        <v>238542</v>
      </c>
      <c r="L193" t="s">
        <v>16</v>
      </c>
    </row>
    <row r="194" spans="1:12" x14ac:dyDescent="0.3">
      <c r="A194">
        <v>2014</v>
      </c>
      <c r="B194" t="s">
        <v>31</v>
      </c>
      <c r="C194">
        <v>47200</v>
      </c>
      <c r="D194">
        <v>2903.1</v>
      </c>
      <c r="E194">
        <v>189</v>
      </c>
      <c r="F194" t="s">
        <v>13</v>
      </c>
      <c r="G194" t="s">
        <v>21</v>
      </c>
      <c r="H194">
        <v>592</v>
      </c>
      <c r="I194">
        <v>52</v>
      </c>
      <c r="J194" t="s">
        <v>33</v>
      </c>
      <c r="K194">
        <v>1516</v>
      </c>
      <c r="L194" t="s">
        <v>16</v>
      </c>
    </row>
    <row r="195" spans="1:12" x14ac:dyDescent="0.3">
      <c r="A195">
        <v>2015</v>
      </c>
      <c r="B195" t="s">
        <v>31</v>
      </c>
      <c r="C195">
        <v>158</v>
      </c>
      <c r="D195">
        <v>2903.1</v>
      </c>
      <c r="E195">
        <v>190</v>
      </c>
      <c r="F195" t="s">
        <v>13</v>
      </c>
      <c r="G195" t="s">
        <v>21</v>
      </c>
      <c r="H195">
        <v>864</v>
      </c>
      <c r="I195">
        <v>51</v>
      </c>
      <c r="J195" t="s">
        <v>33</v>
      </c>
      <c r="K195">
        <v>57259</v>
      </c>
      <c r="L195" t="s">
        <v>16</v>
      </c>
    </row>
    <row r="196" spans="1:12" x14ac:dyDescent="0.3">
      <c r="A196">
        <v>2016</v>
      </c>
      <c r="B196" t="s">
        <v>31</v>
      </c>
      <c r="C196">
        <v>8982</v>
      </c>
      <c r="D196">
        <v>2903.1</v>
      </c>
      <c r="E196">
        <v>191</v>
      </c>
      <c r="F196" t="s">
        <v>13</v>
      </c>
      <c r="G196" t="s">
        <v>21</v>
      </c>
      <c r="H196">
        <v>5373</v>
      </c>
      <c r="I196">
        <v>57</v>
      </c>
      <c r="J196" t="s">
        <v>33</v>
      </c>
      <c r="K196">
        <v>234779</v>
      </c>
      <c r="L196" t="s">
        <v>16</v>
      </c>
    </row>
    <row r="197" spans="1:12" x14ac:dyDescent="0.3">
      <c r="A197">
        <v>2017</v>
      </c>
      <c r="B197" t="s">
        <v>34</v>
      </c>
      <c r="C197">
        <v>46990</v>
      </c>
      <c r="D197">
        <v>2996.6</v>
      </c>
      <c r="E197">
        <v>192</v>
      </c>
      <c r="F197" t="s">
        <v>13</v>
      </c>
      <c r="G197" t="s">
        <v>21</v>
      </c>
      <c r="H197">
        <v>6589</v>
      </c>
      <c r="I197">
        <v>57</v>
      </c>
      <c r="J197" t="s">
        <v>33</v>
      </c>
      <c r="K197">
        <v>1493</v>
      </c>
      <c r="L197" t="s">
        <v>16</v>
      </c>
    </row>
    <row r="198" spans="1:12" x14ac:dyDescent="0.3">
      <c r="A198">
        <v>2018</v>
      </c>
      <c r="B198" t="s">
        <v>34</v>
      </c>
      <c r="C198">
        <v>103</v>
      </c>
      <c r="D198">
        <v>2996.6</v>
      </c>
      <c r="E198">
        <v>193</v>
      </c>
      <c r="F198" t="s">
        <v>13</v>
      </c>
      <c r="G198" t="s">
        <v>21</v>
      </c>
      <c r="H198">
        <v>5107</v>
      </c>
      <c r="I198">
        <v>60</v>
      </c>
      <c r="J198" t="s">
        <v>33</v>
      </c>
      <c r="K198">
        <v>64409</v>
      </c>
      <c r="L198" t="s">
        <v>16</v>
      </c>
    </row>
    <row r="199" spans="1:12" x14ac:dyDescent="0.3">
      <c r="A199">
        <v>2004</v>
      </c>
      <c r="B199" t="s">
        <v>34</v>
      </c>
      <c r="C199">
        <v>8239</v>
      </c>
      <c r="D199">
        <v>2996.6</v>
      </c>
      <c r="E199">
        <v>194</v>
      </c>
      <c r="F199" t="s">
        <v>13</v>
      </c>
      <c r="G199" t="s">
        <v>21</v>
      </c>
      <c r="H199">
        <v>5518</v>
      </c>
      <c r="I199">
        <v>57</v>
      </c>
      <c r="J199" t="s">
        <v>35</v>
      </c>
      <c r="K199">
        <v>249978</v>
      </c>
      <c r="L199" t="s">
        <v>16</v>
      </c>
    </row>
    <row r="200" spans="1:12" x14ac:dyDescent="0.3">
      <c r="A200">
        <v>2005</v>
      </c>
      <c r="B200" t="s">
        <v>34</v>
      </c>
      <c r="C200">
        <v>44563</v>
      </c>
      <c r="D200">
        <v>3522.8</v>
      </c>
      <c r="E200">
        <v>195</v>
      </c>
      <c r="F200" t="s">
        <v>13</v>
      </c>
      <c r="G200" t="s">
        <v>21</v>
      </c>
      <c r="H200">
        <v>4912</v>
      </c>
      <c r="I200">
        <v>57</v>
      </c>
      <c r="J200" t="s">
        <v>35</v>
      </c>
      <c r="K200">
        <v>637</v>
      </c>
      <c r="L200" t="s">
        <v>16</v>
      </c>
    </row>
    <row r="201" spans="1:12" x14ac:dyDescent="0.3">
      <c r="A201">
        <v>2006</v>
      </c>
      <c r="B201" t="s">
        <v>34</v>
      </c>
      <c r="C201">
        <v>96</v>
      </c>
      <c r="D201">
        <v>3522.8</v>
      </c>
      <c r="E201">
        <v>196</v>
      </c>
      <c r="F201" t="s">
        <v>13</v>
      </c>
      <c r="G201" t="s">
        <v>21</v>
      </c>
      <c r="H201">
        <v>3830</v>
      </c>
      <c r="I201">
        <v>54</v>
      </c>
      <c r="J201" t="s">
        <v>35</v>
      </c>
      <c r="K201">
        <v>43311</v>
      </c>
      <c r="L201" t="s">
        <v>16</v>
      </c>
    </row>
    <row r="202" spans="1:12" x14ac:dyDescent="0.3">
      <c r="A202">
        <v>2007</v>
      </c>
      <c r="B202" t="s">
        <v>34</v>
      </c>
      <c r="C202">
        <v>6949</v>
      </c>
      <c r="D202">
        <v>3522.8</v>
      </c>
      <c r="E202">
        <v>197</v>
      </c>
      <c r="F202" t="s">
        <v>36</v>
      </c>
      <c r="G202" t="s">
        <v>21</v>
      </c>
      <c r="H202">
        <v>4</v>
      </c>
      <c r="I202">
        <v>54.5</v>
      </c>
      <c r="J202" t="s">
        <v>35</v>
      </c>
      <c r="K202">
        <v>24848</v>
      </c>
      <c r="L202" t="s">
        <v>16</v>
      </c>
    </row>
    <row r="203" spans="1:12" x14ac:dyDescent="0.3">
      <c r="A203">
        <v>2008</v>
      </c>
      <c r="B203" t="s">
        <v>34</v>
      </c>
      <c r="C203">
        <v>44663</v>
      </c>
      <c r="D203">
        <v>3729.8</v>
      </c>
      <c r="E203">
        <v>198</v>
      </c>
      <c r="F203" t="s">
        <v>36</v>
      </c>
      <c r="G203" t="s">
        <v>21</v>
      </c>
      <c r="H203">
        <v>9</v>
      </c>
      <c r="I203">
        <v>56.6</v>
      </c>
      <c r="J203" t="s">
        <v>35</v>
      </c>
      <c r="K203">
        <v>761</v>
      </c>
      <c r="L203" t="s">
        <v>16</v>
      </c>
    </row>
    <row r="204" spans="1:12" x14ac:dyDescent="0.3">
      <c r="A204">
        <v>2009</v>
      </c>
      <c r="B204" t="s">
        <v>34</v>
      </c>
      <c r="C204">
        <v>110</v>
      </c>
      <c r="D204">
        <v>3729.8</v>
      </c>
      <c r="E204">
        <v>199</v>
      </c>
      <c r="F204" t="s">
        <v>36</v>
      </c>
      <c r="G204" t="s">
        <v>21</v>
      </c>
      <c r="H204">
        <v>12</v>
      </c>
      <c r="I204">
        <v>55.5</v>
      </c>
      <c r="J204" t="s">
        <v>35</v>
      </c>
      <c r="K204">
        <v>45608</v>
      </c>
      <c r="L204" t="s">
        <v>16</v>
      </c>
    </row>
    <row r="205" spans="1:12" x14ac:dyDescent="0.3">
      <c r="A205">
        <v>2010</v>
      </c>
      <c r="B205" t="s">
        <v>34</v>
      </c>
      <c r="C205">
        <v>6824</v>
      </c>
      <c r="D205">
        <v>3729.8</v>
      </c>
      <c r="E205">
        <v>200</v>
      </c>
      <c r="F205" t="s">
        <v>36</v>
      </c>
      <c r="G205" t="s">
        <v>21</v>
      </c>
      <c r="H205">
        <v>2089</v>
      </c>
      <c r="I205">
        <v>58.5</v>
      </c>
      <c r="J205" t="s">
        <v>35</v>
      </c>
      <c r="K205">
        <v>234581</v>
      </c>
      <c r="L205" t="s">
        <v>16</v>
      </c>
    </row>
    <row r="206" spans="1:12" x14ac:dyDescent="0.3">
      <c r="A206">
        <v>2011</v>
      </c>
      <c r="B206" t="s">
        <v>34</v>
      </c>
      <c r="C206">
        <v>43013</v>
      </c>
      <c r="D206">
        <v>2746.2</v>
      </c>
      <c r="E206">
        <v>201</v>
      </c>
      <c r="F206" t="s">
        <v>36</v>
      </c>
      <c r="G206" t="s">
        <v>21</v>
      </c>
      <c r="H206">
        <v>2810</v>
      </c>
      <c r="I206">
        <v>59.5</v>
      </c>
      <c r="J206" t="s">
        <v>35</v>
      </c>
      <c r="K206">
        <v>646</v>
      </c>
      <c r="L206" t="s">
        <v>16</v>
      </c>
    </row>
    <row r="207" spans="1:12" x14ac:dyDescent="0.3">
      <c r="A207">
        <v>2012</v>
      </c>
      <c r="B207" t="s">
        <v>34</v>
      </c>
      <c r="C207">
        <v>95</v>
      </c>
      <c r="D207">
        <v>2746.2</v>
      </c>
      <c r="E207">
        <v>202</v>
      </c>
      <c r="F207" t="s">
        <v>36</v>
      </c>
      <c r="G207" t="s">
        <v>21</v>
      </c>
      <c r="H207">
        <v>841</v>
      </c>
      <c r="I207">
        <v>55</v>
      </c>
      <c r="J207" t="s">
        <v>35</v>
      </c>
      <c r="K207">
        <v>43562</v>
      </c>
      <c r="L207" t="s">
        <v>16</v>
      </c>
    </row>
    <row r="208" spans="1:12" x14ac:dyDescent="0.3">
      <c r="A208">
        <v>2013</v>
      </c>
      <c r="B208" t="s">
        <v>34</v>
      </c>
      <c r="C208">
        <v>6441</v>
      </c>
      <c r="D208">
        <v>2746.2</v>
      </c>
      <c r="E208">
        <v>203</v>
      </c>
      <c r="F208" t="s">
        <v>36</v>
      </c>
      <c r="G208" t="s">
        <v>21</v>
      </c>
      <c r="H208">
        <v>3550</v>
      </c>
      <c r="I208">
        <v>53</v>
      </c>
      <c r="J208" t="s">
        <v>35</v>
      </c>
      <c r="K208">
        <v>200000</v>
      </c>
      <c r="L208" t="s">
        <v>16</v>
      </c>
    </row>
    <row r="209" spans="1:12" x14ac:dyDescent="0.3">
      <c r="A209">
        <v>2014</v>
      </c>
      <c r="B209" t="s">
        <v>34</v>
      </c>
      <c r="C209">
        <v>4012</v>
      </c>
      <c r="D209">
        <v>3360</v>
      </c>
      <c r="E209">
        <v>204</v>
      </c>
      <c r="F209" t="s">
        <v>36</v>
      </c>
      <c r="G209" t="s">
        <v>21</v>
      </c>
      <c r="H209">
        <v>109</v>
      </c>
      <c r="I209">
        <v>53.5</v>
      </c>
      <c r="J209" t="s">
        <v>35</v>
      </c>
      <c r="K209">
        <v>4847</v>
      </c>
      <c r="L209" t="s">
        <v>16</v>
      </c>
    </row>
    <row r="210" spans="1:12" x14ac:dyDescent="0.3">
      <c r="A210">
        <v>2015</v>
      </c>
      <c r="B210" t="s">
        <v>34</v>
      </c>
      <c r="C210">
        <v>4877</v>
      </c>
      <c r="D210">
        <v>3360</v>
      </c>
      <c r="E210">
        <v>205</v>
      </c>
      <c r="F210" t="s">
        <v>36</v>
      </c>
      <c r="G210" t="s">
        <v>21</v>
      </c>
      <c r="H210">
        <v>3368</v>
      </c>
      <c r="I210">
        <v>52.5</v>
      </c>
      <c r="J210" t="s">
        <v>35</v>
      </c>
      <c r="K210">
        <v>51239</v>
      </c>
      <c r="L210" t="s">
        <v>16</v>
      </c>
    </row>
    <row r="211" spans="1:12" x14ac:dyDescent="0.3">
      <c r="A211">
        <v>2016</v>
      </c>
      <c r="B211" t="s">
        <v>34</v>
      </c>
      <c r="C211">
        <v>4930</v>
      </c>
      <c r="D211">
        <v>3360</v>
      </c>
      <c r="E211">
        <v>206</v>
      </c>
      <c r="F211" t="s">
        <v>36</v>
      </c>
      <c r="G211" t="s">
        <v>21</v>
      </c>
      <c r="H211">
        <v>3671</v>
      </c>
      <c r="I211">
        <v>56</v>
      </c>
      <c r="J211" t="s">
        <v>35</v>
      </c>
      <c r="K211">
        <v>216396</v>
      </c>
      <c r="L211" t="s">
        <v>16</v>
      </c>
    </row>
    <row r="212" spans="1:12" x14ac:dyDescent="0.3">
      <c r="A212">
        <v>2017</v>
      </c>
      <c r="B212" t="s">
        <v>34</v>
      </c>
      <c r="C212">
        <v>4954</v>
      </c>
      <c r="D212">
        <v>3605.4</v>
      </c>
      <c r="E212">
        <v>207</v>
      </c>
      <c r="F212" t="s">
        <v>36</v>
      </c>
      <c r="G212" t="s">
        <v>21</v>
      </c>
      <c r="H212">
        <v>2404</v>
      </c>
      <c r="I212">
        <v>57</v>
      </c>
      <c r="J212" t="s">
        <v>35</v>
      </c>
      <c r="K212">
        <v>2644</v>
      </c>
      <c r="L212" t="s">
        <v>16</v>
      </c>
    </row>
    <row r="213" spans="1:12" x14ac:dyDescent="0.3">
      <c r="A213">
        <v>2018</v>
      </c>
      <c r="B213" t="s">
        <v>34</v>
      </c>
      <c r="C213">
        <v>5019</v>
      </c>
      <c r="D213">
        <v>3605.4</v>
      </c>
      <c r="E213">
        <v>208</v>
      </c>
      <c r="F213" t="s">
        <v>36</v>
      </c>
      <c r="G213" t="s">
        <v>21</v>
      </c>
      <c r="H213">
        <v>2805</v>
      </c>
      <c r="I213">
        <v>57.5</v>
      </c>
      <c r="J213" t="s">
        <v>35</v>
      </c>
      <c r="K213">
        <v>44235</v>
      </c>
      <c r="L213" t="s">
        <v>16</v>
      </c>
    </row>
    <row r="214" spans="1:12" x14ac:dyDescent="0.3">
      <c r="A214">
        <v>2004</v>
      </c>
      <c r="B214" t="s">
        <v>34</v>
      </c>
      <c r="C214">
        <v>5127</v>
      </c>
      <c r="D214">
        <v>3605.4</v>
      </c>
      <c r="E214">
        <v>209</v>
      </c>
      <c r="F214" t="s">
        <v>36</v>
      </c>
      <c r="G214" t="s">
        <v>21</v>
      </c>
      <c r="H214">
        <v>2331</v>
      </c>
      <c r="I214">
        <v>57</v>
      </c>
      <c r="J214" t="s">
        <v>37</v>
      </c>
      <c r="K214">
        <v>203317</v>
      </c>
      <c r="L214" t="s">
        <v>16</v>
      </c>
    </row>
    <row r="215" spans="1:12" x14ac:dyDescent="0.3">
      <c r="A215">
        <v>2005</v>
      </c>
      <c r="B215" t="s">
        <v>34</v>
      </c>
      <c r="C215">
        <v>5174</v>
      </c>
      <c r="D215">
        <v>3512.4</v>
      </c>
      <c r="E215">
        <v>210</v>
      </c>
      <c r="F215" t="s">
        <v>36</v>
      </c>
      <c r="G215" t="s">
        <v>21</v>
      </c>
      <c r="H215">
        <v>2088</v>
      </c>
      <c r="I215">
        <v>55</v>
      </c>
      <c r="J215" t="s">
        <v>37</v>
      </c>
      <c r="K215">
        <v>2134</v>
      </c>
      <c r="L215" t="s">
        <v>16</v>
      </c>
    </row>
    <row r="216" spans="1:12" x14ac:dyDescent="0.3">
      <c r="A216">
        <v>2006</v>
      </c>
      <c r="B216" t="s">
        <v>34</v>
      </c>
      <c r="C216">
        <v>5294</v>
      </c>
      <c r="D216">
        <v>3512.4</v>
      </c>
      <c r="E216">
        <v>211</v>
      </c>
      <c r="F216" t="s">
        <v>36</v>
      </c>
      <c r="G216" t="s">
        <v>21</v>
      </c>
      <c r="H216">
        <v>2628</v>
      </c>
      <c r="I216">
        <v>56</v>
      </c>
      <c r="J216" t="s">
        <v>37</v>
      </c>
      <c r="K216">
        <v>45186</v>
      </c>
      <c r="L216" t="s">
        <v>16</v>
      </c>
    </row>
    <row r="217" spans="1:12" x14ac:dyDescent="0.3">
      <c r="A217">
        <v>2007</v>
      </c>
      <c r="B217" t="s">
        <v>34</v>
      </c>
      <c r="C217">
        <v>5474</v>
      </c>
      <c r="D217">
        <v>3512.4</v>
      </c>
      <c r="E217">
        <v>212</v>
      </c>
      <c r="F217" t="s">
        <v>36</v>
      </c>
      <c r="G217" t="s">
        <v>21</v>
      </c>
      <c r="H217">
        <v>1939</v>
      </c>
      <c r="I217">
        <v>54</v>
      </c>
      <c r="J217" t="s">
        <v>37</v>
      </c>
      <c r="K217">
        <v>238542</v>
      </c>
      <c r="L217" t="s">
        <v>16</v>
      </c>
    </row>
    <row r="218" spans="1:12" x14ac:dyDescent="0.3">
      <c r="A218">
        <v>2008</v>
      </c>
      <c r="B218" t="s">
        <v>34</v>
      </c>
      <c r="C218">
        <v>5864</v>
      </c>
      <c r="D218">
        <v>3296</v>
      </c>
      <c r="E218">
        <v>213</v>
      </c>
      <c r="F218" t="s">
        <v>36</v>
      </c>
      <c r="G218" t="s">
        <v>21</v>
      </c>
      <c r="H218">
        <v>1871</v>
      </c>
      <c r="I218">
        <v>58</v>
      </c>
      <c r="J218" t="s">
        <v>37</v>
      </c>
      <c r="K218">
        <v>1516</v>
      </c>
      <c r="L218" t="s">
        <v>16</v>
      </c>
    </row>
    <row r="219" spans="1:12" x14ac:dyDescent="0.3">
      <c r="A219">
        <v>2009</v>
      </c>
      <c r="B219" t="s">
        <v>34</v>
      </c>
      <c r="C219">
        <v>7028</v>
      </c>
      <c r="D219">
        <v>3296</v>
      </c>
      <c r="E219">
        <v>214</v>
      </c>
      <c r="F219" t="s">
        <v>36</v>
      </c>
      <c r="G219" t="s">
        <v>21</v>
      </c>
      <c r="H219">
        <v>1868</v>
      </c>
      <c r="I219">
        <v>58</v>
      </c>
      <c r="J219" t="s">
        <v>37</v>
      </c>
      <c r="K219">
        <v>57259</v>
      </c>
      <c r="L219" t="s">
        <v>16</v>
      </c>
    </row>
    <row r="220" spans="1:12" x14ac:dyDescent="0.3">
      <c r="A220">
        <v>2010</v>
      </c>
      <c r="B220" t="s">
        <v>34</v>
      </c>
      <c r="C220">
        <v>7403</v>
      </c>
      <c r="D220">
        <v>3296</v>
      </c>
      <c r="E220">
        <v>215</v>
      </c>
      <c r="F220" t="s">
        <v>36</v>
      </c>
      <c r="G220" t="s">
        <v>26</v>
      </c>
      <c r="H220">
        <v>127919</v>
      </c>
      <c r="I220">
        <v>59</v>
      </c>
      <c r="J220" t="s">
        <v>37</v>
      </c>
      <c r="K220">
        <v>234779</v>
      </c>
      <c r="L220" t="s">
        <v>16</v>
      </c>
    </row>
    <row r="221" spans="1:12" x14ac:dyDescent="0.3">
      <c r="A221">
        <v>2011</v>
      </c>
      <c r="B221" t="s">
        <v>34</v>
      </c>
      <c r="C221">
        <v>7501</v>
      </c>
      <c r="D221">
        <v>3550</v>
      </c>
      <c r="E221">
        <v>216</v>
      </c>
      <c r="F221" t="s">
        <v>36</v>
      </c>
      <c r="G221" t="s">
        <v>26</v>
      </c>
      <c r="H221">
        <v>75340</v>
      </c>
      <c r="I221">
        <v>50</v>
      </c>
      <c r="J221" t="s">
        <v>37</v>
      </c>
      <c r="K221">
        <v>1493</v>
      </c>
      <c r="L221" t="s">
        <v>16</v>
      </c>
    </row>
    <row r="222" spans="1:12" x14ac:dyDescent="0.3">
      <c r="A222">
        <v>2012</v>
      </c>
      <c r="B222" t="s">
        <v>34</v>
      </c>
      <c r="C222">
        <v>7714</v>
      </c>
      <c r="D222">
        <v>3550</v>
      </c>
      <c r="E222">
        <v>217</v>
      </c>
      <c r="F222" t="s">
        <v>36</v>
      </c>
      <c r="G222" t="s">
        <v>26</v>
      </c>
      <c r="H222">
        <v>29170</v>
      </c>
      <c r="I222">
        <v>54</v>
      </c>
      <c r="J222" t="s">
        <v>37</v>
      </c>
      <c r="K222">
        <v>64409</v>
      </c>
      <c r="L222" t="s">
        <v>16</v>
      </c>
    </row>
    <row r="223" spans="1:12" x14ac:dyDescent="0.3">
      <c r="A223">
        <v>2013</v>
      </c>
      <c r="B223" t="s">
        <v>34</v>
      </c>
      <c r="C223">
        <v>7856</v>
      </c>
      <c r="D223">
        <v>3550</v>
      </c>
      <c r="E223">
        <v>218</v>
      </c>
      <c r="F223" t="s">
        <v>36</v>
      </c>
      <c r="G223" t="s">
        <v>26</v>
      </c>
      <c r="H223">
        <v>1901</v>
      </c>
      <c r="I223">
        <v>53</v>
      </c>
      <c r="J223" t="s">
        <v>37</v>
      </c>
      <c r="K223">
        <v>249978</v>
      </c>
      <c r="L223" t="s">
        <v>16</v>
      </c>
    </row>
    <row r="224" spans="1:12" x14ac:dyDescent="0.3">
      <c r="A224">
        <v>2014</v>
      </c>
      <c r="B224" t="s">
        <v>34</v>
      </c>
      <c r="C224">
        <v>32</v>
      </c>
      <c r="D224">
        <v>3654</v>
      </c>
      <c r="E224">
        <v>219</v>
      </c>
      <c r="F224" t="s">
        <v>36</v>
      </c>
      <c r="G224" t="s">
        <v>26</v>
      </c>
      <c r="H224">
        <v>972</v>
      </c>
      <c r="I224">
        <v>52</v>
      </c>
      <c r="J224" t="s">
        <v>37</v>
      </c>
      <c r="K224">
        <v>637</v>
      </c>
      <c r="L224" t="s">
        <v>16</v>
      </c>
    </row>
    <row r="225" spans="1:12" x14ac:dyDescent="0.3">
      <c r="A225">
        <v>2015</v>
      </c>
      <c r="B225" t="s">
        <v>34</v>
      </c>
      <c r="C225">
        <v>1</v>
      </c>
      <c r="D225">
        <v>3654</v>
      </c>
      <c r="E225">
        <v>220</v>
      </c>
      <c r="F225" t="s">
        <v>36</v>
      </c>
      <c r="G225" t="s">
        <v>26</v>
      </c>
      <c r="H225">
        <v>874</v>
      </c>
      <c r="I225">
        <v>51</v>
      </c>
      <c r="J225" t="s">
        <v>37</v>
      </c>
      <c r="K225">
        <v>43311</v>
      </c>
      <c r="L225" t="s">
        <v>16</v>
      </c>
    </row>
    <row r="226" spans="1:12" x14ac:dyDescent="0.3">
      <c r="A226">
        <v>2016</v>
      </c>
      <c r="B226" t="s">
        <v>34</v>
      </c>
      <c r="C226">
        <v>30</v>
      </c>
      <c r="D226">
        <v>3654</v>
      </c>
      <c r="E226">
        <v>221</v>
      </c>
      <c r="F226" t="s">
        <v>36</v>
      </c>
      <c r="G226" t="s">
        <v>26</v>
      </c>
      <c r="H226">
        <v>592</v>
      </c>
      <c r="I226">
        <v>57</v>
      </c>
      <c r="J226" t="s">
        <v>37</v>
      </c>
      <c r="K226">
        <v>24848</v>
      </c>
      <c r="L226" t="s">
        <v>16</v>
      </c>
    </row>
    <row r="227" spans="1:12" x14ac:dyDescent="0.3">
      <c r="A227">
        <v>2017</v>
      </c>
      <c r="B227" t="s">
        <v>34</v>
      </c>
      <c r="C227">
        <v>6</v>
      </c>
      <c r="D227">
        <v>233</v>
      </c>
      <c r="E227">
        <v>222</v>
      </c>
      <c r="F227" t="s">
        <v>38</v>
      </c>
      <c r="G227" t="s">
        <v>26</v>
      </c>
      <c r="H227">
        <v>864</v>
      </c>
      <c r="I227">
        <v>57</v>
      </c>
      <c r="J227" t="s">
        <v>37</v>
      </c>
      <c r="K227">
        <v>761</v>
      </c>
      <c r="L227" t="s">
        <v>16</v>
      </c>
    </row>
    <row r="228" spans="1:12" x14ac:dyDescent="0.3">
      <c r="A228">
        <v>2018</v>
      </c>
      <c r="B228" t="s">
        <v>34</v>
      </c>
      <c r="C228">
        <v>15</v>
      </c>
      <c r="D228">
        <v>233</v>
      </c>
      <c r="E228">
        <v>27</v>
      </c>
      <c r="F228" t="s">
        <v>38</v>
      </c>
      <c r="G228" t="s">
        <v>26</v>
      </c>
      <c r="H228">
        <v>5373</v>
      </c>
      <c r="I228">
        <v>60</v>
      </c>
      <c r="J228" t="s">
        <v>37</v>
      </c>
      <c r="K228">
        <v>45608</v>
      </c>
      <c r="L228" t="s">
        <v>16</v>
      </c>
    </row>
    <row r="229" spans="1:12" x14ac:dyDescent="0.3">
      <c r="A229">
        <v>2004</v>
      </c>
      <c r="B229" t="s">
        <v>34</v>
      </c>
      <c r="C229">
        <v>4</v>
      </c>
      <c r="D229">
        <v>233</v>
      </c>
      <c r="E229">
        <v>27</v>
      </c>
      <c r="F229" t="s">
        <v>38</v>
      </c>
      <c r="G229" t="s">
        <v>26</v>
      </c>
      <c r="H229">
        <v>6589</v>
      </c>
      <c r="I229">
        <v>57</v>
      </c>
      <c r="J229" t="s">
        <v>39</v>
      </c>
      <c r="K229">
        <v>234581</v>
      </c>
      <c r="L229" t="s">
        <v>16</v>
      </c>
    </row>
    <row r="230" spans="1:12" x14ac:dyDescent="0.3">
      <c r="A230">
        <v>2005</v>
      </c>
      <c r="B230" t="s">
        <v>34</v>
      </c>
      <c r="C230">
        <v>39</v>
      </c>
      <c r="D230">
        <v>234</v>
      </c>
      <c r="E230">
        <v>27</v>
      </c>
      <c r="F230" t="s">
        <v>38</v>
      </c>
      <c r="G230" t="s">
        <v>26</v>
      </c>
      <c r="H230">
        <v>5107</v>
      </c>
      <c r="I230">
        <v>57</v>
      </c>
      <c r="J230" t="s">
        <v>39</v>
      </c>
      <c r="K230">
        <v>646</v>
      </c>
      <c r="L230" t="s">
        <v>16</v>
      </c>
    </row>
    <row r="231" spans="1:12" x14ac:dyDescent="0.3">
      <c r="A231">
        <v>2006</v>
      </c>
      <c r="B231" t="s">
        <v>34</v>
      </c>
      <c r="C231">
        <v>6</v>
      </c>
      <c r="D231">
        <v>234</v>
      </c>
      <c r="E231">
        <v>27</v>
      </c>
      <c r="F231" t="s">
        <v>38</v>
      </c>
      <c r="G231" t="s">
        <v>26</v>
      </c>
      <c r="H231">
        <v>5518</v>
      </c>
      <c r="I231">
        <v>54</v>
      </c>
      <c r="J231" t="s">
        <v>39</v>
      </c>
      <c r="K231">
        <v>43562</v>
      </c>
      <c r="L231" t="s">
        <v>16</v>
      </c>
    </row>
    <row r="232" spans="1:12" x14ac:dyDescent="0.3">
      <c r="A232">
        <v>2007</v>
      </c>
      <c r="B232" t="s">
        <v>34</v>
      </c>
      <c r="C232">
        <v>12</v>
      </c>
      <c r="D232">
        <v>234</v>
      </c>
      <c r="E232">
        <v>27</v>
      </c>
      <c r="F232" t="s">
        <v>38</v>
      </c>
      <c r="G232" t="s">
        <v>26</v>
      </c>
      <c r="H232">
        <v>4912</v>
      </c>
      <c r="I232">
        <v>54.5</v>
      </c>
      <c r="J232" t="s">
        <v>39</v>
      </c>
      <c r="K232">
        <v>200000</v>
      </c>
      <c r="L232" t="s">
        <v>16</v>
      </c>
    </row>
    <row r="233" spans="1:12" x14ac:dyDescent="0.3">
      <c r="A233">
        <v>2008</v>
      </c>
      <c r="B233" t="s">
        <v>34</v>
      </c>
      <c r="C233">
        <v>3</v>
      </c>
      <c r="D233">
        <v>3105</v>
      </c>
      <c r="E233">
        <v>27.2</v>
      </c>
      <c r="F233" t="s">
        <v>38</v>
      </c>
      <c r="G233" t="s">
        <v>26</v>
      </c>
      <c r="H233">
        <v>3830</v>
      </c>
      <c r="I233">
        <v>56.6</v>
      </c>
      <c r="J233" t="s">
        <v>39</v>
      </c>
      <c r="K233">
        <v>4847</v>
      </c>
      <c r="L233" t="s">
        <v>16</v>
      </c>
    </row>
    <row r="234" spans="1:12" x14ac:dyDescent="0.3">
      <c r="A234">
        <v>2009</v>
      </c>
      <c r="B234" t="s">
        <v>34</v>
      </c>
      <c r="C234">
        <v>17</v>
      </c>
      <c r="D234">
        <v>3105</v>
      </c>
      <c r="E234">
        <v>27.2</v>
      </c>
      <c r="F234" t="s">
        <v>38</v>
      </c>
      <c r="G234" t="s">
        <v>26</v>
      </c>
      <c r="H234">
        <v>313547</v>
      </c>
      <c r="I234">
        <v>55.5</v>
      </c>
      <c r="J234" t="s">
        <v>39</v>
      </c>
      <c r="K234">
        <v>51239</v>
      </c>
      <c r="L234" t="s">
        <v>16</v>
      </c>
    </row>
    <row r="235" spans="1:12" x14ac:dyDescent="0.3">
      <c r="A235">
        <v>2010</v>
      </c>
      <c r="B235" t="s">
        <v>34</v>
      </c>
      <c r="C235">
        <v>3</v>
      </c>
      <c r="D235">
        <v>3105</v>
      </c>
      <c r="E235">
        <v>27.2</v>
      </c>
      <c r="F235" t="s">
        <v>38</v>
      </c>
      <c r="G235" t="s">
        <v>26</v>
      </c>
      <c r="H235">
        <v>2783</v>
      </c>
      <c r="I235">
        <v>58.5</v>
      </c>
      <c r="J235" t="s">
        <v>39</v>
      </c>
      <c r="K235">
        <v>216396</v>
      </c>
      <c r="L235" t="s">
        <v>16</v>
      </c>
    </row>
    <row r="236" spans="1:12" x14ac:dyDescent="0.3">
      <c r="A236">
        <v>2011</v>
      </c>
      <c r="B236" t="s">
        <v>34</v>
      </c>
      <c r="C236">
        <v>9</v>
      </c>
      <c r="D236">
        <v>236</v>
      </c>
      <c r="E236">
        <v>27</v>
      </c>
      <c r="F236" t="s">
        <v>38</v>
      </c>
      <c r="G236" t="s">
        <v>26</v>
      </c>
      <c r="H236">
        <v>1533</v>
      </c>
      <c r="I236">
        <v>59.5</v>
      </c>
      <c r="J236" t="s">
        <v>39</v>
      </c>
      <c r="K236">
        <v>2644</v>
      </c>
      <c r="L236" t="s">
        <v>16</v>
      </c>
    </row>
    <row r="237" spans="1:12" x14ac:dyDescent="0.3">
      <c r="A237">
        <v>2012</v>
      </c>
      <c r="B237" t="s">
        <v>34</v>
      </c>
      <c r="C237">
        <v>21</v>
      </c>
      <c r="D237">
        <v>236</v>
      </c>
      <c r="E237">
        <v>27</v>
      </c>
      <c r="F237" t="s">
        <v>38</v>
      </c>
      <c r="G237" t="s">
        <v>26</v>
      </c>
      <c r="H237">
        <v>1647</v>
      </c>
      <c r="I237">
        <v>55</v>
      </c>
      <c r="J237" t="s">
        <v>39</v>
      </c>
      <c r="K237">
        <v>44235</v>
      </c>
      <c r="L237" t="s">
        <v>16</v>
      </c>
    </row>
    <row r="238" spans="1:12" x14ac:dyDescent="0.3">
      <c r="A238">
        <v>2013</v>
      </c>
      <c r="B238" t="s">
        <v>34</v>
      </c>
      <c r="C238">
        <v>11</v>
      </c>
      <c r="D238">
        <v>2903.1</v>
      </c>
      <c r="E238">
        <v>27</v>
      </c>
      <c r="F238" t="s">
        <v>38</v>
      </c>
      <c r="G238" t="s">
        <v>26</v>
      </c>
      <c r="H238">
        <v>975</v>
      </c>
      <c r="I238">
        <v>53</v>
      </c>
      <c r="J238" t="s">
        <v>39</v>
      </c>
      <c r="K238">
        <v>203317</v>
      </c>
      <c r="L238" t="s">
        <v>16</v>
      </c>
    </row>
    <row r="239" spans="1:12" x14ac:dyDescent="0.3">
      <c r="A239">
        <v>2014</v>
      </c>
      <c r="B239" t="s">
        <v>34</v>
      </c>
      <c r="C239">
        <v>4</v>
      </c>
      <c r="D239">
        <v>2903.1</v>
      </c>
      <c r="E239">
        <v>27</v>
      </c>
      <c r="F239" t="s">
        <v>38</v>
      </c>
      <c r="G239" t="s">
        <v>26</v>
      </c>
      <c r="H239">
        <v>2</v>
      </c>
      <c r="I239">
        <v>53.5</v>
      </c>
      <c r="J239" t="s">
        <v>39</v>
      </c>
      <c r="K239">
        <v>2134</v>
      </c>
      <c r="L239" t="s">
        <v>16</v>
      </c>
    </row>
    <row r="240" spans="1:12" x14ac:dyDescent="0.3">
      <c r="A240">
        <v>2015</v>
      </c>
      <c r="B240" t="s">
        <v>34</v>
      </c>
      <c r="C240">
        <v>15</v>
      </c>
      <c r="D240">
        <v>2903.1</v>
      </c>
      <c r="E240">
        <v>27</v>
      </c>
      <c r="F240" t="s">
        <v>38</v>
      </c>
      <c r="G240" t="s">
        <v>26</v>
      </c>
      <c r="H240">
        <v>836</v>
      </c>
      <c r="I240">
        <v>52.5</v>
      </c>
      <c r="J240" t="s">
        <v>39</v>
      </c>
      <c r="K240">
        <v>45186</v>
      </c>
      <c r="L240" t="s">
        <v>16</v>
      </c>
    </row>
    <row r="241" spans="1:12" x14ac:dyDescent="0.3">
      <c r="A241">
        <v>2016</v>
      </c>
      <c r="B241" t="s">
        <v>34</v>
      </c>
      <c r="C241">
        <v>8</v>
      </c>
      <c r="D241">
        <v>2996.6</v>
      </c>
      <c r="E241">
        <v>27</v>
      </c>
      <c r="F241" t="s">
        <v>38</v>
      </c>
      <c r="G241" t="s">
        <v>26</v>
      </c>
      <c r="H241">
        <v>806</v>
      </c>
      <c r="I241">
        <v>56</v>
      </c>
      <c r="J241" t="s">
        <v>39</v>
      </c>
      <c r="K241">
        <v>238542</v>
      </c>
      <c r="L241" t="s">
        <v>16</v>
      </c>
    </row>
    <row r="242" spans="1:12" x14ac:dyDescent="0.3">
      <c r="A242">
        <v>2017</v>
      </c>
      <c r="B242" t="s">
        <v>34</v>
      </c>
      <c r="C242">
        <v>29</v>
      </c>
      <c r="D242">
        <v>2996.6</v>
      </c>
      <c r="E242">
        <v>27.2</v>
      </c>
      <c r="F242" t="s">
        <v>38</v>
      </c>
      <c r="G242" t="s">
        <v>26</v>
      </c>
      <c r="H242">
        <v>880</v>
      </c>
      <c r="I242">
        <v>57</v>
      </c>
      <c r="J242" t="s">
        <v>39</v>
      </c>
      <c r="K242">
        <v>1516</v>
      </c>
      <c r="L242" t="s">
        <v>16</v>
      </c>
    </row>
    <row r="243" spans="1:12" x14ac:dyDescent="0.3">
      <c r="A243">
        <v>2018</v>
      </c>
      <c r="B243" t="s">
        <v>34</v>
      </c>
      <c r="C243">
        <v>1</v>
      </c>
      <c r="D243">
        <v>2996.6</v>
      </c>
      <c r="E243">
        <v>27.2</v>
      </c>
      <c r="F243" t="s">
        <v>38</v>
      </c>
      <c r="G243" t="s">
        <v>26</v>
      </c>
      <c r="H243">
        <v>770</v>
      </c>
      <c r="I243">
        <v>57.5</v>
      </c>
      <c r="J243" t="s">
        <v>39</v>
      </c>
      <c r="K243">
        <v>200000</v>
      </c>
      <c r="L243" t="s">
        <v>16</v>
      </c>
    </row>
    <row r="244" spans="1:12" x14ac:dyDescent="0.3">
      <c r="A244">
        <v>2004</v>
      </c>
      <c r="B244" t="s">
        <v>34</v>
      </c>
      <c r="C244">
        <v>13736</v>
      </c>
      <c r="D244">
        <v>3522.8</v>
      </c>
      <c r="E244">
        <v>27.2</v>
      </c>
      <c r="F244" t="s">
        <v>38</v>
      </c>
      <c r="G244" t="s">
        <v>26</v>
      </c>
      <c r="H244">
        <v>395</v>
      </c>
      <c r="I244">
        <v>57</v>
      </c>
      <c r="J244" t="s">
        <v>40</v>
      </c>
      <c r="K244">
        <v>4847</v>
      </c>
      <c r="L244" t="s">
        <v>16</v>
      </c>
    </row>
    <row r="245" spans="1:12" x14ac:dyDescent="0.3">
      <c r="A245">
        <v>2005</v>
      </c>
      <c r="B245" t="s">
        <v>34</v>
      </c>
      <c r="C245">
        <v>14003</v>
      </c>
      <c r="D245">
        <v>3522.8</v>
      </c>
      <c r="E245">
        <v>27.1</v>
      </c>
      <c r="F245" t="s">
        <v>38</v>
      </c>
      <c r="G245" t="s">
        <v>26</v>
      </c>
      <c r="H245">
        <v>187</v>
      </c>
      <c r="I245">
        <v>55</v>
      </c>
      <c r="J245" t="s">
        <v>40</v>
      </c>
      <c r="K245">
        <v>51239</v>
      </c>
      <c r="L245" t="s">
        <v>16</v>
      </c>
    </row>
    <row r="246" spans="1:12" x14ac:dyDescent="0.3">
      <c r="A246">
        <v>2006</v>
      </c>
      <c r="B246" t="s">
        <v>34</v>
      </c>
      <c r="C246">
        <v>14179</v>
      </c>
      <c r="D246">
        <v>3522.8</v>
      </c>
      <c r="E246">
        <v>27.1</v>
      </c>
      <c r="F246" t="s">
        <v>38</v>
      </c>
      <c r="G246" t="s">
        <v>26</v>
      </c>
      <c r="H246">
        <v>187</v>
      </c>
      <c r="I246">
        <v>56</v>
      </c>
      <c r="J246" t="s">
        <v>40</v>
      </c>
      <c r="K246">
        <v>216396</v>
      </c>
      <c r="L246" t="s">
        <v>16</v>
      </c>
    </row>
    <row r="247" spans="1:12" x14ac:dyDescent="0.3">
      <c r="A247">
        <v>2007</v>
      </c>
      <c r="B247" t="s">
        <v>34</v>
      </c>
      <c r="C247">
        <v>14319</v>
      </c>
      <c r="D247">
        <v>2903.1</v>
      </c>
      <c r="E247">
        <v>27.1</v>
      </c>
      <c r="F247" t="s">
        <v>38</v>
      </c>
      <c r="G247" t="s">
        <v>26</v>
      </c>
      <c r="H247">
        <v>121</v>
      </c>
      <c r="I247">
        <v>54</v>
      </c>
      <c r="J247" t="s">
        <v>40</v>
      </c>
      <c r="K247">
        <v>2644</v>
      </c>
      <c r="L247" t="s">
        <v>16</v>
      </c>
    </row>
    <row r="248" spans="1:12" x14ac:dyDescent="0.3">
      <c r="A248">
        <v>2008</v>
      </c>
      <c r="B248" t="s">
        <v>34</v>
      </c>
      <c r="C248">
        <v>14464</v>
      </c>
      <c r="D248">
        <v>2903.1</v>
      </c>
      <c r="E248">
        <v>26.8</v>
      </c>
      <c r="F248" t="s">
        <v>38</v>
      </c>
      <c r="G248" t="s">
        <v>26</v>
      </c>
      <c r="H248">
        <v>103</v>
      </c>
      <c r="I248">
        <v>58</v>
      </c>
      <c r="J248" t="s">
        <v>40</v>
      </c>
      <c r="K248">
        <v>44235</v>
      </c>
      <c r="L248" t="s">
        <v>16</v>
      </c>
    </row>
    <row r="249" spans="1:12" x14ac:dyDescent="0.3">
      <c r="A249">
        <v>2009</v>
      </c>
      <c r="B249" t="s">
        <v>34</v>
      </c>
      <c r="C249">
        <v>14876</v>
      </c>
      <c r="D249">
        <v>2903.1</v>
      </c>
      <c r="E249">
        <v>26.8</v>
      </c>
      <c r="F249" t="s">
        <v>38</v>
      </c>
      <c r="G249" t="s">
        <v>26</v>
      </c>
      <c r="H249">
        <v>71</v>
      </c>
      <c r="I249">
        <v>58</v>
      </c>
      <c r="J249" t="s">
        <v>40</v>
      </c>
      <c r="K249">
        <v>203317</v>
      </c>
      <c r="L249" t="s">
        <v>16</v>
      </c>
    </row>
    <row r="250" spans="1:12" x14ac:dyDescent="0.3">
      <c r="A250">
        <v>2010</v>
      </c>
      <c r="B250" t="s">
        <v>34</v>
      </c>
      <c r="C250">
        <v>14976</v>
      </c>
      <c r="D250">
        <v>2996.6</v>
      </c>
      <c r="E250">
        <v>26.8</v>
      </c>
      <c r="F250" t="s">
        <v>38</v>
      </c>
      <c r="G250" t="s">
        <v>26</v>
      </c>
      <c r="H250">
        <v>3961</v>
      </c>
      <c r="I250">
        <v>59</v>
      </c>
      <c r="J250" t="s">
        <v>40</v>
      </c>
      <c r="K250">
        <v>2134</v>
      </c>
      <c r="L250" t="s">
        <v>16</v>
      </c>
    </row>
    <row r="251" spans="1:12" x14ac:dyDescent="0.3">
      <c r="A251">
        <v>2011</v>
      </c>
      <c r="B251" t="s">
        <v>34</v>
      </c>
      <c r="C251">
        <v>15009</v>
      </c>
      <c r="D251">
        <v>2996.6</v>
      </c>
      <c r="E251">
        <v>37</v>
      </c>
      <c r="F251" t="s">
        <v>38</v>
      </c>
      <c r="G251" t="s">
        <v>26</v>
      </c>
      <c r="H251">
        <v>4247</v>
      </c>
      <c r="I251">
        <v>50</v>
      </c>
      <c r="J251" t="s">
        <v>40</v>
      </c>
      <c r="K251">
        <v>45186</v>
      </c>
      <c r="L251" t="s">
        <v>16</v>
      </c>
    </row>
    <row r="252" spans="1:12" x14ac:dyDescent="0.3">
      <c r="A252">
        <v>2012</v>
      </c>
      <c r="B252" t="s">
        <v>34</v>
      </c>
      <c r="C252">
        <v>15114</v>
      </c>
      <c r="D252">
        <v>2996.6</v>
      </c>
      <c r="E252">
        <v>37</v>
      </c>
      <c r="F252" t="s">
        <v>41</v>
      </c>
      <c r="G252" t="s">
        <v>26</v>
      </c>
      <c r="H252">
        <v>3290</v>
      </c>
      <c r="I252">
        <v>54</v>
      </c>
      <c r="J252" t="s">
        <v>40</v>
      </c>
      <c r="K252">
        <v>238542</v>
      </c>
      <c r="L252" t="s">
        <v>16</v>
      </c>
    </row>
    <row r="253" spans="1:12" x14ac:dyDescent="0.3">
      <c r="A253">
        <v>2013</v>
      </c>
      <c r="B253" t="s">
        <v>34</v>
      </c>
      <c r="C253">
        <v>16224</v>
      </c>
      <c r="D253">
        <v>3522.8</v>
      </c>
      <c r="E253">
        <v>37</v>
      </c>
      <c r="F253" t="s">
        <v>41</v>
      </c>
      <c r="G253" t="s">
        <v>26</v>
      </c>
      <c r="H253">
        <v>3138</v>
      </c>
      <c r="I253">
        <v>53</v>
      </c>
      <c r="J253" t="s">
        <v>40</v>
      </c>
      <c r="K253">
        <v>1516</v>
      </c>
      <c r="L253" t="s">
        <v>16</v>
      </c>
    </row>
    <row r="254" spans="1:12" x14ac:dyDescent="0.3">
      <c r="A254">
        <v>2014</v>
      </c>
      <c r="B254" t="s">
        <v>34</v>
      </c>
      <c r="C254">
        <v>17095</v>
      </c>
      <c r="D254">
        <v>3522.8</v>
      </c>
      <c r="E254">
        <v>38</v>
      </c>
      <c r="F254" t="s">
        <v>41</v>
      </c>
      <c r="G254" t="s">
        <v>26</v>
      </c>
      <c r="H254">
        <v>3423</v>
      </c>
      <c r="I254">
        <v>52</v>
      </c>
      <c r="J254" t="s">
        <v>40</v>
      </c>
      <c r="K254">
        <v>57259</v>
      </c>
      <c r="L254" t="s">
        <v>16</v>
      </c>
    </row>
    <row r="255" spans="1:12" x14ac:dyDescent="0.3">
      <c r="A255">
        <v>2015</v>
      </c>
      <c r="B255" t="s">
        <v>34</v>
      </c>
      <c r="C255">
        <v>17512</v>
      </c>
      <c r="D255">
        <v>3522.8</v>
      </c>
      <c r="E255">
        <v>38</v>
      </c>
      <c r="F255" t="s">
        <v>41</v>
      </c>
      <c r="G255" t="s">
        <v>26</v>
      </c>
      <c r="H255">
        <v>3899</v>
      </c>
      <c r="I255">
        <v>51</v>
      </c>
      <c r="J255" t="s">
        <v>40</v>
      </c>
      <c r="K255">
        <v>234779</v>
      </c>
      <c r="L255" t="s">
        <v>16</v>
      </c>
    </row>
    <row r="256" spans="1:12" x14ac:dyDescent="0.3">
      <c r="A256">
        <v>2016</v>
      </c>
      <c r="B256" t="s">
        <v>34</v>
      </c>
      <c r="C256">
        <v>17587</v>
      </c>
      <c r="D256">
        <v>3729.8</v>
      </c>
      <c r="E256">
        <v>38</v>
      </c>
      <c r="F256" t="s">
        <v>41</v>
      </c>
      <c r="G256" t="s">
        <v>26</v>
      </c>
      <c r="H256">
        <v>4015</v>
      </c>
      <c r="I256">
        <v>57</v>
      </c>
      <c r="J256" t="s">
        <v>40</v>
      </c>
      <c r="K256">
        <v>1493</v>
      </c>
      <c r="L256" t="s">
        <v>16</v>
      </c>
    </row>
    <row r="257" spans="1:12" x14ac:dyDescent="0.3">
      <c r="A257">
        <v>2017</v>
      </c>
      <c r="B257" t="s">
        <v>34</v>
      </c>
      <c r="C257">
        <v>17771</v>
      </c>
      <c r="D257">
        <v>3729.8</v>
      </c>
      <c r="E257">
        <v>39</v>
      </c>
      <c r="F257" t="s">
        <v>41</v>
      </c>
      <c r="G257" t="s">
        <v>26</v>
      </c>
      <c r="H257">
        <v>4279</v>
      </c>
      <c r="I257">
        <v>57</v>
      </c>
      <c r="J257" t="s">
        <v>40</v>
      </c>
      <c r="K257">
        <v>64409</v>
      </c>
      <c r="L257" t="s">
        <v>16</v>
      </c>
    </row>
    <row r="258" spans="1:12" x14ac:dyDescent="0.3">
      <c r="A258">
        <v>2018</v>
      </c>
      <c r="B258" t="s">
        <v>34</v>
      </c>
      <c r="C258">
        <v>17825</v>
      </c>
      <c r="D258">
        <v>3729.8</v>
      </c>
      <c r="E258">
        <v>39</v>
      </c>
      <c r="F258" t="s">
        <v>41</v>
      </c>
      <c r="G258" t="s">
        <v>26</v>
      </c>
      <c r="H258">
        <v>4167</v>
      </c>
      <c r="I258">
        <v>60</v>
      </c>
      <c r="J258" t="s">
        <v>40</v>
      </c>
      <c r="K258">
        <v>249978</v>
      </c>
      <c r="L258" t="s">
        <v>16</v>
      </c>
    </row>
    <row r="259" spans="1:12" x14ac:dyDescent="0.3">
      <c r="A259">
        <v>2004</v>
      </c>
      <c r="B259" t="s">
        <v>34</v>
      </c>
      <c r="C259">
        <v>3147</v>
      </c>
      <c r="D259">
        <v>2746.2</v>
      </c>
      <c r="E259">
        <v>39</v>
      </c>
      <c r="F259" t="s">
        <v>41</v>
      </c>
      <c r="G259" t="s">
        <v>26</v>
      </c>
      <c r="H259">
        <v>4479</v>
      </c>
      <c r="I259">
        <v>57</v>
      </c>
      <c r="J259" t="s">
        <v>42</v>
      </c>
      <c r="K259">
        <v>637</v>
      </c>
      <c r="L259" t="s">
        <v>16</v>
      </c>
    </row>
    <row r="260" spans="1:12" x14ac:dyDescent="0.3">
      <c r="A260">
        <v>2005</v>
      </c>
      <c r="B260" t="s">
        <v>34</v>
      </c>
      <c r="C260">
        <v>2578</v>
      </c>
      <c r="D260">
        <v>2746.2</v>
      </c>
      <c r="E260">
        <v>40</v>
      </c>
      <c r="F260" t="s">
        <v>41</v>
      </c>
      <c r="G260" t="s">
        <v>26</v>
      </c>
      <c r="H260">
        <v>3699</v>
      </c>
      <c r="I260">
        <v>57</v>
      </c>
      <c r="J260" t="s">
        <v>42</v>
      </c>
      <c r="K260">
        <v>43311</v>
      </c>
      <c r="L260" t="s">
        <v>16</v>
      </c>
    </row>
    <row r="261" spans="1:12" x14ac:dyDescent="0.3">
      <c r="A261">
        <v>2006</v>
      </c>
      <c r="B261" t="s">
        <v>34</v>
      </c>
      <c r="C261">
        <v>1591</v>
      </c>
      <c r="D261">
        <v>2746.2</v>
      </c>
      <c r="E261">
        <v>40</v>
      </c>
      <c r="F261" t="s">
        <v>41</v>
      </c>
      <c r="G261" t="s">
        <v>26</v>
      </c>
      <c r="H261">
        <v>4904</v>
      </c>
      <c r="I261">
        <v>54</v>
      </c>
      <c r="J261" t="s">
        <v>42</v>
      </c>
      <c r="K261">
        <v>24848</v>
      </c>
      <c r="L261" t="s">
        <v>16</v>
      </c>
    </row>
    <row r="262" spans="1:12" x14ac:dyDescent="0.3">
      <c r="A262">
        <v>2007</v>
      </c>
      <c r="B262" t="s">
        <v>34</v>
      </c>
      <c r="C262">
        <v>1298</v>
      </c>
      <c r="D262">
        <v>3360</v>
      </c>
      <c r="E262">
        <v>40</v>
      </c>
      <c r="F262" t="s">
        <v>41</v>
      </c>
      <c r="G262" t="s">
        <v>26</v>
      </c>
      <c r="H262">
        <v>2821</v>
      </c>
      <c r="I262">
        <v>54.5</v>
      </c>
      <c r="J262" t="s">
        <v>42</v>
      </c>
      <c r="K262">
        <v>761</v>
      </c>
      <c r="L262" t="s">
        <v>16</v>
      </c>
    </row>
    <row r="263" spans="1:12" x14ac:dyDescent="0.3">
      <c r="A263">
        <v>2008</v>
      </c>
      <c r="B263" t="s">
        <v>34</v>
      </c>
      <c r="C263">
        <v>4</v>
      </c>
      <c r="D263">
        <v>3360</v>
      </c>
      <c r="E263">
        <v>41</v>
      </c>
      <c r="F263" t="s">
        <v>41</v>
      </c>
      <c r="G263" t="s">
        <v>26</v>
      </c>
      <c r="H263">
        <v>3472</v>
      </c>
      <c r="I263">
        <v>56.6</v>
      </c>
      <c r="J263" t="s">
        <v>42</v>
      </c>
      <c r="K263">
        <v>45608</v>
      </c>
      <c r="L263" t="s">
        <v>16</v>
      </c>
    </row>
    <row r="264" spans="1:12" x14ac:dyDescent="0.3">
      <c r="A264">
        <v>2009</v>
      </c>
      <c r="B264" t="s">
        <v>34</v>
      </c>
      <c r="C264">
        <v>1122</v>
      </c>
      <c r="D264">
        <v>3360</v>
      </c>
      <c r="E264">
        <v>41</v>
      </c>
      <c r="F264" t="s">
        <v>41</v>
      </c>
      <c r="G264" t="s">
        <v>14</v>
      </c>
      <c r="H264">
        <v>3647</v>
      </c>
      <c r="I264">
        <v>55.5</v>
      </c>
      <c r="J264" t="s">
        <v>42</v>
      </c>
      <c r="K264">
        <v>234581</v>
      </c>
      <c r="L264" t="s">
        <v>16</v>
      </c>
    </row>
    <row r="265" spans="1:12" x14ac:dyDescent="0.3">
      <c r="A265">
        <v>2010</v>
      </c>
      <c r="B265" t="s">
        <v>34</v>
      </c>
      <c r="C265">
        <v>917</v>
      </c>
      <c r="D265">
        <v>3605.4</v>
      </c>
      <c r="E265">
        <v>41</v>
      </c>
      <c r="F265" t="s">
        <v>41</v>
      </c>
      <c r="G265" t="s">
        <v>14</v>
      </c>
      <c r="H265">
        <v>393</v>
      </c>
      <c r="I265">
        <v>58.5</v>
      </c>
      <c r="J265" t="s">
        <v>42</v>
      </c>
      <c r="K265">
        <v>646</v>
      </c>
      <c r="L265" t="s">
        <v>16</v>
      </c>
    </row>
    <row r="266" spans="1:12" x14ac:dyDescent="0.3">
      <c r="A266">
        <v>2011</v>
      </c>
      <c r="B266" t="s">
        <v>34</v>
      </c>
      <c r="C266">
        <v>819</v>
      </c>
      <c r="D266">
        <v>3605.4</v>
      </c>
      <c r="E266">
        <v>42</v>
      </c>
      <c r="F266" t="s">
        <v>41</v>
      </c>
      <c r="G266" t="s">
        <v>14</v>
      </c>
      <c r="H266">
        <v>167</v>
      </c>
      <c r="I266">
        <v>59.5</v>
      </c>
      <c r="J266" t="s">
        <v>42</v>
      </c>
      <c r="K266">
        <v>43562</v>
      </c>
      <c r="L266" t="s">
        <v>16</v>
      </c>
    </row>
    <row r="267" spans="1:12" x14ac:dyDescent="0.3">
      <c r="A267">
        <v>2012</v>
      </c>
      <c r="B267" t="s">
        <v>34</v>
      </c>
      <c r="C267">
        <v>619</v>
      </c>
      <c r="D267">
        <v>3605.4</v>
      </c>
      <c r="E267">
        <v>42</v>
      </c>
      <c r="F267" t="s">
        <v>41</v>
      </c>
      <c r="G267" t="s">
        <v>14</v>
      </c>
      <c r="H267">
        <v>71</v>
      </c>
      <c r="I267">
        <v>55</v>
      </c>
      <c r="J267" t="s">
        <v>42</v>
      </c>
      <c r="K267">
        <v>200000</v>
      </c>
      <c r="L267" t="s">
        <v>16</v>
      </c>
    </row>
    <row r="268" spans="1:12" x14ac:dyDescent="0.3">
      <c r="A268">
        <v>2013</v>
      </c>
      <c r="B268" t="s">
        <v>34</v>
      </c>
      <c r="C268">
        <v>391</v>
      </c>
      <c r="D268">
        <v>3512.4</v>
      </c>
      <c r="E268">
        <v>42</v>
      </c>
      <c r="F268" t="s">
        <v>41</v>
      </c>
      <c r="G268" t="s">
        <v>14</v>
      </c>
      <c r="H268">
        <v>52</v>
      </c>
      <c r="I268">
        <v>53</v>
      </c>
      <c r="J268" t="s">
        <v>42</v>
      </c>
      <c r="K268">
        <v>4847</v>
      </c>
      <c r="L268" t="s">
        <v>16</v>
      </c>
    </row>
    <row r="269" spans="1:12" x14ac:dyDescent="0.3">
      <c r="A269">
        <v>2014</v>
      </c>
      <c r="B269" t="s">
        <v>34</v>
      </c>
      <c r="C269">
        <v>211</v>
      </c>
      <c r="D269">
        <v>3512.4</v>
      </c>
      <c r="E269">
        <v>43</v>
      </c>
      <c r="F269" t="s">
        <v>41</v>
      </c>
      <c r="G269" t="s">
        <v>14</v>
      </c>
      <c r="H269">
        <v>313547</v>
      </c>
      <c r="I269">
        <v>53.5</v>
      </c>
      <c r="J269" t="s">
        <v>42</v>
      </c>
      <c r="K269">
        <v>51239</v>
      </c>
      <c r="L269" t="s">
        <v>16</v>
      </c>
    </row>
    <row r="270" spans="1:12" x14ac:dyDescent="0.3">
      <c r="A270">
        <v>2015</v>
      </c>
      <c r="B270" t="s">
        <v>34</v>
      </c>
      <c r="C270">
        <v>153</v>
      </c>
      <c r="D270">
        <v>3512.4</v>
      </c>
      <c r="E270">
        <v>43</v>
      </c>
      <c r="F270" t="s">
        <v>41</v>
      </c>
      <c r="G270" t="s">
        <v>14</v>
      </c>
      <c r="H270">
        <v>2783</v>
      </c>
      <c r="I270">
        <v>52.5</v>
      </c>
      <c r="J270" t="s">
        <v>42</v>
      </c>
      <c r="K270">
        <v>216396</v>
      </c>
      <c r="L270" t="s">
        <v>16</v>
      </c>
    </row>
    <row r="271" spans="1:12" x14ac:dyDescent="0.3">
      <c r="A271">
        <v>2016</v>
      </c>
      <c r="B271" t="s">
        <v>34</v>
      </c>
      <c r="C271">
        <v>111</v>
      </c>
      <c r="D271">
        <v>3296</v>
      </c>
      <c r="E271">
        <v>27</v>
      </c>
      <c r="F271" t="s">
        <v>41</v>
      </c>
      <c r="G271" t="s">
        <v>14</v>
      </c>
      <c r="H271">
        <v>1533</v>
      </c>
      <c r="I271">
        <v>56</v>
      </c>
      <c r="J271" t="s">
        <v>42</v>
      </c>
      <c r="K271">
        <v>2644</v>
      </c>
      <c r="L271" t="s">
        <v>16</v>
      </c>
    </row>
    <row r="272" spans="1:12" x14ac:dyDescent="0.3">
      <c r="A272">
        <v>2017</v>
      </c>
      <c r="B272" t="s">
        <v>34</v>
      </c>
      <c r="C272">
        <v>76</v>
      </c>
      <c r="D272">
        <v>3296</v>
      </c>
      <c r="E272">
        <v>27</v>
      </c>
      <c r="F272" t="s">
        <v>41</v>
      </c>
      <c r="G272" t="s">
        <v>14</v>
      </c>
      <c r="H272">
        <v>1647</v>
      </c>
      <c r="I272">
        <v>59.5</v>
      </c>
      <c r="J272" t="s">
        <v>42</v>
      </c>
      <c r="K272">
        <v>44235</v>
      </c>
      <c r="L272" t="s">
        <v>16</v>
      </c>
    </row>
    <row r="273" spans="1:12" x14ac:dyDescent="0.3">
      <c r="A273">
        <v>2018</v>
      </c>
      <c r="B273" t="s">
        <v>34</v>
      </c>
      <c r="C273">
        <v>53</v>
      </c>
      <c r="D273">
        <v>3296</v>
      </c>
      <c r="E273">
        <v>27</v>
      </c>
      <c r="F273" t="s">
        <v>41</v>
      </c>
      <c r="G273" t="s">
        <v>14</v>
      </c>
      <c r="H273">
        <v>975</v>
      </c>
      <c r="I273">
        <v>55</v>
      </c>
      <c r="J273" t="s">
        <v>42</v>
      </c>
      <c r="K273">
        <v>203317</v>
      </c>
      <c r="L273" t="s">
        <v>16</v>
      </c>
    </row>
    <row r="274" spans="1:12" x14ac:dyDescent="0.3">
      <c r="A274">
        <v>2004</v>
      </c>
      <c r="B274" t="s">
        <v>34</v>
      </c>
      <c r="C274">
        <v>2688</v>
      </c>
      <c r="D274">
        <v>3550</v>
      </c>
      <c r="E274">
        <v>27</v>
      </c>
      <c r="F274" t="s">
        <v>41</v>
      </c>
      <c r="G274" t="s">
        <v>14</v>
      </c>
      <c r="H274">
        <v>2</v>
      </c>
      <c r="I274">
        <v>53</v>
      </c>
      <c r="J274" t="s">
        <v>43</v>
      </c>
      <c r="K274">
        <v>2134</v>
      </c>
      <c r="L274" t="s">
        <v>16</v>
      </c>
    </row>
    <row r="275" spans="1:12" x14ac:dyDescent="0.3">
      <c r="A275">
        <v>2005</v>
      </c>
      <c r="B275" t="s">
        <v>34</v>
      </c>
      <c r="C275">
        <v>2311</v>
      </c>
      <c r="D275">
        <v>3550</v>
      </c>
      <c r="E275">
        <v>27</v>
      </c>
      <c r="F275" t="s">
        <v>41</v>
      </c>
      <c r="G275" t="s">
        <v>14</v>
      </c>
      <c r="H275">
        <v>836</v>
      </c>
      <c r="I275">
        <v>53.5</v>
      </c>
      <c r="J275" t="s">
        <v>43</v>
      </c>
      <c r="K275">
        <v>45186</v>
      </c>
      <c r="L275" t="s">
        <v>16</v>
      </c>
    </row>
    <row r="276" spans="1:12" x14ac:dyDescent="0.3">
      <c r="A276">
        <v>2006</v>
      </c>
      <c r="B276" t="s">
        <v>34</v>
      </c>
      <c r="C276">
        <v>2188</v>
      </c>
      <c r="D276">
        <v>3550</v>
      </c>
      <c r="E276">
        <v>27</v>
      </c>
      <c r="F276" t="s">
        <v>41</v>
      </c>
      <c r="G276" t="s">
        <v>14</v>
      </c>
      <c r="H276">
        <v>806</v>
      </c>
      <c r="I276">
        <v>52.5</v>
      </c>
      <c r="J276" t="s">
        <v>43</v>
      </c>
      <c r="K276">
        <v>238542</v>
      </c>
      <c r="L276" t="s">
        <v>16</v>
      </c>
    </row>
    <row r="277" spans="1:12" x14ac:dyDescent="0.3">
      <c r="A277">
        <v>2007</v>
      </c>
      <c r="B277" t="s">
        <v>34</v>
      </c>
      <c r="C277">
        <v>1998</v>
      </c>
      <c r="D277">
        <v>3654</v>
      </c>
      <c r="E277">
        <v>27.2</v>
      </c>
      <c r="F277" t="s">
        <v>44</v>
      </c>
      <c r="G277" t="s">
        <v>14</v>
      </c>
      <c r="H277">
        <v>880</v>
      </c>
      <c r="I277">
        <v>56</v>
      </c>
      <c r="J277" t="s">
        <v>43</v>
      </c>
      <c r="K277">
        <v>1516</v>
      </c>
      <c r="L277" t="s">
        <v>16</v>
      </c>
    </row>
    <row r="278" spans="1:12" x14ac:dyDescent="0.3">
      <c r="A278">
        <v>2008</v>
      </c>
      <c r="B278" t="s">
        <v>34</v>
      </c>
      <c r="C278">
        <v>2006</v>
      </c>
      <c r="D278">
        <v>3654</v>
      </c>
      <c r="E278">
        <v>27.2</v>
      </c>
      <c r="F278" t="s">
        <v>44</v>
      </c>
      <c r="G278" t="s">
        <v>14</v>
      </c>
      <c r="H278">
        <v>770</v>
      </c>
      <c r="I278">
        <v>57</v>
      </c>
      <c r="J278" t="s">
        <v>43</v>
      </c>
      <c r="K278">
        <v>57259</v>
      </c>
      <c r="L278" t="s">
        <v>16</v>
      </c>
    </row>
    <row r="279" spans="1:12" x14ac:dyDescent="0.3">
      <c r="A279">
        <v>2009</v>
      </c>
      <c r="B279" t="s">
        <v>34</v>
      </c>
      <c r="C279">
        <v>2034</v>
      </c>
      <c r="D279">
        <v>3654</v>
      </c>
      <c r="E279">
        <v>27.2</v>
      </c>
      <c r="F279" t="s">
        <v>44</v>
      </c>
      <c r="G279" t="s">
        <v>14</v>
      </c>
      <c r="H279">
        <v>395</v>
      </c>
      <c r="I279">
        <v>57.5</v>
      </c>
      <c r="J279" t="s">
        <v>43</v>
      </c>
      <c r="K279">
        <v>234779</v>
      </c>
      <c r="L279" t="s">
        <v>16</v>
      </c>
    </row>
    <row r="280" spans="1:12" x14ac:dyDescent="0.3">
      <c r="A280">
        <v>2010</v>
      </c>
      <c r="B280" t="s">
        <v>34</v>
      </c>
      <c r="C280">
        <v>2035</v>
      </c>
      <c r="D280">
        <v>233</v>
      </c>
      <c r="E280">
        <v>27</v>
      </c>
      <c r="F280" t="s">
        <v>44</v>
      </c>
      <c r="G280" t="s">
        <v>14</v>
      </c>
      <c r="H280">
        <v>187</v>
      </c>
      <c r="I280">
        <v>57</v>
      </c>
      <c r="J280" t="s">
        <v>43</v>
      </c>
      <c r="K280">
        <v>1493</v>
      </c>
      <c r="L280" t="s">
        <v>16</v>
      </c>
    </row>
    <row r="281" spans="1:12" x14ac:dyDescent="0.3">
      <c r="A281">
        <v>2011</v>
      </c>
      <c r="B281" t="s">
        <v>34</v>
      </c>
      <c r="C281">
        <v>2074</v>
      </c>
      <c r="D281">
        <v>233</v>
      </c>
      <c r="E281">
        <v>27</v>
      </c>
      <c r="F281" t="s">
        <v>44</v>
      </c>
      <c r="G281" t="s">
        <v>14</v>
      </c>
      <c r="H281">
        <v>187</v>
      </c>
      <c r="I281">
        <v>55</v>
      </c>
      <c r="J281" t="s">
        <v>43</v>
      </c>
      <c r="K281">
        <v>64409</v>
      </c>
      <c r="L281" t="s">
        <v>16</v>
      </c>
    </row>
    <row r="282" spans="1:12" x14ac:dyDescent="0.3">
      <c r="A282">
        <v>2012</v>
      </c>
      <c r="B282" t="s">
        <v>34</v>
      </c>
      <c r="C282">
        <v>2127</v>
      </c>
      <c r="D282">
        <v>233</v>
      </c>
      <c r="E282">
        <v>27</v>
      </c>
      <c r="F282" t="s">
        <v>44</v>
      </c>
      <c r="G282" t="s">
        <v>14</v>
      </c>
      <c r="H282">
        <v>121</v>
      </c>
      <c r="I282">
        <v>56</v>
      </c>
      <c r="J282" t="s">
        <v>43</v>
      </c>
      <c r="K282">
        <v>249978</v>
      </c>
      <c r="L282" t="s">
        <v>16</v>
      </c>
    </row>
    <row r="283" spans="1:12" x14ac:dyDescent="0.3">
      <c r="A283">
        <v>2013</v>
      </c>
      <c r="B283" t="s">
        <v>34</v>
      </c>
      <c r="C283">
        <v>2090</v>
      </c>
      <c r="D283">
        <v>234</v>
      </c>
      <c r="E283">
        <v>27</v>
      </c>
      <c r="F283" t="s">
        <v>44</v>
      </c>
      <c r="G283" t="s">
        <v>14</v>
      </c>
      <c r="H283">
        <v>103</v>
      </c>
      <c r="I283">
        <v>54</v>
      </c>
      <c r="J283" t="s">
        <v>43</v>
      </c>
      <c r="K283">
        <v>637</v>
      </c>
      <c r="L283" t="s">
        <v>16</v>
      </c>
    </row>
    <row r="284" spans="1:12" x14ac:dyDescent="0.3">
      <c r="A284">
        <v>2014</v>
      </c>
      <c r="B284" t="s">
        <v>34</v>
      </c>
      <c r="C284">
        <v>2059</v>
      </c>
      <c r="D284">
        <v>234</v>
      </c>
      <c r="E284">
        <v>27</v>
      </c>
      <c r="F284" t="s">
        <v>44</v>
      </c>
      <c r="G284" t="s">
        <v>14</v>
      </c>
      <c r="H284">
        <v>71</v>
      </c>
      <c r="I284">
        <v>58</v>
      </c>
      <c r="J284" t="s">
        <v>43</v>
      </c>
      <c r="K284">
        <v>43311</v>
      </c>
      <c r="L284" t="s">
        <v>16</v>
      </c>
    </row>
    <row r="285" spans="1:12" x14ac:dyDescent="0.3">
      <c r="A285">
        <v>2015</v>
      </c>
      <c r="B285" t="s">
        <v>34</v>
      </c>
      <c r="C285">
        <v>2050</v>
      </c>
      <c r="D285">
        <v>234</v>
      </c>
      <c r="E285">
        <v>27</v>
      </c>
      <c r="F285" t="s">
        <v>44</v>
      </c>
      <c r="G285" t="s">
        <v>14</v>
      </c>
      <c r="H285">
        <v>3961</v>
      </c>
      <c r="I285">
        <v>58</v>
      </c>
      <c r="J285" t="s">
        <v>43</v>
      </c>
      <c r="K285">
        <v>24848</v>
      </c>
      <c r="L285" t="s">
        <v>16</v>
      </c>
    </row>
    <row r="286" spans="1:12" x14ac:dyDescent="0.3">
      <c r="A286">
        <v>2016</v>
      </c>
      <c r="B286" t="s">
        <v>34</v>
      </c>
      <c r="C286">
        <v>1865</v>
      </c>
      <c r="D286">
        <v>3105</v>
      </c>
      <c r="E286">
        <v>27.2</v>
      </c>
      <c r="F286" t="s">
        <v>44</v>
      </c>
      <c r="G286" t="s">
        <v>14</v>
      </c>
      <c r="H286">
        <v>4247</v>
      </c>
      <c r="I286">
        <v>59</v>
      </c>
      <c r="J286" t="s">
        <v>43</v>
      </c>
      <c r="K286">
        <v>761</v>
      </c>
      <c r="L286" t="s">
        <v>16</v>
      </c>
    </row>
    <row r="287" spans="1:12" x14ac:dyDescent="0.3">
      <c r="A287">
        <v>2017</v>
      </c>
      <c r="B287" t="s">
        <v>34</v>
      </c>
      <c r="C287">
        <v>1841</v>
      </c>
      <c r="D287">
        <v>3105</v>
      </c>
      <c r="E287">
        <v>27.2</v>
      </c>
      <c r="F287" t="s">
        <v>44</v>
      </c>
      <c r="G287" t="s">
        <v>14</v>
      </c>
      <c r="H287">
        <v>3290</v>
      </c>
      <c r="I287">
        <v>50</v>
      </c>
      <c r="J287" t="s">
        <v>43</v>
      </c>
      <c r="K287">
        <v>45608</v>
      </c>
      <c r="L287" t="s">
        <v>16</v>
      </c>
    </row>
    <row r="288" spans="1:12" x14ac:dyDescent="0.3">
      <c r="A288">
        <v>2018</v>
      </c>
      <c r="B288" t="s">
        <v>34</v>
      </c>
      <c r="C288">
        <v>1799</v>
      </c>
      <c r="D288">
        <v>3105</v>
      </c>
      <c r="E288">
        <v>27.2</v>
      </c>
      <c r="F288" t="s">
        <v>44</v>
      </c>
      <c r="G288" t="s">
        <v>14</v>
      </c>
      <c r="H288">
        <v>3138</v>
      </c>
      <c r="I288">
        <v>54</v>
      </c>
      <c r="J288" t="s">
        <v>43</v>
      </c>
      <c r="K288">
        <v>234581</v>
      </c>
      <c r="L288" t="s">
        <v>16</v>
      </c>
    </row>
    <row r="289" spans="1:12" x14ac:dyDescent="0.3">
      <c r="A289">
        <v>2004</v>
      </c>
      <c r="B289" t="s">
        <v>34</v>
      </c>
      <c r="C289">
        <v>1468</v>
      </c>
      <c r="D289">
        <v>236</v>
      </c>
      <c r="E289">
        <v>27.1</v>
      </c>
      <c r="F289" t="s">
        <v>44</v>
      </c>
      <c r="G289" t="s">
        <v>14</v>
      </c>
      <c r="H289">
        <v>3423</v>
      </c>
      <c r="I289">
        <v>53</v>
      </c>
      <c r="J289" t="s">
        <v>15</v>
      </c>
      <c r="K289">
        <v>646</v>
      </c>
      <c r="L289" t="s">
        <v>16</v>
      </c>
    </row>
    <row r="290" spans="1:12" x14ac:dyDescent="0.3">
      <c r="A290">
        <v>2005</v>
      </c>
      <c r="B290" t="s">
        <v>34</v>
      </c>
      <c r="C290">
        <v>568</v>
      </c>
      <c r="D290">
        <v>236</v>
      </c>
      <c r="E290">
        <v>27.1</v>
      </c>
      <c r="F290" t="s">
        <v>44</v>
      </c>
      <c r="G290" t="s">
        <v>14</v>
      </c>
      <c r="H290">
        <v>3899</v>
      </c>
      <c r="I290">
        <v>59.5</v>
      </c>
      <c r="J290" t="s">
        <v>15</v>
      </c>
      <c r="K290">
        <v>43562</v>
      </c>
      <c r="L290" t="s">
        <v>16</v>
      </c>
    </row>
    <row r="291" spans="1:12" x14ac:dyDescent="0.3">
      <c r="A291">
        <v>2006</v>
      </c>
      <c r="B291" t="s">
        <v>34</v>
      </c>
      <c r="C291">
        <v>407</v>
      </c>
      <c r="D291">
        <v>2903.1</v>
      </c>
      <c r="E291">
        <v>27.1</v>
      </c>
      <c r="F291" t="s">
        <v>44</v>
      </c>
      <c r="G291" t="s">
        <v>14</v>
      </c>
      <c r="H291">
        <v>4015</v>
      </c>
      <c r="I291">
        <v>55</v>
      </c>
      <c r="J291" t="s">
        <v>15</v>
      </c>
      <c r="K291">
        <v>200000</v>
      </c>
      <c r="L291" t="s">
        <v>16</v>
      </c>
    </row>
    <row r="292" spans="1:12" x14ac:dyDescent="0.3">
      <c r="A292">
        <v>2007</v>
      </c>
      <c r="B292" t="s">
        <v>34</v>
      </c>
      <c r="C292">
        <v>177</v>
      </c>
      <c r="D292">
        <v>2903.1</v>
      </c>
      <c r="E292">
        <v>26.8</v>
      </c>
      <c r="F292" t="s">
        <v>44</v>
      </c>
      <c r="G292" t="s">
        <v>14</v>
      </c>
      <c r="H292">
        <v>4279</v>
      </c>
      <c r="I292">
        <v>53</v>
      </c>
      <c r="J292" t="s">
        <v>15</v>
      </c>
      <c r="K292">
        <v>4847</v>
      </c>
      <c r="L292" t="s">
        <v>16</v>
      </c>
    </row>
    <row r="293" spans="1:12" x14ac:dyDescent="0.3">
      <c r="A293">
        <v>2008</v>
      </c>
      <c r="B293" t="s">
        <v>34</v>
      </c>
      <c r="C293">
        <v>51</v>
      </c>
      <c r="D293">
        <v>2903.1</v>
      </c>
      <c r="E293">
        <v>26.8</v>
      </c>
      <c r="F293" t="s">
        <v>44</v>
      </c>
      <c r="G293" t="s">
        <v>14</v>
      </c>
      <c r="H293">
        <v>4167</v>
      </c>
      <c r="I293">
        <v>53.5</v>
      </c>
      <c r="J293" t="s">
        <v>15</v>
      </c>
      <c r="K293">
        <v>51239</v>
      </c>
      <c r="L293" t="s">
        <v>16</v>
      </c>
    </row>
    <row r="294" spans="1:12" x14ac:dyDescent="0.3">
      <c r="A294">
        <v>2009</v>
      </c>
      <c r="B294" t="s">
        <v>34</v>
      </c>
      <c r="C294">
        <v>173</v>
      </c>
      <c r="D294">
        <v>2996.6</v>
      </c>
      <c r="E294">
        <v>26.8</v>
      </c>
      <c r="F294" t="s">
        <v>44</v>
      </c>
      <c r="G294" t="s">
        <v>14</v>
      </c>
      <c r="H294">
        <v>4479</v>
      </c>
      <c r="I294">
        <v>52.5</v>
      </c>
      <c r="J294" t="s">
        <v>15</v>
      </c>
      <c r="K294">
        <v>216396</v>
      </c>
      <c r="L294" t="s">
        <v>16</v>
      </c>
    </row>
    <row r="295" spans="1:12" x14ac:dyDescent="0.3">
      <c r="A295">
        <v>2010</v>
      </c>
      <c r="B295" t="s">
        <v>34</v>
      </c>
      <c r="C295">
        <v>201</v>
      </c>
      <c r="D295">
        <v>2996.6</v>
      </c>
      <c r="E295">
        <v>37</v>
      </c>
      <c r="F295" t="s">
        <v>44</v>
      </c>
      <c r="G295" t="s">
        <v>14</v>
      </c>
      <c r="H295">
        <v>3699</v>
      </c>
      <c r="I295">
        <v>56</v>
      </c>
      <c r="J295" t="s">
        <v>15</v>
      </c>
      <c r="K295">
        <v>2644</v>
      </c>
      <c r="L295" t="s">
        <v>16</v>
      </c>
    </row>
    <row r="296" spans="1:12" x14ac:dyDescent="0.3">
      <c r="A296">
        <v>2011</v>
      </c>
      <c r="B296" t="s">
        <v>34</v>
      </c>
      <c r="C296">
        <v>206</v>
      </c>
      <c r="D296">
        <v>2996.6</v>
      </c>
      <c r="E296">
        <v>37</v>
      </c>
      <c r="F296" t="s">
        <v>44</v>
      </c>
      <c r="G296" t="s">
        <v>14</v>
      </c>
      <c r="H296">
        <v>4904</v>
      </c>
      <c r="I296">
        <v>57</v>
      </c>
      <c r="J296" t="s">
        <v>15</v>
      </c>
      <c r="K296">
        <v>44235</v>
      </c>
      <c r="L296" t="s">
        <v>16</v>
      </c>
    </row>
    <row r="297" spans="1:12" x14ac:dyDescent="0.3">
      <c r="A297">
        <v>2012</v>
      </c>
      <c r="B297" t="s">
        <v>34</v>
      </c>
      <c r="C297">
        <v>243</v>
      </c>
      <c r="D297">
        <v>3522.8</v>
      </c>
      <c r="E297">
        <v>37</v>
      </c>
      <c r="F297" t="s">
        <v>44</v>
      </c>
      <c r="G297" t="s">
        <v>14</v>
      </c>
      <c r="H297">
        <v>2821</v>
      </c>
      <c r="I297">
        <v>57.5</v>
      </c>
      <c r="J297" t="s">
        <v>15</v>
      </c>
      <c r="K297">
        <v>203317</v>
      </c>
      <c r="L297" t="s">
        <v>16</v>
      </c>
    </row>
    <row r="298" spans="1:12" x14ac:dyDescent="0.3">
      <c r="A298">
        <v>2013</v>
      </c>
      <c r="B298" t="s">
        <v>34</v>
      </c>
      <c r="C298">
        <v>123</v>
      </c>
      <c r="D298">
        <v>3522.8</v>
      </c>
      <c r="E298">
        <v>38</v>
      </c>
      <c r="F298" t="s">
        <v>44</v>
      </c>
      <c r="G298" t="s">
        <v>14</v>
      </c>
      <c r="H298">
        <v>3472</v>
      </c>
      <c r="I298">
        <v>57</v>
      </c>
      <c r="J298" t="s">
        <v>15</v>
      </c>
      <c r="K298">
        <v>2134</v>
      </c>
      <c r="L298" t="s">
        <v>16</v>
      </c>
    </row>
    <row r="299" spans="1:12" x14ac:dyDescent="0.3">
      <c r="A299">
        <v>2014</v>
      </c>
      <c r="B299" t="s">
        <v>34</v>
      </c>
      <c r="C299">
        <v>82</v>
      </c>
      <c r="D299">
        <v>3522.8</v>
      </c>
      <c r="E299">
        <v>38</v>
      </c>
      <c r="F299" t="s">
        <v>44</v>
      </c>
      <c r="G299" t="s">
        <v>14</v>
      </c>
      <c r="H299">
        <v>3647</v>
      </c>
      <c r="I299">
        <v>55</v>
      </c>
      <c r="J299" t="s">
        <v>15</v>
      </c>
      <c r="K299">
        <v>45186</v>
      </c>
      <c r="L299" t="s">
        <v>16</v>
      </c>
    </row>
    <row r="300" spans="1:12" x14ac:dyDescent="0.3">
      <c r="A300">
        <v>2015</v>
      </c>
      <c r="B300" t="s">
        <v>34</v>
      </c>
      <c r="C300">
        <v>74</v>
      </c>
      <c r="D300">
        <v>2903.1</v>
      </c>
      <c r="E300">
        <v>38</v>
      </c>
      <c r="F300" t="s">
        <v>44</v>
      </c>
      <c r="G300" t="s">
        <v>14</v>
      </c>
      <c r="H300">
        <v>393</v>
      </c>
      <c r="I300">
        <v>56</v>
      </c>
      <c r="J300" t="s">
        <v>15</v>
      </c>
      <c r="K300">
        <v>238542</v>
      </c>
      <c r="L300" t="s">
        <v>16</v>
      </c>
    </row>
    <row r="301" spans="1:12" x14ac:dyDescent="0.3">
      <c r="A301">
        <v>2016</v>
      </c>
      <c r="B301" t="s">
        <v>34</v>
      </c>
      <c r="C301">
        <v>18</v>
      </c>
      <c r="D301">
        <v>2903.1</v>
      </c>
      <c r="E301">
        <v>39</v>
      </c>
      <c r="F301" t="s">
        <v>44</v>
      </c>
      <c r="G301" t="s">
        <v>14</v>
      </c>
      <c r="H301">
        <v>167</v>
      </c>
      <c r="I301">
        <v>54</v>
      </c>
      <c r="J301" t="s">
        <v>15</v>
      </c>
      <c r="K301">
        <v>1516</v>
      </c>
      <c r="L301" t="s">
        <v>16</v>
      </c>
    </row>
    <row r="302" spans="1:12" x14ac:dyDescent="0.3">
      <c r="A302">
        <v>2017</v>
      </c>
      <c r="B302" t="s">
        <v>34</v>
      </c>
      <c r="C302">
        <v>37</v>
      </c>
      <c r="D302">
        <v>2903.1</v>
      </c>
      <c r="E302">
        <v>39</v>
      </c>
      <c r="F302" t="s">
        <v>45</v>
      </c>
      <c r="G302" t="s">
        <v>14</v>
      </c>
      <c r="H302">
        <v>71</v>
      </c>
      <c r="I302">
        <v>58</v>
      </c>
      <c r="J302" t="s">
        <v>15</v>
      </c>
      <c r="K302">
        <v>200000</v>
      </c>
      <c r="L302" t="s">
        <v>16</v>
      </c>
    </row>
    <row r="303" spans="1:12" x14ac:dyDescent="0.3">
      <c r="A303">
        <v>2018</v>
      </c>
      <c r="B303" t="s">
        <v>34</v>
      </c>
      <c r="C303">
        <v>35</v>
      </c>
      <c r="D303">
        <v>2996.6</v>
      </c>
      <c r="E303">
        <v>39</v>
      </c>
      <c r="F303" t="s">
        <v>45</v>
      </c>
      <c r="G303" t="s">
        <v>14</v>
      </c>
      <c r="H303">
        <v>52</v>
      </c>
      <c r="I303">
        <v>58</v>
      </c>
      <c r="J303" t="s">
        <v>15</v>
      </c>
      <c r="K303">
        <v>4847</v>
      </c>
      <c r="L303" t="s">
        <v>16</v>
      </c>
    </row>
    <row r="304" spans="1:12" x14ac:dyDescent="0.3">
      <c r="A304">
        <v>2019</v>
      </c>
      <c r="B304" t="s">
        <v>34</v>
      </c>
      <c r="C304">
        <v>5974</v>
      </c>
      <c r="D304">
        <v>2996.6</v>
      </c>
      <c r="E304">
        <v>40</v>
      </c>
      <c r="F304" t="s">
        <v>45</v>
      </c>
      <c r="G304" t="s">
        <v>14</v>
      </c>
      <c r="H304">
        <v>2570</v>
      </c>
      <c r="I304">
        <v>59</v>
      </c>
      <c r="J304" t="s">
        <v>15</v>
      </c>
      <c r="K304">
        <v>51239</v>
      </c>
      <c r="L304" t="s">
        <v>16</v>
      </c>
    </row>
    <row r="305" spans="1:12" x14ac:dyDescent="0.3">
      <c r="A305">
        <v>2004</v>
      </c>
      <c r="B305" t="s">
        <v>34</v>
      </c>
      <c r="C305">
        <v>6631</v>
      </c>
      <c r="D305">
        <v>2996.6</v>
      </c>
      <c r="E305">
        <v>40</v>
      </c>
      <c r="F305" t="s">
        <v>45</v>
      </c>
      <c r="G305" t="s">
        <v>14</v>
      </c>
      <c r="H305">
        <v>27170</v>
      </c>
      <c r="I305">
        <v>50</v>
      </c>
      <c r="J305" t="s">
        <v>35</v>
      </c>
      <c r="K305">
        <v>216396</v>
      </c>
      <c r="L305" t="s">
        <v>16</v>
      </c>
    </row>
    <row r="306" spans="1:12" x14ac:dyDescent="0.3">
      <c r="A306">
        <v>2005</v>
      </c>
      <c r="B306" t="s">
        <v>34</v>
      </c>
      <c r="C306">
        <v>6705</v>
      </c>
      <c r="D306">
        <v>3522.8</v>
      </c>
      <c r="E306">
        <v>40</v>
      </c>
      <c r="F306" t="s">
        <v>45</v>
      </c>
      <c r="G306" t="s">
        <v>14</v>
      </c>
      <c r="H306">
        <v>114744</v>
      </c>
      <c r="I306">
        <v>54</v>
      </c>
      <c r="J306" t="s">
        <v>35</v>
      </c>
      <c r="K306">
        <v>2644</v>
      </c>
      <c r="L306" t="s">
        <v>16</v>
      </c>
    </row>
    <row r="307" spans="1:12" x14ac:dyDescent="0.3">
      <c r="A307">
        <v>2006</v>
      </c>
      <c r="B307" t="s">
        <v>34</v>
      </c>
      <c r="C307">
        <v>5876</v>
      </c>
      <c r="D307">
        <v>3522.8</v>
      </c>
      <c r="E307">
        <v>41</v>
      </c>
      <c r="F307" t="s">
        <v>45</v>
      </c>
      <c r="G307" t="s">
        <v>14</v>
      </c>
      <c r="H307">
        <v>1402</v>
      </c>
      <c r="I307">
        <v>53</v>
      </c>
      <c r="J307" t="s">
        <v>35</v>
      </c>
      <c r="K307">
        <v>44235</v>
      </c>
      <c r="L307" t="s">
        <v>16</v>
      </c>
    </row>
    <row r="308" spans="1:12" x14ac:dyDescent="0.3">
      <c r="A308">
        <v>2007</v>
      </c>
      <c r="B308" t="s">
        <v>34</v>
      </c>
      <c r="C308">
        <v>326</v>
      </c>
      <c r="D308">
        <v>3522.8</v>
      </c>
      <c r="E308">
        <v>41</v>
      </c>
      <c r="F308" t="s">
        <v>45</v>
      </c>
      <c r="G308" t="s">
        <v>21</v>
      </c>
      <c r="H308">
        <v>23456</v>
      </c>
      <c r="I308">
        <v>59.5</v>
      </c>
      <c r="J308" t="s">
        <v>35</v>
      </c>
      <c r="K308">
        <v>203317</v>
      </c>
      <c r="L308" t="s">
        <v>16</v>
      </c>
    </row>
    <row r="309" spans="1:12" x14ac:dyDescent="0.3">
      <c r="A309">
        <v>2008</v>
      </c>
      <c r="B309" t="s">
        <v>34</v>
      </c>
      <c r="C309">
        <v>6470</v>
      </c>
      <c r="D309">
        <v>3729.8</v>
      </c>
      <c r="E309">
        <v>41</v>
      </c>
      <c r="F309" t="s">
        <v>45</v>
      </c>
      <c r="G309" t="s">
        <v>21</v>
      </c>
      <c r="H309">
        <v>107809</v>
      </c>
      <c r="I309">
        <v>55</v>
      </c>
      <c r="J309" t="s">
        <v>35</v>
      </c>
      <c r="K309">
        <v>2134</v>
      </c>
      <c r="L309" t="s">
        <v>16</v>
      </c>
    </row>
    <row r="310" spans="1:12" x14ac:dyDescent="0.3">
      <c r="A310">
        <v>2009</v>
      </c>
      <c r="B310" t="s">
        <v>34</v>
      </c>
      <c r="C310">
        <v>6709</v>
      </c>
      <c r="D310">
        <v>3729.8</v>
      </c>
      <c r="E310">
        <v>42</v>
      </c>
      <c r="F310" t="s">
        <v>45</v>
      </c>
      <c r="G310" t="s">
        <v>21</v>
      </c>
      <c r="H310">
        <v>1132</v>
      </c>
      <c r="I310">
        <v>53</v>
      </c>
      <c r="J310" t="s">
        <v>35</v>
      </c>
      <c r="K310">
        <v>45186</v>
      </c>
      <c r="L310" t="s">
        <v>16</v>
      </c>
    </row>
    <row r="311" spans="1:12" x14ac:dyDescent="0.3">
      <c r="A311">
        <v>2010</v>
      </c>
      <c r="B311" t="s">
        <v>34</v>
      </c>
      <c r="C311">
        <v>6186</v>
      </c>
      <c r="D311">
        <v>3729.8</v>
      </c>
      <c r="E311">
        <v>42</v>
      </c>
      <c r="F311" t="s">
        <v>45</v>
      </c>
      <c r="G311" t="s">
        <v>21</v>
      </c>
      <c r="H311">
        <v>23960</v>
      </c>
      <c r="I311">
        <v>53.5</v>
      </c>
      <c r="J311" t="s">
        <v>35</v>
      </c>
      <c r="K311">
        <v>238542</v>
      </c>
      <c r="L311" t="s">
        <v>16</v>
      </c>
    </row>
    <row r="312" spans="1:12" x14ac:dyDescent="0.3">
      <c r="A312">
        <v>2011</v>
      </c>
      <c r="B312" t="s">
        <v>34</v>
      </c>
      <c r="C312">
        <v>6503</v>
      </c>
      <c r="D312">
        <v>2746.2</v>
      </c>
      <c r="E312">
        <v>42</v>
      </c>
      <c r="F312" t="s">
        <v>45</v>
      </c>
      <c r="G312" t="s">
        <v>21</v>
      </c>
      <c r="H312">
        <v>126487</v>
      </c>
      <c r="I312">
        <v>52.5</v>
      </c>
      <c r="J312" t="s">
        <v>35</v>
      </c>
      <c r="K312">
        <v>1516</v>
      </c>
      <c r="L312" t="s">
        <v>16</v>
      </c>
    </row>
    <row r="313" spans="1:12" x14ac:dyDescent="0.3">
      <c r="A313">
        <v>2012</v>
      </c>
      <c r="B313" t="s">
        <v>34</v>
      </c>
      <c r="C313">
        <v>5220</v>
      </c>
      <c r="D313">
        <v>2746.2</v>
      </c>
      <c r="E313">
        <v>43</v>
      </c>
      <c r="F313" t="s">
        <v>45</v>
      </c>
      <c r="G313" t="s">
        <v>21</v>
      </c>
      <c r="H313">
        <v>804</v>
      </c>
      <c r="I313">
        <v>56</v>
      </c>
      <c r="J313" t="s">
        <v>35</v>
      </c>
      <c r="K313">
        <v>57259</v>
      </c>
      <c r="L313" t="s">
        <v>16</v>
      </c>
    </row>
    <row r="314" spans="1:12" x14ac:dyDescent="0.3">
      <c r="A314">
        <v>2013</v>
      </c>
      <c r="B314" t="s">
        <v>34</v>
      </c>
      <c r="C314">
        <v>4677</v>
      </c>
      <c r="D314">
        <v>2746.2</v>
      </c>
      <c r="E314">
        <v>27</v>
      </c>
      <c r="F314" t="s">
        <v>45</v>
      </c>
      <c r="G314" t="s">
        <v>21</v>
      </c>
      <c r="H314">
        <v>30362</v>
      </c>
      <c r="I314">
        <v>57</v>
      </c>
      <c r="J314" t="s">
        <v>35</v>
      </c>
      <c r="K314">
        <v>234779</v>
      </c>
      <c r="L314" t="s">
        <v>16</v>
      </c>
    </row>
    <row r="315" spans="1:12" x14ac:dyDescent="0.3">
      <c r="A315">
        <v>2014</v>
      </c>
      <c r="B315" t="s">
        <v>34</v>
      </c>
      <c r="C315">
        <v>4803</v>
      </c>
      <c r="D315">
        <v>3360</v>
      </c>
      <c r="E315">
        <v>27</v>
      </c>
      <c r="F315" t="s">
        <v>45</v>
      </c>
      <c r="G315" t="s">
        <v>21</v>
      </c>
      <c r="H315">
        <v>124492</v>
      </c>
      <c r="I315">
        <v>57.5</v>
      </c>
      <c r="J315" t="s">
        <v>35</v>
      </c>
      <c r="K315">
        <v>1493</v>
      </c>
      <c r="L315" t="s">
        <v>16</v>
      </c>
    </row>
    <row r="316" spans="1:12" x14ac:dyDescent="0.3">
      <c r="A316">
        <v>2015</v>
      </c>
      <c r="B316" t="s">
        <v>34</v>
      </c>
      <c r="C316">
        <v>3739</v>
      </c>
      <c r="D316">
        <v>3360</v>
      </c>
      <c r="E316">
        <v>27</v>
      </c>
      <c r="F316" t="s">
        <v>45</v>
      </c>
      <c r="G316" t="s">
        <v>21</v>
      </c>
      <c r="H316">
        <v>792</v>
      </c>
      <c r="I316">
        <v>57</v>
      </c>
      <c r="J316" t="s">
        <v>35</v>
      </c>
      <c r="K316">
        <v>64409</v>
      </c>
      <c r="L316" t="s">
        <v>16</v>
      </c>
    </row>
    <row r="317" spans="1:12" x14ac:dyDescent="0.3">
      <c r="A317">
        <v>2016</v>
      </c>
      <c r="B317" t="s">
        <v>34</v>
      </c>
      <c r="C317">
        <v>3529</v>
      </c>
      <c r="D317">
        <v>3360</v>
      </c>
      <c r="E317">
        <v>27</v>
      </c>
      <c r="F317" t="s">
        <v>45</v>
      </c>
      <c r="G317" t="s">
        <v>21</v>
      </c>
      <c r="H317">
        <v>34153</v>
      </c>
      <c r="I317">
        <v>55</v>
      </c>
      <c r="J317" t="s">
        <v>35</v>
      </c>
      <c r="K317">
        <v>249978</v>
      </c>
      <c r="L317" t="s">
        <v>16</v>
      </c>
    </row>
    <row r="318" spans="1:12" x14ac:dyDescent="0.3">
      <c r="A318">
        <v>2017</v>
      </c>
      <c r="B318" t="s">
        <v>34</v>
      </c>
      <c r="C318">
        <v>3649</v>
      </c>
      <c r="D318">
        <v>3605.4</v>
      </c>
      <c r="E318">
        <v>27</v>
      </c>
      <c r="F318" t="s">
        <v>45</v>
      </c>
      <c r="G318" t="s">
        <v>21</v>
      </c>
      <c r="H318">
        <v>132551</v>
      </c>
      <c r="I318">
        <v>56</v>
      </c>
      <c r="J318" t="s">
        <v>35</v>
      </c>
      <c r="K318">
        <v>637</v>
      </c>
      <c r="L318" t="s">
        <v>16</v>
      </c>
    </row>
    <row r="319" spans="1:12" x14ac:dyDescent="0.3">
      <c r="A319">
        <v>2018</v>
      </c>
      <c r="B319" t="s">
        <v>34</v>
      </c>
      <c r="C319">
        <v>1374</v>
      </c>
      <c r="D319">
        <v>3605.4</v>
      </c>
      <c r="E319">
        <v>27</v>
      </c>
      <c r="F319" t="s">
        <v>45</v>
      </c>
      <c r="G319" t="s">
        <v>21</v>
      </c>
      <c r="H319">
        <v>338</v>
      </c>
      <c r="I319">
        <v>54</v>
      </c>
      <c r="J319" t="s">
        <v>35</v>
      </c>
      <c r="K319">
        <v>43311</v>
      </c>
      <c r="L319" t="s">
        <v>16</v>
      </c>
    </row>
    <row r="320" spans="1:12" x14ac:dyDescent="0.3">
      <c r="A320">
        <v>2012</v>
      </c>
      <c r="B320" t="s">
        <v>34</v>
      </c>
      <c r="C320">
        <v>1279</v>
      </c>
      <c r="D320">
        <v>2903.1</v>
      </c>
      <c r="E320">
        <v>27</v>
      </c>
      <c r="F320" t="s">
        <v>45</v>
      </c>
      <c r="G320" t="s">
        <v>14</v>
      </c>
      <c r="H320">
        <v>2570</v>
      </c>
      <c r="I320">
        <v>57</v>
      </c>
      <c r="J320" t="s">
        <v>15</v>
      </c>
      <c r="K320">
        <v>200000</v>
      </c>
      <c r="L320" t="s">
        <v>16</v>
      </c>
    </row>
    <row r="321" spans="1:12" x14ac:dyDescent="0.3">
      <c r="A321">
        <v>2013</v>
      </c>
      <c r="B321" t="s">
        <v>34</v>
      </c>
      <c r="C321">
        <v>13283</v>
      </c>
      <c r="D321">
        <v>2903.1</v>
      </c>
      <c r="E321">
        <v>27</v>
      </c>
      <c r="F321" t="s">
        <v>45</v>
      </c>
      <c r="G321" t="s">
        <v>14</v>
      </c>
      <c r="H321">
        <v>27170</v>
      </c>
      <c r="I321">
        <v>57.5</v>
      </c>
      <c r="J321" t="s">
        <v>15</v>
      </c>
      <c r="K321">
        <v>4847</v>
      </c>
      <c r="L321" t="s">
        <v>16</v>
      </c>
    </row>
    <row r="322" spans="1:12" x14ac:dyDescent="0.3">
      <c r="A322">
        <v>2014</v>
      </c>
      <c r="B322" t="s">
        <v>34</v>
      </c>
      <c r="C322">
        <v>52119</v>
      </c>
      <c r="D322">
        <v>2903.1</v>
      </c>
      <c r="E322">
        <v>27.2</v>
      </c>
      <c r="F322" t="s">
        <v>45</v>
      </c>
      <c r="G322" t="s">
        <v>14</v>
      </c>
      <c r="H322">
        <v>114744</v>
      </c>
      <c r="I322">
        <v>57</v>
      </c>
      <c r="J322" t="s">
        <v>15</v>
      </c>
      <c r="K322">
        <v>51239</v>
      </c>
      <c r="L322" t="s">
        <v>16</v>
      </c>
    </row>
    <row r="323" spans="1:12" x14ac:dyDescent="0.3">
      <c r="A323">
        <v>2015</v>
      </c>
      <c r="B323" t="s">
        <v>34</v>
      </c>
      <c r="C323">
        <v>725</v>
      </c>
      <c r="D323">
        <v>2996.6</v>
      </c>
      <c r="E323">
        <v>27.2</v>
      </c>
      <c r="F323" t="s">
        <v>45</v>
      </c>
      <c r="G323" t="s">
        <v>14</v>
      </c>
      <c r="H323">
        <v>1402</v>
      </c>
      <c r="I323">
        <v>55</v>
      </c>
      <c r="J323" t="s">
        <v>15</v>
      </c>
      <c r="K323">
        <v>216396</v>
      </c>
      <c r="L323" t="s">
        <v>16</v>
      </c>
    </row>
    <row r="324" spans="1:12" x14ac:dyDescent="0.3">
      <c r="A324">
        <v>2016</v>
      </c>
      <c r="B324" t="s">
        <v>12</v>
      </c>
      <c r="C324">
        <v>12885</v>
      </c>
      <c r="D324">
        <v>2996.6</v>
      </c>
      <c r="E324">
        <v>27.2</v>
      </c>
      <c r="F324" t="s">
        <v>45</v>
      </c>
      <c r="G324" t="s">
        <v>14</v>
      </c>
      <c r="H324">
        <v>23456</v>
      </c>
      <c r="I324">
        <v>56</v>
      </c>
      <c r="J324" t="s">
        <v>15</v>
      </c>
      <c r="K324">
        <v>2644</v>
      </c>
      <c r="L324" t="s">
        <v>16</v>
      </c>
    </row>
    <row r="325" spans="1:12" x14ac:dyDescent="0.3">
      <c r="A325">
        <v>2017</v>
      </c>
      <c r="B325" t="s">
        <v>12</v>
      </c>
      <c r="C325">
        <v>51179</v>
      </c>
      <c r="D325">
        <v>2996.6</v>
      </c>
      <c r="E325">
        <v>27</v>
      </c>
      <c r="F325" t="s">
        <v>45</v>
      </c>
      <c r="G325" t="s">
        <v>14</v>
      </c>
      <c r="H325">
        <v>107809</v>
      </c>
      <c r="I325">
        <v>54</v>
      </c>
      <c r="J325" t="s">
        <v>15</v>
      </c>
      <c r="K325">
        <v>44235</v>
      </c>
      <c r="L325" t="s">
        <v>16</v>
      </c>
    </row>
    <row r="326" spans="1:12" x14ac:dyDescent="0.3">
      <c r="A326">
        <v>2018</v>
      </c>
      <c r="B326" t="s">
        <v>12</v>
      </c>
      <c r="C326">
        <v>468</v>
      </c>
      <c r="D326">
        <v>3522.8</v>
      </c>
      <c r="E326">
        <v>27</v>
      </c>
      <c r="F326" t="s">
        <v>45</v>
      </c>
      <c r="G326" t="s">
        <v>14</v>
      </c>
      <c r="H326">
        <v>1132</v>
      </c>
      <c r="I326">
        <v>58</v>
      </c>
      <c r="J326" t="s">
        <v>15</v>
      </c>
      <c r="K326">
        <v>203317</v>
      </c>
      <c r="L326" t="s">
        <v>16</v>
      </c>
    </row>
    <row r="327" spans="1:12" x14ac:dyDescent="0.3">
      <c r="A327">
        <v>2019</v>
      </c>
      <c r="B327" t="s">
        <v>12</v>
      </c>
      <c r="C327">
        <v>11841</v>
      </c>
      <c r="D327">
        <v>3522.8</v>
      </c>
      <c r="E327">
        <v>27</v>
      </c>
      <c r="F327" t="s">
        <v>45</v>
      </c>
      <c r="G327" t="s">
        <v>14</v>
      </c>
      <c r="H327">
        <v>23960</v>
      </c>
      <c r="I327">
        <v>58</v>
      </c>
      <c r="J327" t="s">
        <v>15</v>
      </c>
      <c r="K327">
        <v>2134</v>
      </c>
      <c r="L327" t="s">
        <v>16</v>
      </c>
    </row>
    <row r="328" spans="1:12" x14ac:dyDescent="0.3">
      <c r="A328">
        <v>2004</v>
      </c>
      <c r="B328" t="s">
        <v>12</v>
      </c>
      <c r="C328">
        <v>50975</v>
      </c>
      <c r="D328">
        <v>3522.8</v>
      </c>
      <c r="E328">
        <v>27</v>
      </c>
      <c r="F328" t="s">
        <v>45</v>
      </c>
      <c r="G328" t="s">
        <v>14</v>
      </c>
      <c r="H328">
        <v>126487</v>
      </c>
      <c r="I328">
        <v>59</v>
      </c>
      <c r="J328" t="s">
        <v>15</v>
      </c>
      <c r="K328">
        <v>45186</v>
      </c>
      <c r="L328" t="s">
        <v>16</v>
      </c>
    </row>
    <row r="329" spans="1:12" x14ac:dyDescent="0.3">
      <c r="A329">
        <v>2005</v>
      </c>
      <c r="B329" t="s">
        <v>12</v>
      </c>
      <c r="C329">
        <v>206</v>
      </c>
      <c r="D329">
        <v>3729.8</v>
      </c>
      <c r="E329">
        <v>27</v>
      </c>
      <c r="F329" t="s">
        <v>45</v>
      </c>
      <c r="G329" t="s">
        <v>14</v>
      </c>
      <c r="H329">
        <v>804</v>
      </c>
      <c r="I329">
        <v>50</v>
      </c>
      <c r="J329" t="s">
        <v>15</v>
      </c>
      <c r="K329">
        <v>238542</v>
      </c>
      <c r="L329" t="s">
        <v>16</v>
      </c>
    </row>
    <row r="330" spans="1:12" x14ac:dyDescent="0.3">
      <c r="A330">
        <v>2006</v>
      </c>
      <c r="B330" t="s">
        <v>12</v>
      </c>
      <c r="C330">
        <v>10922</v>
      </c>
      <c r="D330">
        <v>3729.8</v>
      </c>
      <c r="E330">
        <v>27</v>
      </c>
      <c r="F330" t="s">
        <v>45</v>
      </c>
      <c r="G330" t="s">
        <v>14</v>
      </c>
      <c r="H330">
        <v>30362</v>
      </c>
      <c r="I330">
        <v>54</v>
      </c>
      <c r="J330" t="s">
        <v>15</v>
      </c>
      <c r="K330">
        <v>1516</v>
      </c>
      <c r="L330" t="s">
        <v>16</v>
      </c>
    </row>
    <row r="331" spans="1:12" x14ac:dyDescent="0.3">
      <c r="A331">
        <v>2007</v>
      </c>
      <c r="B331" t="s">
        <v>12</v>
      </c>
      <c r="C331">
        <v>51390</v>
      </c>
      <c r="D331">
        <v>3729.8</v>
      </c>
      <c r="E331">
        <v>27.2</v>
      </c>
      <c r="F331" t="s">
        <v>45</v>
      </c>
      <c r="G331" t="s">
        <v>14</v>
      </c>
      <c r="H331">
        <v>124492</v>
      </c>
      <c r="I331">
        <v>53</v>
      </c>
      <c r="J331" t="s">
        <v>15</v>
      </c>
      <c r="K331">
        <v>57259</v>
      </c>
      <c r="L331" t="s">
        <v>16</v>
      </c>
    </row>
    <row r="332" spans="1:12" x14ac:dyDescent="0.3">
      <c r="A332">
        <v>2008</v>
      </c>
      <c r="B332" t="s">
        <v>12</v>
      </c>
      <c r="C332">
        <v>177</v>
      </c>
      <c r="D332">
        <v>2746.2</v>
      </c>
      <c r="E332">
        <v>27.2</v>
      </c>
      <c r="F332" t="s">
        <v>45</v>
      </c>
      <c r="G332" t="s">
        <v>14</v>
      </c>
      <c r="H332">
        <v>792</v>
      </c>
      <c r="I332">
        <v>52</v>
      </c>
      <c r="J332" t="s">
        <v>15</v>
      </c>
      <c r="K332">
        <v>234779</v>
      </c>
      <c r="L332" t="s">
        <v>16</v>
      </c>
    </row>
    <row r="333" spans="1:12" x14ac:dyDescent="0.3">
      <c r="A333">
        <v>2009</v>
      </c>
      <c r="B333" t="s">
        <v>12</v>
      </c>
      <c r="C333">
        <v>10723</v>
      </c>
      <c r="D333">
        <v>2746.2</v>
      </c>
      <c r="E333">
        <v>27.2</v>
      </c>
      <c r="F333" t="s">
        <v>45</v>
      </c>
      <c r="G333" t="s">
        <v>14</v>
      </c>
      <c r="H333">
        <v>34153</v>
      </c>
      <c r="I333">
        <v>51</v>
      </c>
      <c r="J333" t="s">
        <v>15</v>
      </c>
      <c r="K333">
        <v>1493</v>
      </c>
      <c r="L333" t="s">
        <v>16</v>
      </c>
    </row>
    <row r="334" spans="1:12" x14ac:dyDescent="0.3">
      <c r="A334">
        <v>2010</v>
      </c>
      <c r="B334" t="s">
        <v>12</v>
      </c>
      <c r="C334">
        <v>51709</v>
      </c>
      <c r="D334">
        <v>2746.2</v>
      </c>
      <c r="E334">
        <v>27.1</v>
      </c>
      <c r="F334" t="s">
        <v>45</v>
      </c>
      <c r="G334" t="s">
        <v>14</v>
      </c>
      <c r="H334">
        <v>132551</v>
      </c>
      <c r="I334">
        <v>57</v>
      </c>
      <c r="J334" t="s">
        <v>15</v>
      </c>
      <c r="K334">
        <v>64409</v>
      </c>
      <c r="L334" t="s">
        <v>16</v>
      </c>
    </row>
    <row r="335" spans="1:12" x14ac:dyDescent="0.3">
      <c r="A335">
        <v>2011</v>
      </c>
      <c r="B335" t="s">
        <v>12</v>
      </c>
      <c r="C335">
        <v>146</v>
      </c>
      <c r="D335">
        <v>3360</v>
      </c>
      <c r="E335">
        <v>27.1</v>
      </c>
      <c r="F335" t="s">
        <v>45</v>
      </c>
      <c r="G335" t="s">
        <v>14</v>
      </c>
      <c r="H335">
        <v>338</v>
      </c>
      <c r="I335">
        <v>57</v>
      </c>
      <c r="J335" t="s">
        <v>15</v>
      </c>
      <c r="K335">
        <v>249978</v>
      </c>
      <c r="L335" t="s">
        <v>16</v>
      </c>
    </row>
    <row r="336" spans="1:12" x14ac:dyDescent="0.3">
      <c r="A336">
        <v>2012</v>
      </c>
      <c r="B336" t="s">
        <v>12</v>
      </c>
      <c r="C336">
        <v>10910</v>
      </c>
      <c r="D336">
        <v>3360</v>
      </c>
      <c r="E336">
        <v>27.1</v>
      </c>
      <c r="F336" t="s">
        <v>45</v>
      </c>
      <c r="G336" t="s">
        <v>14</v>
      </c>
      <c r="H336">
        <v>22966</v>
      </c>
      <c r="I336">
        <v>60</v>
      </c>
      <c r="J336" t="s">
        <v>15</v>
      </c>
      <c r="K336">
        <v>637</v>
      </c>
      <c r="L336" t="s">
        <v>16</v>
      </c>
    </row>
    <row r="337" spans="1:12" x14ac:dyDescent="0.3">
      <c r="A337">
        <v>2013</v>
      </c>
      <c r="B337" t="s">
        <v>12</v>
      </c>
      <c r="C337">
        <v>51355</v>
      </c>
      <c r="D337">
        <v>3360</v>
      </c>
      <c r="E337">
        <v>26.8</v>
      </c>
      <c r="F337" t="s">
        <v>45</v>
      </c>
      <c r="G337" t="s">
        <v>14</v>
      </c>
      <c r="H337">
        <v>131763</v>
      </c>
      <c r="I337">
        <v>57</v>
      </c>
      <c r="J337" t="s">
        <v>15</v>
      </c>
      <c r="K337">
        <v>43311</v>
      </c>
      <c r="L337" t="s">
        <v>16</v>
      </c>
    </row>
    <row r="338" spans="1:12" x14ac:dyDescent="0.3">
      <c r="A338">
        <v>2014</v>
      </c>
      <c r="B338" t="s">
        <v>12</v>
      </c>
      <c r="C338">
        <v>160</v>
      </c>
      <c r="D338">
        <v>3605.4</v>
      </c>
      <c r="E338">
        <v>26.8</v>
      </c>
      <c r="F338" t="s">
        <v>45</v>
      </c>
      <c r="G338" t="s">
        <v>14</v>
      </c>
      <c r="H338">
        <v>404</v>
      </c>
      <c r="I338">
        <v>57</v>
      </c>
      <c r="J338" t="s">
        <v>15</v>
      </c>
      <c r="K338">
        <v>24848</v>
      </c>
      <c r="L338" t="s">
        <v>16</v>
      </c>
    </row>
    <row r="339" spans="1:12" x14ac:dyDescent="0.3">
      <c r="A339">
        <v>2015</v>
      </c>
      <c r="B339" t="s">
        <v>12</v>
      </c>
      <c r="C339">
        <v>10912</v>
      </c>
      <c r="D339">
        <v>3605.4</v>
      </c>
      <c r="E339">
        <v>27.1</v>
      </c>
      <c r="F339" t="s">
        <v>45</v>
      </c>
      <c r="G339" t="s">
        <v>14</v>
      </c>
      <c r="H339">
        <v>24184</v>
      </c>
      <c r="I339">
        <v>54</v>
      </c>
      <c r="J339" t="s">
        <v>15</v>
      </c>
      <c r="K339">
        <v>761</v>
      </c>
      <c r="L339" t="s">
        <v>16</v>
      </c>
    </row>
    <row r="340" spans="1:12" x14ac:dyDescent="0.3">
      <c r="A340">
        <v>2016</v>
      </c>
      <c r="B340" t="s">
        <v>12</v>
      </c>
      <c r="C340">
        <v>51353</v>
      </c>
      <c r="D340">
        <v>3605.4</v>
      </c>
      <c r="E340">
        <v>27.1</v>
      </c>
      <c r="F340" t="s">
        <v>45</v>
      </c>
      <c r="G340" t="s">
        <v>14</v>
      </c>
      <c r="H340">
        <v>124387</v>
      </c>
      <c r="I340">
        <v>54.5</v>
      </c>
      <c r="J340" t="s">
        <v>15</v>
      </c>
      <c r="K340">
        <v>45608</v>
      </c>
      <c r="L340" t="s">
        <v>16</v>
      </c>
    </row>
    <row r="341" spans="1:12" x14ac:dyDescent="0.3">
      <c r="A341">
        <v>2017</v>
      </c>
      <c r="B341" t="s">
        <v>17</v>
      </c>
      <c r="C341">
        <v>1279</v>
      </c>
      <c r="D341">
        <v>3512.4</v>
      </c>
      <c r="E341">
        <v>26.8</v>
      </c>
      <c r="F341" t="s">
        <v>45</v>
      </c>
      <c r="G341" t="s">
        <v>14</v>
      </c>
      <c r="H341">
        <v>343</v>
      </c>
      <c r="I341">
        <v>56.6</v>
      </c>
      <c r="J341" t="s">
        <v>15</v>
      </c>
      <c r="K341">
        <v>234581</v>
      </c>
      <c r="L341" t="s">
        <v>16</v>
      </c>
    </row>
    <row r="342" spans="1:12" x14ac:dyDescent="0.3">
      <c r="A342">
        <v>2018</v>
      </c>
      <c r="B342" t="s">
        <v>17</v>
      </c>
      <c r="C342">
        <v>13283</v>
      </c>
      <c r="D342">
        <v>3512.4</v>
      </c>
      <c r="E342">
        <v>26.8</v>
      </c>
      <c r="F342" t="s">
        <v>45</v>
      </c>
      <c r="G342" t="s">
        <v>14</v>
      </c>
      <c r="H342">
        <v>23099</v>
      </c>
      <c r="I342">
        <v>55.5</v>
      </c>
      <c r="J342" t="s">
        <v>15</v>
      </c>
      <c r="K342">
        <v>646</v>
      </c>
      <c r="L342" t="s">
        <v>16</v>
      </c>
    </row>
    <row r="343" spans="1:12" x14ac:dyDescent="0.3">
      <c r="A343">
        <v>2011</v>
      </c>
      <c r="B343" t="s">
        <v>17</v>
      </c>
      <c r="C343">
        <v>52119</v>
      </c>
      <c r="D343">
        <v>3512.4</v>
      </c>
      <c r="E343">
        <v>26.8</v>
      </c>
      <c r="F343" t="s">
        <v>45</v>
      </c>
      <c r="G343" t="s">
        <v>14</v>
      </c>
      <c r="H343">
        <v>117825.84</v>
      </c>
      <c r="I343">
        <v>58.5</v>
      </c>
      <c r="J343" t="s">
        <v>15</v>
      </c>
      <c r="K343">
        <v>43562</v>
      </c>
      <c r="L343" t="s">
        <v>16</v>
      </c>
    </row>
    <row r="344" spans="1:12" x14ac:dyDescent="0.3">
      <c r="A344">
        <v>2012</v>
      </c>
      <c r="B344" t="s">
        <v>17</v>
      </c>
      <c r="C344">
        <v>725</v>
      </c>
      <c r="D344">
        <v>3296</v>
      </c>
      <c r="E344">
        <v>37</v>
      </c>
      <c r="F344" t="s">
        <v>45</v>
      </c>
      <c r="G344" t="s">
        <v>14</v>
      </c>
      <c r="H344">
        <v>336</v>
      </c>
      <c r="I344">
        <v>59.5</v>
      </c>
      <c r="J344" t="s">
        <v>15</v>
      </c>
      <c r="K344">
        <v>200000</v>
      </c>
      <c r="L344" t="s">
        <v>16</v>
      </c>
    </row>
    <row r="345" spans="1:12" x14ac:dyDescent="0.3">
      <c r="A345">
        <v>2013</v>
      </c>
      <c r="B345" t="s">
        <v>17</v>
      </c>
      <c r="C345">
        <v>12885</v>
      </c>
      <c r="D345">
        <v>3550</v>
      </c>
      <c r="E345">
        <v>37</v>
      </c>
      <c r="F345" t="s">
        <v>45</v>
      </c>
      <c r="G345" t="s">
        <v>14</v>
      </c>
      <c r="H345">
        <v>22594</v>
      </c>
      <c r="I345">
        <v>55</v>
      </c>
      <c r="J345" t="s">
        <v>15</v>
      </c>
      <c r="K345">
        <v>4847</v>
      </c>
      <c r="L345" t="s">
        <v>16</v>
      </c>
    </row>
    <row r="346" spans="1:12" x14ac:dyDescent="0.3">
      <c r="A346">
        <v>2014</v>
      </c>
      <c r="B346" t="s">
        <v>17</v>
      </c>
      <c r="C346">
        <v>51179</v>
      </c>
      <c r="D346">
        <v>3550</v>
      </c>
      <c r="E346">
        <v>37</v>
      </c>
      <c r="F346" t="s">
        <v>45</v>
      </c>
      <c r="G346" t="s">
        <v>14</v>
      </c>
      <c r="H346">
        <v>116481.07</v>
      </c>
      <c r="I346">
        <v>53</v>
      </c>
      <c r="J346" t="s">
        <v>15</v>
      </c>
      <c r="K346">
        <v>51239</v>
      </c>
      <c r="L346" t="s">
        <v>16</v>
      </c>
    </row>
    <row r="347" spans="1:12" x14ac:dyDescent="0.3">
      <c r="A347">
        <v>2015</v>
      </c>
      <c r="B347" t="s">
        <v>17</v>
      </c>
      <c r="C347">
        <v>468</v>
      </c>
      <c r="D347">
        <v>3550</v>
      </c>
      <c r="E347">
        <v>38</v>
      </c>
      <c r="F347" t="s">
        <v>45</v>
      </c>
      <c r="G347" t="s">
        <v>14</v>
      </c>
      <c r="H347">
        <v>316</v>
      </c>
      <c r="I347">
        <v>53.5</v>
      </c>
      <c r="J347" t="s">
        <v>15</v>
      </c>
      <c r="K347">
        <v>216396</v>
      </c>
      <c r="L347" t="s">
        <v>16</v>
      </c>
    </row>
    <row r="348" spans="1:12" x14ac:dyDescent="0.3">
      <c r="A348">
        <v>2016</v>
      </c>
      <c r="B348" t="s">
        <v>17</v>
      </c>
      <c r="C348">
        <v>11841</v>
      </c>
      <c r="D348">
        <v>3654</v>
      </c>
      <c r="E348">
        <v>38</v>
      </c>
      <c r="F348" t="s">
        <v>45</v>
      </c>
      <c r="G348" t="s">
        <v>14</v>
      </c>
      <c r="H348">
        <v>21400</v>
      </c>
      <c r="I348">
        <v>52.5</v>
      </c>
      <c r="J348" t="s">
        <v>15</v>
      </c>
      <c r="K348">
        <v>2644</v>
      </c>
      <c r="L348" t="s">
        <v>16</v>
      </c>
    </row>
    <row r="349" spans="1:12" x14ac:dyDescent="0.3">
      <c r="A349">
        <v>2017</v>
      </c>
      <c r="B349" t="s">
        <v>17</v>
      </c>
      <c r="C349">
        <v>50975</v>
      </c>
      <c r="D349">
        <v>3654</v>
      </c>
      <c r="E349">
        <v>38</v>
      </c>
      <c r="F349" t="s">
        <v>45</v>
      </c>
      <c r="G349" t="s">
        <v>14</v>
      </c>
      <c r="H349">
        <v>122102</v>
      </c>
      <c r="I349">
        <v>56</v>
      </c>
      <c r="J349" t="s">
        <v>15</v>
      </c>
      <c r="K349">
        <v>44235</v>
      </c>
      <c r="L349" t="s">
        <v>16</v>
      </c>
    </row>
    <row r="350" spans="1:12" x14ac:dyDescent="0.3">
      <c r="A350">
        <v>2018</v>
      </c>
      <c r="B350" t="s">
        <v>17</v>
      </c>
      <c r="C350">
        <v>206</v>
      </c>
      <c r="D350">
        <v>3654</v>
      </c>
      <c r="E350">
        <v>39</v>
      </c>
      <c r="F350" t="s">
        <v>45</v>
      </c>
      <c r="G350" t="s">
        <v>14</v>
      </c>
      <c r="H350">
        <v>382</v>
      </c>
      <c r="I350">
        <v>57</v>
      </c>
      <c r="J350" t="s">
        <v>15</v>
      </c>
      <c r="K350">
        <v>203317</v>
      </c>
      <c r="L350" t="s">
        <v>16</v>
      </c>
    </row>
    <row r="351" spans="1:12" x14ac:dyDescent="0.3">
      <c r="A351">
        <v>2004</v>
      </c>
      <c r="B351" t="s">
        <v>17</v>
      </c>
      <c r="C351">
        <v>10922</v>
      </c>
      <c r="D351">
        <v>233</v>
      </c>
      <c r="E351">
        <v>39</v>
      </c>
      <c r="F351" t="s">
        <v>45</v>
      </c>
      <c r="G351" t="s">
        <v>14</v>
      </c>
      <c r="H351">
        <v>19578</v>
      </c>
      <c r="I351">
        <v>57.5</v>
      </c>
      <c r="J351" t="s">
        <v>15</v>
      </c>
      <c r="K351">
        <v>2134</v>
      </c>
      <c r="L351" t="s">
        <v>16</v>
      </c>
    </row>
    <row r="352" spans="1:12" x14ac:dyDescent="0.3">
      <c r="A352">
        <v>2005</v>
      </c>
      <c r="B352" t="s">
        <v>17</v>
      </c>
      <c r="C352">
        <v>51390</v>
      </c>
      <c r="D352">
        <v>233</v>
      </c>
      <c r="E352">
        <v>39</v>
      </c>
      <c r="F352" t="s">
        <v>45</v>
      </c>
      <c r="G352" t="s">
        <v>14</v>
      </c>
      <c r="H352">
        <v>121037</v>
      </c>
      <c r="I352">
        <v>57</v>
      </c>
      <c r="J352" t="s">
        <v>15</v>
      </c>
      <c r="K352">
        <v>45186</v>
      </c>
      <c r="L352" t="s">
        <v>16</v>
      </c>
    </row>
    <row r="353" spans="1:12" x14ac:dyDescent="0.3">
      <c r="A353">
        <v>2006</v>
      </c>
      <c r="B353" t="s">
        <v>17</v>
      </c>
      <c r="C353">
        <v>177</v>
      </c>
      <c r="D353">
        <v>233</v>
      </c>
      <c r="E353">
        <v>40</v>
      </c>
      <c r="F353" t="s">
        <v>45</v>
      </c>
      <c r="G353" t="s">
        <v>14</v>
      </c>
      <c r="H353">
        <v>231</v>
      </c>
      <c r="I353">
        <v>55</v>
      </c>
      <c r="J353" t="s">
        <v>15</v>
      </c>
      <c r="K353">
        <v>238542</v>
      </c>
      <c r="L353" t="s">
        <v>16</v>
      </c>
    </row>
    <row r="354" spans="1:12" x14ac:dyDescent="0.3">
      <c r="A354">
        <v>2007</v>
      </c>
      <c r="B354" t="s">
        <v>17</v>
      </c>
      <c r="C354">
        <v>10723</v>
      </c>
      <c r="D354">
        <v>234</v>
      </c>
      <c r="E354">
        <v>40</v>
      </c>
      <c r="F354" t="s">
        <v>45</v>
      </c>
      <c r="G354" t="s">
        <v>14</v>
      </c>
      <c r="H354">
        <v>18951</v>
      </c>
      <c r="I354">
        <v>56</v>
      </c>
      <c r="J354" t="s">
        <v>15</v>
      </c>
      <c r="K354">
        <v>1516</v>
      </c>
      <c r="L354" t="s">
        <v>16</v>
      </c>
    </row>
    <row r="355" spans="1:12" x14ac:dyDescent="0.3">
      <c r="A355">
        <v>2008</v>
      </c>
      <c r="B355" t="s">
        <v>17</v>
      </c>
      <c r="C355">
        <v>51709</v>
      </c>
      <c r="D355">
        <v>234</v>
      </c>
      <c r="E355">
        <v>40</v>
      </c>
      <c r="F355" t="s">
        <v>45</v>
      </c>
      <c r="G355" t="s">
        <v>14</v>
      </c>
      <c r="H355">
        <v>110579</v>
      </c>
      <c r="I355">
        <v>54</v>
      </c>
      <c r="J355" t="s">
        <v>15</v>
      </c>
      <c r="K355">
        <v>57259</v>
      </c>
      <c r="L355" t="s">
        <v>16</v>
      </c>
    </row>
    <row r="356" spans="1:12" x14ac:dyDescent="0.3">
      <c r="A356">
        <v>2009</v>
      </c>
      <c r="B356" t="s">
        <v>17</v>
      </c>
      <c r="C356">
        <v>146</v>
      </c>
      <c r="D356">
        <v>234</v>
      </c>
      <c r="E356">
        <v>41</v>
      </c>
      <c r="F356" t="s">
        <v>45</v>
      </c>
      <c r="G356" t="s">
        <v>14</v>
      </c>
      <c r="H356">
        <v>221</v>
      </c>
      <c r="I356">
        <v>58</v>
      </c>
      <c r="J356" t="s">
        <v>15</v>
      </c>
      <c r="K356">
        <v>234779</v>
      </c>
      <c r="L356" t="s">
        <v>16</v>
      </c>
    </row>
    <row r="357" spans="1:12" x14ac:dyDescent="0.3">
      <c r="A357">
        <v>2010</v>
      </c>
      <c r="B357" t="s">
        <v>17</v>
      </c>
      <c r="C357">
        <v>10910</v>
      </c>
      <c r="D357">
        <v>3105</v>
      </c>
      <c r="E357">
        <v>41</v>
      </c>
      <c r="F357" t="s">
        <v>45</v>
      </c>
      <c r="G357" t="s">
        <v>14</v>
      </c>
      <c r="H357">
        <v>15362</v>
      </c>
      <c r="I357">
        <v>58</v>
      </c>
      <c r="J357" t="s">
        <v>15</v>
      </c>
      <c r="K357">
        <v>1493</v>
      </c>
      <c r="L357" t="s">
        <v>16</v>
      </c>
    </row>
    <row r="358" spans="1:12" x14ac:dyDescent="0.3">
      <c r="A358">
        <v>2011</v>
      </c>
      <c r="B358" t="s">
        <v>17</v>
      </c>
      <c r="C358">
        <v>51355</v>
      </c>
      <c r="D358">
        <v>3105</v>
      </c>
      <c r="E358">
        <v>41</v>
      </c>
      <c r="F358" t="s">
        <v>45</v>
      </c>
      <c r="G358" t="s">
        <v>14</v>
      </c>
      <c r="H358">
        <v>120373</v>
      </c>
      <c r="I358">
        <v>59</v>
      </c>
      <c r="J358" t="s">
        <v>15</v>
      </c>
      <c r="K358">
        <v>64409</v>
      </c>
      <c r="L358" t="s">
        <v>16</v>
      </c>
    </row>
    <row r="359" spans="1:12" x14ac:dyDescent="0.3">
      <c r="A359">
        <v>2012</v>
      </c>
      <c r="B359" t="s">
        <v>17</v>
      </c>
      <c r="C359">
        <v>160</v>
      </c>
      <c r="D359">
        <v>3105</v>
      </c>
      <c r="E359">
        <v>42</v>
      </c>
      <c r="F359" t="s">
        <v>45</v>
      </c>
      <c r="G359" t="s">
        <v>14</v>
      </c>
      <c r="H359">
        <v>291</v>
      </c>
      <c r="I359">
        <v>50</v>
      </c>
      <c r="J359" t="s">
        <v>15</v>
      </c>
      <c r="K359">
        <v>249978</v>
      </c>
      <c r="L359" t="s">
        <v>16</v>
      </c>
    </row>
    <row r="360" spans="1:12" x14ac:dyDescent="0.3">
      <c r="A360">
        <v>2013</v>
      </c>
      <c r="B360" t="s">
        <v>17</v>
      </c>
      <c r="C360">
        <v>10912</v>
      </c>
      <c r="D360">
        <v>236</v>
      </c>
      <c r="E360">
        <v>42</v>
      </c>
      <c r="F360" t="s">
        <v>45</v>
      </c>
      <c r="G360" t="s">
        <v>14</v>
      </c>
      <c r="H360">
        <v>17231</v>
      </c>
      <c r="I360">
        <v>54</v>
      </c>
      <c r="J360" t="s">
        <v>15</v>
      </c>
      <c r="K360">
        <v>637</v>
      </c>
      <c r="L360" t="s">
        <v>16</v>
      </c>
    </row>
    <row r="361" spans="1:12" x14ac:dyDescent="0.3">
      <c r="A361">
        <v>2014</v>
      </c>
      <c r="B361" t="s">
        <v>17</v>
      </c>
      <c r="C361">
        <v>51353</v>
      </c>
      <c r="D361">
        <v>236</v>
      </c>
      <c r="E361">
        <v>42</v>
      </c>
      <c r="F361" t="s">
        <v>45</v>
      </c>
      <c r="G361" t="s">
        <v>14</v>
      </c>
      <c r="H361">
        <v>119359</v>
      </c>
      <c r="I361">
        <v>53</v>
      </c>
      <c r="J361" t="s">
        <v>15</v>
      </c>
      <c r="K361">
        <v>43311</v>
      </c>
      <c r="L361" t="s">
        <v>16</v>
      </c>
    </row>
    <row r="362" spans="1:12" x14ac:dyDescent="0.3">
      <c r="A362">
        <v>2015</v>
      </c>
      <c r="B362" t="s">
        <v>17</v>
      </c>
      <c r="C362">
        <v>1279</v>
      </c>
      <c r="D362">
        <v>2903.1</v>
      </c>
      <c r="E362">
        <v>43</v>
      </c>
      <c r="F362" t="s">
        <v>45</v>
      </c>
      <c r="G362" t="s">
        <v>14</v>
      </c>
      <c r="H362">
        <v>283</v>
      </c>
      <c r="I362">
        <v>52</v>
      </c>
      <c r="J362" t="s">
        <v>15</v>
      </c>
      <c r="K362">
        <v>24848</v>
      </c>
      <c r="L362" t="s">
        <v>16</v>
      </c>
    </row>
    <row r="363" spans="1:12" x14ac:dyDescent="0.3">
      <c r="A363">
        <v>2016</v>
      </c>
      <c r="B363" t="s">
        <v>17</v>
      </c>
      <c r="C363">
        <v>13283</v>
      </c>
      <c r="D363">
        <v>2903.1</v>
      </c>
      <c r="E363">
        <v>27</v>
      </c>
      <c r="F363" t="s">
        <v>45</v>
      </c>
      <c r="G363" t="s">
        <v>14</v>
      </c>
      <c r="H363">
        <v>17690</v>
      </c>
      <c r="I363">
        <v>51</v>
      </c>
      <c r="J363" t="s">
        <v>15</v>
      </c>
      <c r="K363">
        <v>761</v>
      </c>
      <c r="L363" t="s">
        <v>16</v>
      </c>
    </row>
    <row r="364" spans="1:12" x14ac:dyDescent="0.3">
      <c r="A364">
        <v>2017</v>
      </c>
      <c r="B364" t="s">
        <v>17</v>
      </c>
      <c r="C364">
        <v>52119</v>
      </c>
      <c r="D364">
        <v>2903.1</v>
      </c>
      <c r="E364">
        <v>27</v>
      </c>
      <c r="F364" t="s">
        <v>45</v>
      </c>
      <c r="G364" t="s">
        <v>21</v>
      </c>
      <c r="H364">
        <v>7157</v>
      </c>
      <c r="I364">
        <v>57</v>
      </c>
      <c r="J364" t="s">
        <v>15</v>
      </c>
      <c r="K364">
        <v>45608</v>
      </c>
      <c r="L364" t="s">
        <v>16</v>
      </c>
    </row>
    <row r="365" spans="1:12" x14ac:dyDescent="0.3">
      <c r="A365">
        <v>2018</v>
      </c>
      <c r="B365" t="s">
        <v>17</v>
      </c>
      <c r="C365">
        <v>725</v>
      </c>
      <c r="D365">
        <v>2996.6</v>
      </c>
      <c r="E365">
        <v>27</v>
      </c>
      <c r="F365" t="s">
        <v>45</v>
      </c>
      <c r="G365" t="s">
        <v>21</v>
      </c>
      <c r="H365">
        <v>8700</v>
      </c>
      <c r="I365">
        <v>57</v>
      </c>
      <c r="J365" t="s">
        <v>15</v>
      </c>
      <c r="K365">
        <v>234581</v>
      </c>
      <c r="L365" t="s">
        <v>16</v>
      </c>
    </row>
    <row r="366" spans="1:12" x14ac:dyDescent="0.3">
      <c r="A366">
        <v>2004</v>
      </c>
      <c r="B366" t="s">
        <v>17</v>
      </c>
      <c r="C366">
        <v>12885</v>
      </c>
      <c r="D366">
        <v>2996.6</v>
      </c>
      <c r="E366">
        <v>27</v>
      </c>
      <c r="F366" t="s">
        <v>45</v>
      </c>
      <c r="G366" t="s">
        <v>21</v>
      </c>
      <c r="H366">
        <v>41266</v>
      </c>
      <c r="I366">
        <v>60</v>
      </c>
      <c r="J366" t="s">
        <v>15</v>
      </c>
      <c r="K366">
        <v>646</v>
      </c>
      <c r="L366" t="s">
        <v>16</v>
      </c>
    </row>
    <row r="367" spans="1:12" x14ac:dyDescent="0.3">
      <c r="A367">
        <v>2005</v>
      </c>
      <c r="B367" t="s">
        <v>17</v>
      </c>
      <c r="C367">
        <v>51179</v>
      </c>
      <c r="D367">
        <v>2996.6</v>
      </c>
      <c r="E367">
        <v>27</v>
      </c>
      <c r="F367" t="s">
        <v>45</v>
      </c>
      <c r="G367" t="s">
        <v>21</v>
      </c>
      <c r="H367">
        <v>8838</v>
      </c>
      <c r="I367">
        <v>57</v>
      </c>
      <c r="J367" t="s">
        <v>15</v>
      </c>
      <c r="K367">
        <v>43562</v>
      </c>
      <c r="L367" t="s">
        <v>16</v>
      </c>
    </row>
    <row r="368" spans="1:12" x14ac:dyDescent="0.3">
      <c r="A368">
        <v>2012</v>
      </c>
      <c r="B368" t="s">
        <v>17</v>
      </c>
      <c r="C368">
        <v>468</v>
      </c>
      <c r="D368">
        <v>3296</v>
      </c>
      <c r="E368">
        <v>27</v>
      </c>
      <c r="F368" t="s">
        <v>45</v>
      </c>
      <c r="G368" t="s">
        <v>21</v>
      </c>
      <c r="H368">
        <v>8954</v>
      </c>
      <c r="I368">
        <v>57</v>
      </c>
      <c r="J368" t="s">
        <v>15</v>
      </c>
      <c r="K368">
        <v>200000</v>
      </c>
      <c r="L368" t="s">
        <v>16</v>
      </c>
    </row>
    <row r="369" spans="1:12" x14ac:dyDescent="0.3">
      <c r="A369">
        <v>2013</v>
      </c>
      <c r="B369" t="s">
        <v>17</v>
      </c>
      <c r="C369">
        <v>11841</v>
      </c>
      <c r="D369">
        <v>3550</v>
      </c>
      <c r="E369">
        <v>27.2</v>
      </c>
      <c r="F369" t="s">
        <v>45</v>
      </c>
      <c r="G369" t="s">
        <v>21</v>
      </c>
      <c r="H369">
        <v>42915</v>
      </c>
      <c r="I369">
        <v>54</v>
      </c>
      <c r="J369" t="s">
        <v>15</v>
      </c>
      <c r="K369">
        <v>4847</v>
      </c>
      <c r="L369" t="s">
        <v>16</v>
      </c>
    </row>
    <row r="370" spans="1:12" x14ac:dyDescent="0.3">
      <c r="A370">
        <v>2014</v>
      </c>
      <c r="B370" t="s">
        <v>17</v>
      </c>
      <c r="C370">
        <v>50975</v>
      </c>
      <c r="D370">
        <v>3550</v>
      </c>
      <c r="E370">
        <v>27.2</v>
      </c>
      <c r="F370" t="s">
        <v>45</v>
      </c>
      <c r="G370" t="s">
        <v>21</v>
      </c>
      <c r="H370">
        <v>9230</v>
      </c>
      <c r="I370">
        <v>54.5</v>
      </c>
      <c r="J370" t="s">
        <v>15</v>
      </c>
      <c r="K370">
        <v>51239</v>
      </c>
      <c r="L370" t="s">
        <v>16</v>
      </c>
    </row>
    <row r="371" spans="1:12" x14ac:dyDescent="0.3">
      <c r="A371">
        <v>2015</v>
      </c>
      <c r="B371" t="s">
        <v>17</v>
      </c>
      <c r="C371">
        <v>206</v>
      </c>
      <c r="D371">
        <v>3550</v>
      </c>
      <c r="E371">
        <v>27.2</v>
      </c>
      <c r="F371" t="s">
        <v>13</v>
      </c>
      <c r="G371" t="s">
        <v>21</v>
      </c>
      <c r="H371">
        <v>44313</v>
      </c>
      <c r="I371">
        <v>56.6</v>
      </c>
      <c r="J371" t="s">
        <v>15</v>
      </c>
      <c r="K371">
        <v>216396</v>
      </c>
      <c r="L371" t="s">
        <v>16</v>
      </c>
    </row>
    <row r="372" spans="1:12" x14ac:dyDescent="0.3">
      <c r="A372">
        <v>2016</v>
      </c>
      <c r="B372" t="s">
        <v>46</v>
      </c>
      <c r="C372">
        <v>10922</v>
      </c>
      <c r="D372">
        <v>3654</v>
      </c>
      <c r="E372">
        <v>27</v>
      </c>
      <c r="F372" t="s">
        <v>13</v>
      </c>
      <c r="G372" t="s">
        <v>21</v>
      </c>
      <c r="H372">
        <v>45820</v>
      </c>
      <c r="I372">
        <v>55.5</v>
      </c>
      <c r="J372" t="s">
        <v>15</v>
      </c>
      <c r="K372">
        <v>2644</v>
      </c>
      <c r="L372" t="s">
        <v>16</v>
      </c>
    </row>
    <row r="373" spans="1:12" x14ac:dyDescent="0.3">
      <c r="A373">
        <v>2017</v>
      </c>
      <c r="B373" t="s">
        <v>46</v>
      </c>
      <c r="C373">
        <v>51390</v>
      </c>
      <c r="D373">
        <v>3654</v>
      </c>
      <c r="E373">
        <v>27</v>
      </c>
      <c r="F373" t="s">
        <v>13</v>
      </c>
      <c r="G373" t="s">
        <v>21</v>
      </c>
      <c r="H373">
        <v>49084</v>
      </c>
      <c r="I373">
        <v>58.5</v>
      </c>
      <c r="J373" t="s">
        <v>15</v>
      </c>
      <c r="K373">
        <v>44235</v>
      </c>
      <c r="L373" t="s">
        <v>16</v>
      </c>
    </row>
    <row r="374" spans="1:12" x14ac:dyDescent="0.3">
      <c r="A374">
        <v>2018</v>
      </c>
      <c r="B374" t="s">
        <v>46</v>
      </c>
      <c r="C374">
        <v>177</v>
      </c>
      <c r="D374">
        <v>3654</v>
      </c>
      <c r="E374">
        <v>27</v>
      </c>
      <c r="F374" t="s">
        <v>13</v>
      </c>
      <c r="G374" t="s">
        <v>21</v>
      </c>
      <c r="H374">
        <v>86311</v>
      </c>
      <c r="I374">
        <v>59.5</v>
      </c>
      <c r="J374" t="s">
        <v>15</v>
      </c>
      <c r="K374">
        <v>203317</v>
      </c>
      <c r="L374" t="s">
        <v>16</v>
      </c>
    </row>
    <row r="375" spans="1:12" x14ac:dyDescent="0.3">
      <c r="A375">
        <v>2004</v>
      </c>
      <c r="B375" t="s">
        <v>46</v>
      </c>
      <c r="C375">
        <v>10723</v>
      </c>
      <c r="D375">
        <v>233</v>
      </c>
      <c r="E375">
        <v>27</v>
      </c>
      <c r="F375" t="s">
        <v>13</v>
      </c>
      <c r="G375" t="s">
        <v>21</v>
      </c>
      <c r="H375">
        <v>57642</v>
      </c>
      <c r="I375">
        <v>55</v>
      </c>
      <c r="J375" t="s">
        <v>15</v>
      </c>
      <c r="K375">
        <v>2134</v>
      </c>
      <c r="L375" t="s">
        <v>16</v>
      </c>
    </row>
    <row r="376" spans="1:12" x14ac:dyDescent="0.3">
      <c r="A376">
        <v>2005</v>
      </c>
      <c r="B376" t="s">
        <v>46</v>
      </c>
      <c r="C376">
        <v>51709</v>
      </c>
      <c r="D376">
        <v>233</v>
      </c>
      <c r="E376">
        <v>27</v>
      </c>
      <c r="F376" t="s">
        <v>13</v>
      </c>
      <c r="G376" t="s">
        <v>21</v>
      </c>
      <c r="H376">
        <v>58405</v>
      </c>
      <c r="I376">
        <v>53</v>
      </c>
      <c r="J376" t="s">
        <v>15</v>
      </c>
      <c r="K376">
        <v>45186</v>
      </c>
      <c r="L376" t="s">
        <v>16</v>
      </c>
    </row>
    <row r="377" spans="1:12" x14ac:dyDescent="0.3">
      <c r="A377">
        <v>2006</v>
      </c>
      <c r="B377" t="s">
        <v>46</v>
      </c>
      <c r="C377">
        <v>146</v>
      </c>
      <c r="D377">
        <v>233</v>
      </c>
      <c r="E377">
        <v>27</v>
      </c>
      <c r="F377" t="s">
        <v>13</v>
      </c>
      <c r="G377" t="s">
        <v>21</v>
      </c>
      <c r="H377">
        <v>60751</v>
      </c>
      <c r="I377">
        <v>53.5</v>
      </c>
      <c r="J377" t="s">
        <v>15</v>
      </c>
      <c r="K377">
        <v>238542</v>
      </c>
      <c r="L377" t="s">
        <v>16</v>
      </c>
    </row>
    <row r="378" spans="1:12" x14ac:dyDescent="0.3">
      <c r="A378">
        <v>2007</v>
      </c>
      <c r="B378" t="s">
        <v>46</v>
      </c>
      <c r="C378">
        <v>10910</v>
      </c>
      <c r="D378">
        <v>234</v>
      </c>
      <c r="E378">
        <v>27.2</v>
      </c>
      <c r="F378" t="s">
        <v>13</v>
      </c>
      <c r="G378" t="s">
        <v>21</v>
      </c>
      <c r="H378">
        <v>109506</v>
      </c>
      <c r="I378">
        <v>52.5</v>
      </c>
      <c r="J378" t="s">
        <v>15</v>
      </c>
      <c r="K378">
        <v>1516</v>
      </c>
      <c r="L378" t="s">
        <v>16</v>
      </c>
    </row>
    <row r="379" spans="1:12" x14ac:dyDescent="0.3">
      <c r="A379">
        <v>2008</v>
      </c>
      <c r="B379" t="s">
        <v>46</v>
      </c>
      <c r="C379">
        <v>51355</v>
      </c>
      <c r="D379">
        <v>234</v>
      </c>
      <c r="E379">
        <v>27.2</v>
      </c>
      <c r="F379" t="s">
        <v>13</v>
      </c>
      <c r="G379" t="s">
        <v>21</v>
      </c>
      <c r="H379">
        <v>114</v>
      </c>
      <c r="I379">
        <v>56</v>
      </c>
      <c r="J379" t="s">
        <v>15</v>
      </c>
      <c r="K379">
        <v>57259</v>
      </c>
      <c r="L379" t="s">
        <v>16</v>
      </c>
    </row>
    <row r="380" spans="1:12" x14ac:dyDescent="0.3">
      <c r="A380">
        <v>2009</v>
      </c>
      <c r="B380" t="s">
        <v>46</v>
      </c>
      <c r="C380">
        <v>160</v>
      </c>
      <c r="D380">
        <v>234</v>
      </c>
      <c r="E380">
        <v>27.2</v>
      </c>
      <c r="F380" t="s">
        <v>13</v>
      </c>
      <c r="G380" t="s">
        <v>21</v>
      </c>
      <c r="H380">
        <v>3</v>
      </c>
      <c r="I380">
        <v>57</v>
      </c>
      <c r="J380" t="s">
        <v>15</v>
      </c>
      <c r="K380">
        <v>234779</v>
      </c>
      <c r="L380" t="s">
        <v>16</v>
      </c>
    </row>
    <row r="381" spans="1:12" x14ac:dyDescent="0.3">
      <c r="A381">
        <v>2010</v>
      </c>
      <c r="B381" t="s">
        <v>46</v>
      </c>
      <c r="C381">
        <v>10912</v>
      </c>
      <c r="D381">
        <v>3105</v>
      </c>
      <c r="E381">
        <v>27.1</v>
      </c>
      <c r="F381" t="s">
        <v>27</v>
      </c>
      <c r="G381" t="s">
        <v>21</v>
      </c>
      <c r="H381">
        <v>95</v>
      </c>
      <c r="I381">
        <v>57.5</v>
      </c>
      <c r="J381" t="s">
        <v>15</v>
      </c>
      <c r="K381">
        <v>1493</v>
      </c>
      <c r="L381" t="s">
        <v>16</v>
      </c>
    </row>
    <row r="382" spans="1:12" x14ac:dyDescent="0.3">
      <c r="A382">
        <v>2011</v>
      </c>
      <c r="B382" t="s">
        <v>46</v>
      </c>
      <c r="C382">
        <v>51353</v>
      </c>
      <c r="D382">
        <v>3105</v>
      </c>
      <c r="E382">
        <v>27.1</v>
      </c>
      <c r="F382" t="s">
        <v>27</v>
      </c>
      <c r="G382" t="s">
        <v>21</v>
      </c>
      <c r="H382">
        <v>19</v>
      </c>
      <c r="I382">
        <v>57</v>
      </c>
      <c r="J382" t="s">
        <v>15</v>
      </c>
      <c r="K382">
        <v>64409</v>
      </c>
      <c r="L382" t="s">
        <v>16</v>
      </c>
    </row>
    <row r="383" spans="1:12" x14ac:dyDescent="0.3">
      <c r="A383">
        <v>2012</v>
      </c>
      <c r="B383" t="s">
        <v>46</v>
      </c>
      <c r="C383">
        <v>142</v>
      </c>
      <c r="D383">
        <v>3105</v>
      </c>
      <c r="E383">
        <v>27.1</v>
      </c>
      <c r="F383" t="s">
        <v>27</v>
      </c>
      <c r="G383" t="s">
        <v>21</v>
      </c>
      <c r="H383">
        <v>54</v>
      </c>
      <c r="I383">
        <v>55</v>
      </c>
      <c r="J383" t="s">
        <v>15</v>
      </c>
      <c r="K383">
        <v>249978</v>
      </c>
      <c r="L383" t="s">
        <v>16</v>
      </c>
    </row>
    <row r="384" spans="1:12" x14ac:dyDescent="0.3">
      <c r="A384">
        <v>2013</v>
      </c>
      <c r="B384" t="s">
        <v>46</v>
      </c>
      <c r="C384">
        <v>10505</v>
      </c>
      <c r="D384">
        <v>236</v>
      </c>
      <c r="E384">
        <v>26.8</v>
      </c>
      <c r="F384" t="s">
        <v>27</v>
      </c>
      <c r="G384" t="s">
        <v>21</v>
      </c>
      <c r="H384">
        <v>13</v>
      </c>
      <c r="I384">
        <v>56</v>
      </c>
      <c r="J384" t="s">
        <v>15</v>
      </c>
      <c r="K384">
        <v>200000</v>
      </c>
      <c r="L384" t="s">
        <v>16</v>
      </c>
    </row>
    <row r="385" spans="1:12" x14ac:dyDescent="0.3">
      <c r="A385">
        <v>2014</v>
      </c>
      <c r="B385" t="s">
        <v>46</v>
      </c>
      <c r="C385">
        <v>51040</v>
      </c>
      <c r="D385">
        <v>236</v>
      </c>
      <c r="E385">
        <v>26.8</v>
      </c>
      <c r="F385" t="s">
        <v>27</v>
      </c>
      <c r="G385" t="s">
        <v>21</v>
      </c>
      <c r="H385">
        <v>123</v>
      </c>
      <c r="I385">
        <v>54</v>
      </c>
      <c r="J385" t="s">
        <v>15</v>
      </c>
      <c r="K385">
        <v>4847</v>
      </c>
      <c r="L385" t="s">
        <v>16</v>
      </c>
    </row>
    <row r="386" spans="1:12" x14ac:dyDescent="0.3">
      <c r="A386">
        <v>2015</v>
      </c>
      <c r="B386" t="s">
        <v>46</v>
      </c>
      <c r="C386">
        <v>154</v>
      </c>
      <c r="D386">
        <v>2903.1</v>
      </c>
      <c r="E386">
        <v>26.8</v>
      </c>
      <c r="F386" t="s">
        <v>27</v>
      </c>
      <c r="G386" t="s">
        <v>21</v>
      </c>
      <c r="H386">
        <v>19</v>
      </c>
      <c r="I386">
        <v>58</v>
      </c>
      <c r="J386" t="s">
        <v>15</v>
      </c>
      <c r="K386">
        <v>51239</v>
      </c>
      <c r="L386" t="s">
        <v>16</v>
      </c>
    </row>
    <row r="387" spans="1:12" x14ac:dyDescent="0.3">
      <c r="A387">
        <v>2016</v>
      </c>
      <c r="B387" t="s">
        <v>46</v>
      </c>
      <c r="C387">
        <v>10318</v>
      </c>
      <c r="D387">
        <v>2903.1</v>
      </c>
      <c r="E387">
        <v>37</v>
      </c>
      <c r="F387" t="s">
        <v>27</v>
      </c>
      <c r="G387" t="s">
        <v>21</v>
      </c>
      <c r="H387">
        <v>32</v>
      </c>
      <c r="I387">
        <v>58</v>
      </c>
      <c r="J387" t="s">
        <v>15</v>
      </c>
      <c r="K387">
        <v>216396</v>
      </c>
      <c r="L387" t="s">
        <v>16</v>
      </c>
    </row>
    <row r="388" spans="1:12" x14ac:dyDescent="0.3">
      <c r="A388">
        <v>2017</v>
      </c>
      <c r="B388" t="s">
        <v>46</v>
      </c>
      <c r="C388">
        <v>48083</v>
      </c>
      <c r="D388">
        <v>2903.1</v>
      </c>
      <c r="E388">
        <v>37</v>
      </c>
      <c r="F388" t="s">
        <v>27</v>
      </c>
      <c r="G388" t="s">
        <v>21</v>
      </c>
      <c r="H388">
        <v>8</v>
      </c>
      <c r="I388">
        <v>59</v>
      </c>
      <c r="J388" t="s">
        <v>15</v>
      </c>
      <c r="K388">
        <v>2644</v>
      </c>
      <c r="L388" t="s">
        <v>16</v>
      </c>
    </row>
    <row r="389" spans="1:12" x14ac:dyDescent="0.3">
      <c r="A389">
        <v>2018</v>
      </c>
      <c r="B389" t="s">
        <v>46</v>
      </c>
      <c r="C389">
        <v>143</v>
      </c>
      <c r="D389">
        <v>2996.6</v>
      </c>
      <c r="E389">
        <v>37</v>
      </c>
      <c r="F389" t="s">
        <v>27</v>
      </c>
      <c r="G389" t="s">
        <v>21</v>
      </c>
      <c r="H389">
        <v>50</v>
      </c>
      <c r="I389">
        <v>50</v>
      </c>
      <c r="J389" t="s">
        <v>15</v>
      </c>
      <c r="K389">
        <v>44235</v>
      </c>
      <c r="L389" t="s">
        <v>16</v>
      </c>
    </row>
    <row r="390" spans="1:12" x14ac:dyDescent="0.3">
      <c r="A390">
        <v>2019</v>
      </c>
      <c r="B390" t="s">
        <v>46</v>
      </c>
      <c r="C390">
        <v>9283</v>
      </c>
      <c r="D390">
        <v>2996.6</v>
      </c>
      <c r="E390">
        <v>38</v>
      </c>
      <c r="F390" t="s">
        <v>27</v>
      </c>
      <c r="G390" t="s">
        <v>21</v>
      </c>
      <c r="H390">
        <v>10</v>
      </c>
      <c r="I390">
        <v>54</v>
      </c>
      <c r="J390" t="s">
        <v>15</v>
      </c>
      <c r="K390">
        <v>203317</v>
      </c>
      <c r="L390" t="s">
        <v>16</v>
      </c>
    </row>
    <row r="391" spans="1:12" x14ac:dyDescent="0.3">
      <c r="A391">
        <v>2004</v>
      </c>
      <c r="B391" t="s">
        <v>46</v>
      </c>
      <c r="C391">
        <v>47200</v>
      </c>
      <c r="D391">
        <v>2996.6</v>
      </c>
      <c r="E391">
        <v>38</v>
      </c>
      <c r="F391" t="s">
        <v>47</v>
      </c>
      <c r="G391" t="s">
        <v>21</v>
      </c>
      <c r="H391">
        <v>29</v>
      </c>
      <c r="I391">
        <v>53</v>
      </c>
      <c r="J391" t="s">
        <v>15</v>
      </c>
      <c r="K391">
        <v>2134</v>
      </c>
      <c r="L391" t="s">
        <v>16</v>
      </c>
    </row>
    <row r="392" spans="1:12" x14ac:dyDescent="0.3">
      <c r="A392">
        <v>2013</v>
      </c>
      <c r="B392" t="s">
        <v>46</v>
      </c>
      <c r="C392">
        <v>158</v>
      </c>
      <c r="D392">
        <v>2903.1</v>
      </c>
      <c r="E392">
        <v>38</v>
      </c>
      <c r="F392" t="s">
        <v>47</v>
      </c>
      <c r="G392" t="s">
        <v>21</v>
      </c>
      <c r="H392">
        <v>44</v>
      </c>
      <c r="I392">
        <v>52</v>
      </c>
      <c r="J392" t="s">
        <v>15</v>
      </c>
      <c r="K392">
        <v>45186</v>
      </c>
      <c r="L392" t="s">
        <v>16</v>
      </c>
    </row>
    <row r="393" spans="1:12" x14ac:dyDescent="0.3">
      <c r="A393">
        <v>2014</v>
      </c>
      <c r="B393" t="s">
        <v>46</v>
      </c>
      <c r="C393">
        <v>8982</v>
      </c>
      <c r="D393">
        <v>2903.1</v>
      </c>
      <c r="E393">
        <v>39</v>
      </c>
      <c r="F393" t="s">
        <v>47</v>
      </c>
      <c r="G393" t="s">
        <v>21</v>
      </c>
      <c r="H393">
        <v>33</v>
      </c>
      <c r="I393">
        <v>51</v>
      </c>
      <c r="J393" t="s">
        <v>15</v>
      </c>
      <c r="K393">
        <v>238542</v>
      </c>
      <c r="L393" t="s">
        <v>16</v>
      </c>
    </row>
    <row r="394" spans="1:12" x14ac:dyDescent="0.3">
      <c r="A394">
        <v>2015</v>
      </c>
      <c r="B394" t="s">
        <v>46</v>
      </c>
      <c r="C394">
        <v>46990</v>
      </c>
      <c r="D394">
        <v>2903.1</v>
      </c>
      <c r="E394">
        <v>39</v>
      </c>
      <c r="F394" t="s">
        <v>47</v>
      </c>
      <c r="G394" t="s">
        <v>21</v>
      </c>
      <c r="H394">
        <v>14</v>
      </c>
      <c r="I394">
        <v>57</v>
      </c>
      <c r="J394" t="s">
        <v>15</v>
      </c>
      <c r="K394">
        <v>1516</v>
      </c>
      <c r="L394" t="s">
        <v>16</v>
      </c>
    </row>
    <row r="395" spans="1:12" x14ac:dyDescent="0.3">
      <c r="A395">
        <v>2016</v>
      </c>
      <c r="B395" t="s">
        <v>46</v>
      </c>
      <c r="C395">
        <v>103</v>
      </c>
      <c r="D395">
        <v>2996.6</v>
      </c>
      <c r="E395">
        <v>39</v>
      </c>
      <c r="F395" t="s">
        <v>47</v>
      </c>
      <c r="G395" t="s">
        <v>21</v>
      </c>
      <c r="H395">
        <v>56</v>
      </c>
      <c r="I395">
        <v>57</v>
      </c>
      <c r="J395" t="s">
        <v>15</v>
      </c>
      <c r="K395">
        <v>57259</v>
      </c>
      <c r="L395" t="s">
        <v>16</v>
      </c>
    </row>
    <row r="396" spans="1:12" x14ac:dyDescent="0.3">
      <c r="A396">
        <v>2017</v>
      </c>
      <c r="B396" t="s">
        <v>46</v>
      </c>
      <c r="C396">
        <v>8239</v>
      </c>
      <c r="D396">
        <v>2996.6</v>
      </c>
      <c r="E396">
        <v>40</v>
      </c>
      <c r="F396" t="s">
        <v>47</v>
      </c>
      <c r="G396" t="s">
        <v>21</v>
      </c>
      <c r="H396">
        <v>26</v>
      </c>
      <c r="I396">
        <v>60</v>
      </c>
      <c r="J396" t="s">
        <v>15</v>
      </c>
      <c r="K396">
        <v>234779</v>
      </c>
      <c r="L396" t="s">
        <v>16</v>
      </c>
    </row>
    <row r="397" spans="1:12" x14ac:dyDescent="0.3">
      <c r="A397">
        <v>2018</v>
      </c>
      <c r="B397" t="s">
        <v>46</v>
      </c>
      <c r="C397">
        <v>44563</v>
      </c>
      <c r="D397">
        <v>2996.6</v>
      </c>
      <c r="E397">
        <v>40</v>
      </c>
      <c r="F397" t="s">
        <v>47</v>
      </c>
      <c r="G397" t="s">
        <v>21</v>
      </c>
      <c r="H397">
        <v>98</v>
      </c>
      <c r="I397">
        <v>57</v>
      </c>
      <c r="J397" t="s">
        <v>15</v>
      </c>
      <c r="K397">
        <v>1493</v>
      </c>
      <c r="L397" t="s">
        <v>16</v>
      </c>
    </row>
    <row r="398" spans="1:12" x14ac:dyDescent="0.3">
      <c r="A398">
        <v>2004</v>
      </c>
      <c r="B398" t="s">
        <v>46</v>
      </c>
      <c r="C398">
        <v>96</v>
      </c>
      <c r="D398">
        <v>3522.8</v>
      </c>
      <c r="E398">
        <v>40</v>
      </c>
      <c r="F398" t="s">
        <v>47</v>
      </c>
      <c r="G398" t="s">
        <v>21</v>
      </c>
      <c r="H398">
        <v>3</v>
      </c>
      <c r="I398">
        <v>57</v>
      </c>
      <c r="J398" t="s">
        <v>15</v>
      </c>
      <c r="K398">
        <v>64409</v>
      </c>
      <c r="L398" t="s">
        <v>16</v>
      </c>
    </row>
    <row r="399" spans="1:12" x14ac:dyDescent="0.3">
      <c r="A399">
        <v>2005</v>
      </c>
      <c r="B399" t="s">
        <v>46</v>
      </c>
      <c r="C399">
        <v>6949</v>
      </c>
      <c r="D399">
        <v>3522.8</v>
      </c>
      <c r="E399">
        <v>41</v>
      </c>
      <c r="F399" t="s">
        <v>47</v>
      </c>
      <c r="G399" t="s">
        <v>21</v>
      </c>
      <c r="H399">
        <v>58637</v>
      </c>
      <c r="I399">
        <v>54</v>
      </c>
      <c r="J399" t="s">
        <v>15</v>
      </c>
      <c r="K399">
        <v>249978</v>
      </c>
      <c r="L399" t="s">
        <v>16</v>
      </c>
    </row>
    <row r="400" spans="1:12" x14ac:dyDescent="0.3">
      <c r="A400">
        <v>2006</v>
      </c>
      <c r="B400" t="s">
        <v>46</v>
      </c>
      <c r="C400">
        <v>44663</v>
      </c>
      <c r="D400">
        <v>3522.8</v>
      </c>
      <c r="E400">
        <v>41</v>
      </c>
      <c r="F400" t="s">
        <v>47</v>
      </c>
      <c r="G400" t="s">
        <v>21</v>
      </c>
      <c r="H400">
        <v>59777</v>
      </c>
      <c r="I400">
        <v>54.5</v>
      </c>
      <c r="J400" t="s">
        <v>15</v>
      </c>
      <c r="K400">
        <v>637</v>
      </c>
      <c r="L400" t="s">
        <v>16</v>
      </c>
    </row>
    <row r="401" spans="1:12" x14ac:dyDescent="0.3">
      <c r="A401">
        <v>2007</v>
      </c>
      <c r="B401" t="s">
        <v>46</v>
      </c>
      <c r="C401">
        <v>110</v>
      </c>
      <c r="D401">
        <v>3729.8</v>
      </c>
      <c r="E401">
        <v>41</v>
      </c>
      <c r="F401" t="s">
        <v>47</v>
      </c>
      <c r="G401" t="s">
        <v>21</v>
      </c>
      <c r="H401">
        <v>60528</v>
      </c>
      <c r="I401">
        <v>56.6</v>
      </c>
      <c r="J401" t="s">
        <v>15</v>
      </c>
      <c r="K401">
        <v>43311</v>
      </c>
      <c r="L401" t="s">
        <v>16</v>
      </c>
    </row>
    <row r="402" spans="1:12" x14ac:dyDescent="0.3">
      <c r="A402">
        <v>2008</v>
      </c>
      <c r="B402" t="s">
        <v>46</v>
      </c>
      <c r="C402">
        <v>6824</v>
      </c>
      <c r="D402">
        <v>3729.8</v>
      </c>
      <c r="E402">
        <v>42</v>
      </c>
      <c r="F402" t="s">
        <v>48</v>
      </c>
      <c r="G402" t="s">
        <v>21</v>
      </c>
      <c r="H402">
        <v>61126</v>
      </c>
      <c r="I402">
        <v>55.5</v>
      </c>
      <c r="J402" t="s">
        <v>49</v>
      </c>
      <c r="K402">
        <v>24848</v>
      </c>
      <c r="L402" t="s">
        <v>16</v>
      </c>
    </row>
    <row r="403" spans="1:12" x14ac:dyDescent="0.3">
      <c r="A403">
        <v>2009</v>
      </c>
      <c r="B403" t="s">
        <v>46</v>
      </c>
      <c r="C403">
        <v>43013</v>
      </c>
      <c r="D403">
        <v>3729.8</v>
      </c>
      <c r="E403">
        <v>42</v>
      </c>
      <c r="F403" t="s">
        <v>48</v>
      </c>
      <c r="G403" t="s">
        <v>21</v>
      </c>
      <c r="H403">
        <v>623687</v>
      </c>
      <c r="I403">
        <v>58.5</v>
      </c>
      <c r="J403" t="s">
        <v>49</v>
      </c>
      <c r="K403">
        <v>761</v>
      </c>
      <c r="L403" t="s">
        <v>16</v>
      </c>
    </row>
    <row r="404" spans="1:12" x14ac:dyDescent="0.3">
      <c r="A404">
        <v>2010</v>
      </c>
      <c r="B404" t="s">
        <v>46</v>
      </c>
      <c r="C404">
        <v>95</v>
      </c>
      <c r="D404">
        <v>2746.2</v>
      </c>
      <c r="E404">
        <v>42</v>
      </c>
      <c r="F404" t="s">
        <v>48</v>
      </c>
      <c r="G404" t="s">
        <v>21</v>
      </c>
      <c r="H404">
        <v>63504</v>
      </c>
      <c r="I404">
        <v>59.5</v>
      </c>
      <c r="J404" t="s">
        <v>49</v>
      </c>
      <c r="K404">
        <v>45608</v>
      </c>
      <c r="L404" t="s">
        <v>16</v>
      </c>
    </row>
    <row r="405" spans="1:12" x14ac:dyDescent="0.3">
      <c r="A405">
        <v>2011</v>
      </c>
      <c r="B405" t="s">
        <v>46</v>
      </c>
      <c r="C405">
        <v>6441</v>
      </c>
      <c r="D405">
        <v>2746.2</v>
      </c>
      <c r="E405">
        <v>43</v>
      </c>
      <c r="F405" t="s">
        <v>48</v>
      </c>
      <c r="G405" t="s">
        <v>21</v>
      </c>
      <c r="H405">
        <v>63931</v>
      </c>
      <c r="I405">
        <v>55</v>
      </c>
      <c r="J405" t="s">
        <v>49</v>
      </c>
      <c r="K405">
        <v>234581</v>
      </c>
      <c r="L405" t="s">
        <v>16</v>
      </c>
    </row>
    <row r="406" spans="1:12" x14ac:dyDescent="0.3">
      <c r="A406">
        <v>2012</v>
      </c>
      <c r="B406" t="s">
        <v>46</v>
      </c>
      <c r="C406">
        <v>4012</v>
      </c>
      <c r="D406">
        <v>2746.2</v>
      </c>
      <c r="E406">
        <v>43</v>
      </c>
      <c r="F406" t="s">
        <v>48</v>
      </c>
      <c r="G406" t="s">
        <v>21</v>
      </c>
      <c r="H406">
        <v>73730</v>
      </c>
      <c r="I406">
        <v>53</v>
      </c>
      <c r="J406" t="s">
        <v>49</v>
      </c>
      <c r="K406">
        <v>646</v>
      </c>
      <c r="L406" t="s">
        <v>16</v>
      </c>
    </row>
    <row r="407" spans="1:12" x14ac:dyDescent="0.3">
      <c r="A407">
        <v>2013</v>
      </c>
      <c r="B407" t="s">
        <v>46</v>
      </c>
      <c r="C407">
        <v>4877</v>
      </c>
      <c r="D407">
        <v>3360</v>
      </c>
      <c r="E407">
        <v>27</v>
      </c>
      <c r="F407" t="s">
        <v>48</v>
      </c>
      <c r="G407" t="s">
        <v>26</v>
      </c>
      <c r="H407">
        <v>118416</v>
      </c>
      <c r="I407">
        <v>53.5</v>
      </c>
      <c r="J407" t="s">
        <v>15</v>
      </c>
      <c r="K407">
        <v>43562</v>
      </c>
      <c r="L407" t="s">
        <v>16</v>
      </c>
    </row>
    <row r="408" spans="1:12" x14ac:dyDescent="0.3">
      <c r="A408">
        <v>2014</v>
      </c>
      <c r="B408" t="s">
        <v>46</v>
      </c>
      <c r="C408">
        <v>4930</v>
      </c>
      <c r="D408">
        <v>3360</v>
      </c>
      <c r="E408">
        <v>27</v>
      </c>
      <c r="F408" t="s">
        <v>48</v>
      </c>
      <c r="G408" t="s">
        <v>26</v>
      </c>
      <c r="H408">
        <v>130132</v>
      </c>
      <c r="I408">
        <v>52.5</v>
      </c>
      <c r="J408" t="s">
        <v>15</v>
      </c>
      <c r="K408">
        <v>200000</v>
      </c>
      <c r="L408" t="s">
        <v>16</v>
      </c>
    </row>
    <row r="409" spans="1:12" x14ac:dyDescent="0.3">
      <c r="A409">
        <v>2015</v>
      </c>
      <c r="B409" t="s">
        <v>46</v>
      </c>
      <c r="C409">
        <v>4954</v>
      </c>
      <c r="D409">
        <v>3360</v>
      </c>
      <c r="E409">
        <v>27</v>
      </c>
      <c r="F409" t="s">
        <v>48</v>
      </c>
      <c r="G409" t="s">
        <v>26</v>
      </c>
      <c r="H409">
        <v>154889</v>
      </c>
      <c r="I409">
        <v>56</v>
      </c>
      <c r="J409" t="s">
        <v>15</v>
      </c>
      <c r="K409">
        <v>4847</v>
      </c>
      <c r="L409" t="s">
        <v>16</v>
      </c>
    </row>
    <row r="410" spans="1:12" x14ac:dyDescent="0.3">
      <c r="A410">
        <v>2016</v>
      </c>
      <c r="B410" t="s">
        <v>46</v>
      </c>
      <c r="C410">
        <v>5019</v>
      </c>
      <c r="D410">
        <v>3605.4</v>
      </c>
      <c r="E410">
        <v>27</v>
      </c>
      <c r="F410" t="s">
        <v>48</v>
      </c>
      <c r="G410" t="s">
        <v>26</v>
      </c>
      <c r="H410">
        <v>171739</v>
      </c>
      <c r="I410">
        <v>57</v>
      </c>
      <c r="J410" t="s">
        <v>15</v>
      </c>
      <c r="K410">
        <v>51239</v>
      </c>
      <c r="L410" t="s">
        <v>16</v>
      </c>
    </row>
    <row r="411" spans="1:12" x14ac:dyDescent="0.3">
      <c r="A411">
        <v>2017</v>
      </c>
      <c r="B411" t="s">
        <v>46</v>
      </c>
      <c r="C411">
        <v>5127</v>
      </c>
      <c r="D411">
        <v>3605.4</v>
      </c>
      <c r="E411">
        <v>27</v>
      </c>
      <c r="F411" t="s">
        <v>48</v>
      </c>
      <c r="G411" t="s">
        <v>26</v>
      </c>
      <c r="H411">
        <v>172475</v>
      </c>
      <c r="I411">
        <v>57.5</v>
      </c>
      <c r="J411" t="s">
        <v>15</v>
      </c>
      <c r="K411">
        <v>216396</v>
      </c>
      <c r="L411" t="s">
        <v>16</v>
      </c>
    </row>
    <row r="412" spans="1:12" x14ac:dyDescent="0.3">
      <c r="A412">
        <v>2018</v>
      </c>
      <c r="B412" t="s">
        <v>46</v>
      </c>
      <c r="C412">
        <v>5174</v>
      </c>
      <c r="D412">
        <v>3605.4</v>
      </c>
      <c r="E412">
        <v>27</v>
      </c>
      <c r="F412" t="s">
        <v>48</v>
      </c>
      <c r="G412" t="s">
        <v>26</v>
      </c>
      <c r="H412">
        <v>177939</v>
      </c>
      <c r="I412">
        <v>57</v>
      </c>
      <c r="J412" t="s">
        <v>15</v>
      </c>
      <c r="K412">
        <v>2644</v>
      </c>
      <c r="L412" t="s">
        <v>16</v>
      </c>
    </row>
    <row r="413" spans="1:12" x14ac:dyDescent="0.3">
      <c r="A413">
        <v>2013</v>
      </c>
      <c r="B413" t="s">
        <v>46</v>
      </c>
      <c r="C413">
        <v>5294</v>
      </c>
      <c r="D413">
        <v>3512.4</v>
      </c>
      <c r="E413">
        <v>27.2</v>
      </c>
      <c r="F413" t="s">
        <v>48</v>
      </c>
      <c r="G413" t="s">
        <v>26</v>
      </c>
      <c r="H413">
        <v>313547</v>
      </c>
      <c r="I413">
        <v>55</v>
      </c>
      <c r="J413" t="s">
        <v>15</v>
      </c>
      <c r="K413">
        <v>44235</v>
      </c>
      <c r="L413" t="s">
        <v>16</v>
      </c>
    </row>
    <row r="414" spans="1:12" x14ac:dyDescent="0.3">
      <c r="A414">
        <v>2014</v>
      </c>
      <c r="B414" t="s">
        <v>46</v>
      </c>
      <c r="C414">
        <v>5474</v>
      </c>
      <c r="D414">
        <v>3512.4</v>
      </c>
      <c r="E414">
        <v>27.2</v>
      </c>
      <c r="F414" t="s">
        <v>48</v>
      </c>
      <c r="G414" t="s">
        <v>26</v>
      </c>
      <c r="H414">
        <v>2783</v>
      </c>
      <c r="I414">
        <v>56</v>
      </c>
      <c r="J414" t="s">
        <v>15</v>
      </c>
      <c r="K414">
        <v>203317</v>
      </c>
      <c r="L414" t="s">
        <v>16</v>
      </c>
    </row>
    <row r="415" spans="1:12" x14ac:dyDescent="0.3">
      <c r="A415">
        <v>2015</v>
      </c>
      <c r="B415" t="s">
        <v>46</v>
      </c>
      <c r="C415">
        <v>5864</v>
      </c>
      <c r="D415">
        <v>3512.4</v>
      </c>
      <c r="E415">
        <v>27.2</v>
      </c>
      <c r="F415" t="s">
        <v>48</v>
      </c>
      <c r="G415" t="s">
        <v>26</v>
      </c>
      <c r="H415">
        <v>1533</v>
      </c>
      <c r="I415">
        <v>54</v>
      </c>
      <c r="J415" t="s">
        <v>15</v>
      </c>
      <c r="K415">
        <v>2134</v>
      </c>
      <c r="L415" t="s">
        <v>16</v>
      </c>
    </row>
    <row r="416" spans="1:12" x14ac:dyDescent="0.3">
      <c r="A416">
        <v>2016</v>
      </c>
      <c r="B416" t="s">
        <v>46</v>
      </c>
      <c r="C416">
        <v>7028</v>
      </c>
      <c r="D416">
        <v>3296</v>
      </c>
      <c r="E416">
        <v>27</v>
      </c>
      <c r="F416" t="s">
        <v>48</v>
      </c>
      <c r="G416" t="s">
        <v>26</v>
      </c>
      <c r="H416">
        <v>1647</v>
      </c>
      <c r="I416">
        <v>58</v>
      </c>
      <c r="J416" t="s">
        <v>15</v>
      </c>
      <c r="K416">
        <v>45186</v>
      </c>
      <c r="L416" t="s">
        <v>16</v>
      </c>
    </row>
    <row r="417" spans="1:12" x14ac:dyDescent="0.3">
      <c r="A417">
        <v>2017</v>
      </c>
      <c r="B417" t="s">
        <v>46</v>
      </c>
      <c r="C417">
        <v>7403</v>
      </c>
      <c r="D417">
        <v>3296</v>
      </c>
      <c r="E417">
        <v>27</v>
      </c>
      <c r="F417" t="s">
        <v>48</v>
      </c>
      <c r="G417" t="s">
        <v>26</v>
      </c>
      <c r="H417">
        <v>975</v>
      </c>
      <c r="I417">
        <v>58</v>
      </c>
      <c r="J417" t="s">
        <v>15</v>
      </c>
      <c r="K417">
        <v>238542</v>
      </c>
      <c r="L417" t="s">
        <v>16</v>
      </c>
    </row>
    <row r="418" spans="1:12" x14ac:dyDescent="0.3">
      <c r="A418">
        <v>2018</v>
      </c>
      <c r="B418" t="s">
        <v>46</v>
      </c>
      <c r="C418">
        <v>7501</v>
      </c>
      <c r="D418">
        <v>3296</v>
      </c>
      <c r="E418">
        <v>27</v>
      </c>
      <c r="F418" t="s">
        <v>48</v>
      </c>
      <c r="G418" t="s">
        <v>26</v>
      </c>
      <c r="H418">
        <v>2</v>
      </c>
      <c r="I418">
        <v>59</v>
      </c>
      <c r="J418" t="s">
        <v>15</v>
      </c>
      <c r="K418">
        <v>1516</v>
      </c>
      <c r="L418" t="s">
        <v>16</v>
      </c>
    </row>
    <row r="419" spans="1:12" x14ac:dyDescent="0.3">
      <c r="A419">
        <v>2004</v>
      </c>
      <c r="B419" t="s">
        <v>46</v>
      </c>
      <c r="C419">
        <v>7714</v>
      </c>
      <c r="D419">
        <v>3550</v>
      </c>
      <c r="E419">
        <v>27</v>
      </c>
      <c r="F419" t="s">
        <v>48</v>
      </c>
      <c r="G419" t="s">
        <v>26</v>
      </c>
      <c r="H419">
        <v>836</v>
      </c>
      <c r="I419">
        <v>50</v>
      </c>
      <c r="J419" t="s">
        <v>15</v>
      </c>
      <c r="K419">
        <v>57259</v>
      </c>
      <c r="L419" t="s">
        <v>16</v>
      </c>
    </row>
    <row r="420" spans="1:12" x14ac:dyDescent="0.3">
      <c r="A420">
        <v>2005</v>
      </c>
      <c r="B420" t="s">
        <v>46</v>
      </c>
      <c r="C420">
        <v>7856</v>
      </c>
      <c r="D420">
        <v>3550</v>
      </c>
      <c r="E420">
        <v>27</v>
      </c>
      <c r="F420" t="s">
        <v>48</v>
      </c>
      <c r="G420" t="s">
        <v>26</v>
      </c>
      <c r="H420">
        <v>806</v>
      </c>
      <c r="I420">
        <v>54</v>
      </c>
      <c r="J420" t="s">
        <v>15</v>
      </c>
      <c r="K420">
        <v>234779</v>
      </c>
      <c r="L420" t="s">
        <v>16</v>
      </c>
    </row>
    <row r="421" spans="1:12" x14ac:dyDescent="0.3">
      <c r="A421">
        <v>2006</v>
      </c>
      <c r="B421" t="s">
        <v>46</v>
      </c>
      <c r="C421">
        <v>32</v>
      </c>
      <c r="D421">
        <v>3550</v>
      </c>
      <c r="E421">
        <v>27</v>
      </c>
      <c r="F421" t="s">
        <v>48</v>
      </c>
      <c r="G421" t="s">
        <v>26</v>
      </c>
      <c r="H421">
        <v>880</v>
      </c>
      <c r="I421">
        <v>53</v>
      </c>
      <c r="J421" t="s">
        <v>15</v>
      </c>
      <c r="K421">
        <v>1493</v>
      </c>
      <c r="L421" t="s">
        <v>16</v>
      </c>
    </row>
    <row r="422" spans="1:12" x14ac:dyDescent="0.3">
      <c r="A422">
        <v>2007</v>
      </c>
      <c r="B422" t="s">
        <v>46</v>
      </c>
      <c r="C422">
        <v>1</v>
      </c>
      <c r="D422">
        <v>3654</v>
      </c>
      <c r="E422">
        <v>27.2</v>
      </c>
      <c r="F422" t="s">
        <v>48</v>
      </c>
      <c r="G422" t="s">
        <v>26</v>
      </c>
      <c r="H422">
        <v>770</v>
      </c>
      <c r="I422">
        <v>52</v>
      </c>
      <c r="J422" t="s">
        <v>15</v>
      </c>
      <c r="K422">
        <v>64409</v>
      </c>
      <c r="L422" t="s">
        <v>16</v>
      </c>
    </row>
    <row r="423" spans="1:12" x14ac:dyDescent="0.3">
      <c r="A423">
        <v>2008</v>
      </c>
      <c r="B423" t="s">
        <v>46</v>
      </c>
      <c r="C423">
        <v>30</v>
      </c>
      <c r="D423">
        <v>3654</v>
      </c>
      <c r="E423">
        <v>27.2</v>
      </c>
      <c r="F423" t="s">
        <v>48</v>
      </c>
      <c r="G423" t="s">
        <v>26</v>
      </c>
      <c r="H423">
        <v>395</v>
      </c>
      <c r="I423">
        <v>51</v>
      </c>
      <c r="J423" t="s">
        <v>15</v>
      </c>
      <c r="K423">
        <v>249978</v>
      </c>
      <c r="L423" t="s">
        <v>16</v>
      </c>
    </row>
    <row r="424" spans="1:12" x14ac:dyDescent="0.3">
      <c r="A424">
        <v>2009</v>
      </c>
      <c r="B424" t="s">
        <v>46</v>
      </c>
      <c r="C424">
        <v>6</v>
      </c>
      <c r="D424">
        <v>3654</v>
      </c>
      <c r="E424">
        <v>27.2</v>
      </c>
      <c r="F424" t="s">
        <v>48</v>
      </c>
      <c r="G424" t="s">
        <v>26</v>
      </c>
      <c r="H424">
        <v>187</v>
      </c>
      <c r="I424">
        <v>57</v>
      </c>
      <c r="J424" t="s">
        <v>15</v>
      </c>
      <c r="K424">
        <v>637</v>
      </c>
      <c r="L424" t="s">
        <v>16</v>
      </c>
    </row>
    <row r="425" spans="1:12" x14ac:dyDescent="0.3">
      <c r="A425">
        <v>2010</v>
      </c>
      <c r="B425" t="s">
        <v>46</v>
      </c>
      <c r="C425">
        <v>15</v>
      </c>
      <c r="D425">
        <v>233</v>
      </c>
      <c r="E425">
        <v>27.1</v>
      </c>
      <c r="F425" t="s">
        <v>48</v>
      </c>
      <c r="G425" t="s">
        <v>26</v>
      </c>
      <c r="H425">
        <v>187</v>
      </c>
      <c r="I425">
        <v>57</v>
      </c>
      <c r="J425" t="s">
        <v>15</v>
      </c>
      <c r="K425">
        <v>43311</v>
      </c>
      <c r="L425" t="s">
        <v>16</v>
      </c>
    </row>
    <row r="426" spans="1:12" x14ac:dyDescent="0.3">
      <c r="A426">
        <v>2011</v>
      </c>
      <c r="B426" t="s">
        <v>46</v>
      </c>
      <c r="C426">
        <v>4</v>
      </c>
      <c r="D426">
        <v>233</v>
      </c>
      <c r="E426">
        <v>27.1</v>
      </c>
      <c r="F426" t="s">
        <v>48</v>
      </c>
      <c r="G426" t="s">
        <v>26</v>
      </c>
      <c r="H426">
        <v>121</v>
      </c>
      <c r="I426">
        <v>60</v>
      </c>
      <c r="J426" t="s">
        <v>15</v>
      </c>
      <c r="K426">
        <v>24848</v>
      </c>
      <c r="L426" t="s">
        <v>16</v>
      </c>
    </row>
    <row r="427" spans="1:12" x14ac:dyDescent="0.3">
      <c r="A427">
        <v>2012</v>
      </c>
      <c r="B427" t="s">
        <v>18</v>
      </c>
      <c r="C427">
        <v>39</v>
      </c>
      <c r="D427">
        <v>233</v>
      </c>
      <c r="E427">
        <v>27.1</v>
      </c>
      <c r="F427" t="s">
        <v>48</v>
      </c>
      <c r="G427" t="s">
        <v>26</v>
      </c>
      <c r="H427">
        <v>103</v>
      </c>
      <c r="I427">
        <v>57</v>
      </c>
      <c r="J427" t="s">
        <v>15</v>
      </c>
      <c r="K427">
        <v>761</v>
      </c>
      <c r="L427" t="s">
        <v>16</v>
      </c>
    </row>
    <row r="428" spans="1:12" x14ac:dyDescent="0.3">
      <c r="A428">
        <v>2013</v>
      </c>
      <c r="B428" t="s">
        <v>18</v>
      </c>
      <c r="C428">
        <v>6</v>
      </c>
      <c r="D428">
        <v>234</v>
      </c>
      <c r="E428">
        <v>26.8</v>
      </c>
      <c r="F428" t="s">
        <v>48</v>
      </c>
      <c r="G428" t="s">
        <v>26</v>
      </c>
      <c r="H428">
        <v>71</v>
      </c>
      <c r="I428">
        <v>57</v>
      </c>
      <c r="J428" t="s">
        <v>15</v>
      </c>
      <c r="K428">
        <v>45608</v>
      </c>
      <c r="L428" t="s">
        <v>16</v>
      </c>
    </row>
    <row r="429" spans="1:12" x14ac:dyDescent="0.3">
      <c r="A429">
        <v>2014</v>
      </c>
      <c r="B429" t="s">
        <v>18</v>
      </c>
      <c r="C429">
        <v>12</v>
      </c>
      <c r="D429">
        <v>234</v>
      </c>
      <c r="E429">
        <v>26.8</v>
      </c>
      <c r="F429" t="s">
        <v>48</v>
      </c>
      <c r="G429" t="s">
        <v>26</v>
      </c>
      <c r="H429">
        <v>3961</v>
      </c>
      <c r="I429">
        <v>54</v>
      </c>
      <c r="J429" t="s">
        <v>15</v>
      </c>
      <c r="K429">
        <v>234581</v>
      </c>
      <c r="L429" t="s">
        <v>16</v>
      </c>
    </row>
    <row r="430" spans="1:12" x14ac:dyDescent="0.3">
      <c r="A430">
        <v>2015</v>
      </c>
      <c r="B430" t="s">
        <v>18</v>
      </c>
      <c r="C430">
        <v>3</v>
      </c>
      <c r="D430">
        <v>234</v>
      </c>
      <c r="E430">
        <v>26.8</v>
      </c>
      <c r="F430" t="s">
        <v>48</v>
      </c>
      <c r="G430" t="s">
        <v>26</v>
      </c>
      <c r="H430">
        <v>4247</v>
      </c>
      <c r="I430">
        <v>54.5</v>
      </c>
      <c r="J430" t="s">
        <v>15</v>
      </c>
      <c r="K430">
        <v>646</v>
      </c>
      <c r="L430" t="s">
        <v>16</v>
      </c>
    </row>
    <row r="431" spans="1:12" x14ac:dyDescent="0.3">
      <c r="A431">
        <v>2016</v>
      </c>
      <c r="B431" t="s">
        <v>18</v>
      </c>
      <c r="C431">
        <v>17</v>
      </c>
      <c r="D431">
        <v>3105</v>
      </c>
      <c r="E431">
        <v>37</v>
      </c>
      <c r="F431" t="s">
        <v>48</v>
      </c>
      <c r="G431" t="s">
        <v>26</v>
      </c>
      <c r="H431">
        <v>3290</v>
      </c>
      <c r="I431">
        <v>56.6</v>
      </c>
      <c r="J431" t="s">
        <v>15</v>
      </c>
      <c r="K431">
        <v>43562</v>
      </c>
      <c r="L431" t="s">
        <v>16</v>
      </c>
    </row>
    <row r="432" spans="1:12" x14ac:dyDescent="0.3">
      <c r="A432">
        <v>2017</v>
      </c>
      <c r="B432" t="s">
        <v>18</v>
      </c>
      <c r="C432">
        <v>3</v>
      </c>
      <c r="D432">
        <v>3105</v>
      </c>
      <c r="E432">
        <v>37</v>
      </c>
      <c r="F432" t="s">
        <v>48</v>
      </c>
      <c r="G432" t="s">
        <v>26</v>
      </c>
      <c r="H432">
        <v>3138</v>
      </c>
      <c r="I432">
        <v>55.5</v>
      </c>
      <c r="J432" t="s">
        <v>15</v>
      </c>
      <c r="K432">
        <v>200000</v>
      </c>
      <c r="L432" t="s">
        <v>16</v>
      </c>
    </row>
    <row r="433" spans="1:12" x14ac:dyDescent="0.3">
      <c r="A433">
        <v>2018</v>
      </c>
      <c r="B433" t="s">
        <v>18</v>
      </c>
      <c r="C433">
        <v>9</v>
      </c>
      <c r="D433">
        <v>3105</v>
      </c>
      <c r="E433">
        <v>37</v>
      </c>
      <c r="F433" t="s">
        <v>48</v>
      </c>
      <c r="G433" t="s">
        <v>26</v>
      </c>
      <c r="H433">
        <v>3423</v>
      </c>
      <c r="I433">
        <v>58.5</v>
      </c>
      <c r="J433" t="s">
        <v>15</v>
      </c>
      <c r="K433">
        <v>4847</v>
      </c>
      <c r="L433" t="s">
        <v>16</v>
      </c>
    </row>
    <row r="434" spans="1:12" x14ac:dyDescent="0.3">
      <c r="A434">
        <v>2015</v>
      </c>
      <c r="B434" t="s">
        <v>18</v>
      </c>
      <c r="C434">
        <v>21</v>
      </c>
      <c r="D434">
        <v>236</v>
      </c>
      <c r="E434">
        <v>38</v>
      </c>
      <c r="F434" t="s">
        <v>48</v>
      </c>
      <c r="G434" t="s">
        <v>26</v>
      </c>
      <c r="H434">
        <v>3899</v>
      </c>
      <c r="I434">
        <v>59.5</v>
      </c>
      <c r="J434" t="s">
        <v>15</v>
      </c>
      <c r="K434">
        <v>51239</v>
      </c>
      <c r="L434" t="s">
        <v>16</v>
      </c>
    </row>
    <row r="435" spans="1:12" x14ac:dyDescent="0.3">
      <c r="A435">
        <v>2016</v>
      </c>
      <c r="B435" t="s">
        <v>18</v>
      </c>
      <c r="C435">
        <v>11</v>
      </c>
      <c r="D435">
        <v>236</v>
      </c>
      <c r="E435">
        <v>38</v>
      </c>
      <c r="F435" t="s">
        <v>48</v>
      </c>
      <c r="G435" t="s">
        <v>26</v>
      </c>
      <c r="H435">
        <v>4015</v>
      </c>
      <c r="I435">
        <v>55</v>
      </c>
      <c r="J435" t="s">
        <v>15</v>
      </c>
      <c r="K435">
        <v>216396</v>
      </c>
      <c r="L435" t="s">
        <v>16</v>
      </c>
    </row>
    <row r="436" spans="1:12" x14ac:dyDescent="0.3">
      <c r="A436">
        <v>2017</v>
      </c>
      <c r="B436" t="s">
        <v>18</v>
      </c>
      <c r="C436">
        <v>4</v>
      </c>
      <c r="D436">
        <v>2903.1</v>
      </c>
      <c r="E436">
        <v>38</v>
      </c>
      <c r="F436" t="s">
        <v>50</v>
      </c>
      <c r="G436" t="s">
        <v>26</v>
      </c>
      <c r="H436">
        <v>4279</v>
      </c>
      <c r="I436">
        <v>53</v>
      </c>
      <c r="J436" t="s">
        <v>15</v>
      </c>
      <c r="K436">
        <v>2644</v>
      </c>
      <c r="L436" t="s">
        <v>16</v>
      </c>
    </row>
    <row r="437" spans="1:12" x14ac:dyDescent="0.3">
      <c r="A437">
        <v>2018</v>
      </c>
      <c r="B437" t="s">
        <v>18</v>
      </c>
      <c r="C437">
        <v>15</v>
      </c>
      <c r="D437">
        <v>2903.1</v>
      </c>
      <c r="E437">
        <v>39</v>
      </c>
      <c r="F437" t="s">
        <v>50</v>
      </c>
      <c r="G437" t="s">
        <v>26</v>
      </c>
      <c r="H437">
        <v>4167</v>
      </c>
      <c r="I437">
        <v>53.5</v>
      </c>
      <c r="J437" t="s">
        <v>15</v>
      </c>
      <c r="K437">
        <v>44235</v>
      </c>
      <c r="L437" t="s">
        <v>16</v>
      </c>
    </row>
    <row r="438" spans="1:12" x14ac:dyDescent="0.3">
      <c r="A438">
        <v>2013</v>
      </c>
      <c r="B438" t="s">
        <v>18</v>
      </c>
      <c r="C438">
        <v>8</v>
      </c>
      <c r="D438">
        <v>2903.1</v>
      </c>
      <c r="E438">
        <v>39</v>
      </c>
      <c r="F438" t="s">
        <v>50</v>
      </c>
      <c r="G438" t="s">
        <v>26</v>
      </c>
      <c r="H438">
        <v>4479</v>
      </c>
      <c r="I438">
        <v>52.5</v>
      </c>
      <c r="J438" t="s">
        <v>15</v>
      </c>
      <c r="K438">
        <v>203317</v>
      </c>
      <c r="L438" t="s">
        <v>16</v>
      </c>
    </row>
    <row r="439" spans="1:12" x14ac:dyDescent="0.3">
      <c r="A439">
        <v>2014</v>
      </c>
      <c r="B439" t="s">
        <v>18</v>
      </c>
      <c r="C439">
        <v>29</v>
      </c>
      <c r="D439">
        <v>2996.6</v>
      </c>
      <c r="E439">
        <v>39</v>
      </c>
      <c r="F439" t="s">
        <v>50</v>
      </c>
      <c r="G439" t="s">
        <v>26</v>
      </c>
      <c r="H439">
        <v>3699</v>
      </c>
      <c r="I439">
        <v>56</v>
      </c>
      <c r="J439" t="s">
        <v>15</v>
      </c>
      <c r="K439">
        <v>2134</v>
      </c>
      <c r="L439" t="s">
        <v>16</v>
      </c>
    </row>
    <row r="440" spans="1:12" x14ac:dyDescent="0.3">
      <c r="A440">
        <v>2015</v>
      </c>
      <c r="B440" t="s">
        <v>18</v>
      </c>
      <c r="C440">
        <v>1</v>
      </c>
      <c r="D440">
        <v>2996.6</v>
      </c>
      <c r="E440">
        <v>41</v>
      </c>
      <c r="F440" t="s">
        <v>50</v>
      </c>
      <c r="G440" t="s">
        <v>26</v>
      </c>
      <c r="H440">
        <v>4904</v>
      </c>
      <c r="I440">
        <v>57</v>
      </c>
      <c r="J440" t="s">
        <v>15</v>
      </c>
      <c r="K440">
        <v>45186</v>
      </c>
      <c r="L440" t="s">
        <v>16</v>
      </c>
    </row>
    <row r="441" spans="1:12" x14ac:dyDescent="0.3">
      <c r="A441">
        <v>2016</v>
      </c>
      <c r="B441" t="s">
        <v>18</v>
      </c>
      <c r="C441">
        <v>13736</v>
      </c>
      <c r="D441">
        <v>2996.6</v>
      </c>
      <c r="E441">
        <v>42</v>
      </c>
      <c r="F441" t="s">
        <v>50</v>
      </c>
      <c r="G441" t="s">
        <v>26</v>
      </c>
      <c r="H441">
        <v>2821</v>
      </c>
      <c r="I441">
        <v>57.5</v>
      </c>
      <c r="J441" t="s">
        <v>15</v>
      </c>
      <c r="K441">
        <v>238542</v>
      </c>
      <c r="L441" t="s">
        <v>16</v>
      </c>
    </row>
    <row r="442" spans="1:12" x14ac:dyDescent="0.3">
      <c r="A442">
        <v>2017</v>
      </c>
      <c r="B442" t="s">
        <v>18</v>
      </c>
      <c r="C442">
        <v>14003</v>
      </c>
      <c r="D442">
        <v>3522.8</v>
      </c>
      <c r="E442">
        <v>42</v>
      </c>
      <c r="F442" t="s">
        <v>50</v>
      </c>
      <c r="G442" t="s">
        <v>26</v>
      </c>
      <c r="H442">
        <v>3472</v>
      </c>
      <c r="I442">
        <v>57</v>
      </c>
      <c r="J442" t="s">
        <v>15</v>
      </c>
      <c r="K442">
        <v>1516</v>
      </c>
      <c r="L442" t="s">
        <v>16</v>
      </c>
    </row>
    <row r="443" spans="1:12" x14ac:dyDescent="0.3">
      <c r="A443">
        <v>2018</v>
      </c>
      <c r="B443" t="s">
        <v>18</v>
      </c>
      <c r="C443">
        <v>14179</v>
      </c>
      <c r="D443">
        <v>3522.8</v>
      </c>
      <c r="E443">
        <v>42</v>
      </c>
      <c r="F443" t="s">
        <v>50</v>
      </c>
      <c r="G443" t="s">
        <v>26</v>
      </c>
      <c r="H443">
        <v>3647</v>
      </c>
      <c r="I443">
        <v>55</v>
      </c>
      <c r="J443" t="s">
        <v>15</v>
      </c>
      <c r="K443">
        <v>200000</v>
      </c>
      <c r="L443" t="s">
        <v>16</v>
      </c>
    </row>
    <row r="444" spans="1:12" x14ac:dyDescent="0.3">
      <c r="A444">
        <v>2004</v>
      </c>
      <c r="B444" t="s">
        <v>18</v>
      </c>
      <c r="C444">
        <v>14319</v>
      </c>
      <c r="D444">
        <v>3522.8</v>
      </c>
      <c r="E444">
        <v>43</v>
      </c>
      <c r="F444" t="s">
        <v>50</v>
      </c>
      <c r="G444" t="s">
        <v>26</v>
      </c>
      <c r="H444">
        <v>393</v>
      </c>
      <c r="I444">
        <v>56</v>
      </c>
      <c r="J444" t="s">
        <v>15</v>
      </c>
      <c r="K444">
        <v>4847</v>
      </c>
      <c r="L444" t="s">
        <v>16</v>
      </c>
    </row>
    <row r="445" spans="1:12" x14ac:dyDescent="0.3">
      <c r="A445">
        <v>2005</v>
      </c>
      <c r="B445" t="s">
        <v>18</v>
      </c>
      <c r="C445">
        <v>14464</v>
      </c>
      <c r="D445">
        <v>3729.8</v>
      </c>
      <c r="E445">
        <v>43</v>
      </c>
      <c r="F445" t="s">
        <v>50</v>
      </c>
      <c r="G445" t="s">
        <v>26</v>
      </c>
      <c r="H445">
        <v>167</v>
      </c>
      <c r="I445">
        <v>54</v>
      </c>
      <c r="J445" t="s">
        <v>15</v>
      </c>
      <c r="K445">
        <v>51239</v>
      </c>
      <c r="L445" t="s">
        <v>16</v>
      </c>
    </row>
    <row r="446" spans="1:12" x14ac:dyDescent="0.3">
      <c r="A446">
        <v>2006</v>
      </c>
      <c r="B446" t="s">
        <v>18</v>
      </c>
      <c r="C446">
        <v>14876</v>
      </c>
      <c r="D446">
        <v>3729.8</v>
      </c>
      <c r="E446">
        <v>128</v>
      </c>
      <c r="F446" t="s">
        <v>50</v>
      </c>
      <c r="G446" t="s">
        <v>26</v>
      </c>
      <c r="H446">
        <v>71</v>
      </c>
      <c r="I446">
        <v>58</v>
      </c>
      <c r="J446" t="s">
        <v>15</v>
      </c>
      <c r="K446">
        <v>216396</v>
      </c>
      <c r="L446" t="s">
        <v>16</v>
      </c>
    </row>
    <row r="447" spans="1:12" x14ac:dyDescent="0.3">
      <c r="A447">
        <v>2007</v>
      </c>
      <c r="B447" t="s">
        <v>18</v>
      </c>
      <c r="C447">
        <v>14976</v>
      </c>
      <c r="D447">
        <v>3729.8</v>
      </c>
      <c r="E447">
        <v>129</v>
      </c>
      <c r="F447" t="s">
        <v>50</v>
      </c>
      <c r="G447" t="s">
        <v>26</v>
      </c>
      <c r="H447">
        <v>52</v>
      </c>
      <c r="I447">
        <v>58</v>
      </c>
      <c r="J447" t="s">
        <v>15</v>
      </c>
      <c r="K447">
        <v>2644</v>
      </c>
      <c r="L447" t="s">
        <v>16</v>
      </c>
    </row>
    <row r="448" spans="1:12" x14ac:dyDescent="0.3">
      <c r="A448">
        <v>2008</v>
      </c>
      <c r="B448" t="s">
        <v>18</v>
      </c>
      <c r="C448">
        <v>15009</v>
      </c>
      <c r="D448">
        <v>2746.2</v>
      </c>
      <c r="E448">
        <v>130</v>
      </c>
      <c r="F448" t="s">
        <v>50</v>
      </c>
      <c r="G448" t="s">
        <v>26</v>
      </c>
      <c r="H448">
        <v>12</v>
      </c>
      <c r="I448">
        <v>59</v>
      </c>
      <c r="J448" t="s">
        <v>15</v>
      </c>
      <c r="K448">
        <v>44235</v>
      </c>
      <c r="L448" t="s">
        <v>16</v>
      </c>
    </row>
    <row r="449" spans="1:12" x14ac:dyDescent="0.3">
      <c r="A449">
        <v>2009</v>
      </c>
      <c r="B449" t="s">
        <v>18</v>
      </c>
      <c r="C449">
        <v>15114</v>
      </c>
      <c r="D449">
        <v>2746.2</v>
      </c>
      <c r="E449">
        <v>131</v>
      </c>
      <c r="F449" t="s">
        <v>50</v>
      </c>
      <c r="G449" t="s">
        <v>26</v>
      </c>
      <c r="H449">
        <v>51</v>
      </c>
      <c r="I449">
        <v>50</v>
      </c>
      <c r="J449" t="s">
        <v>15</v>
      </c>
      <c r="K449">
        <v>203317</v>
      </c>
      <c r="L449" t="s">
        <v>16</v>
      </c>
    </row>
    <row r="450" spans="1:12" x14ac:dyDescent="0.3">
      <c r="A450">
        <v>2010</v>
      </c>
      <c r="B450" t="s">
        <v>18</v>
      </c>
      <c r="C450">
        <v>16224</v>
      </c>
      <c r="D450">
        <v>2746.2</v>
      </c>
      <c r="E450">
        <v>132</v>
      </c>
      <c r="F450" t="s">
        <v>50</v>
      </c>
      <c r="G450" t="s">
        <v>26</v>
      </c>
      <c r="H450">
        <v>61</v>
      </c>
      <c r="I450">
        <v>54</v>
      </c>
      <c r="J450" t="s">
        <v>15</v>
      </c>
      <c r="K450">
        <v>2134</v>
      </c>
      <c r="L450" t="s">
        <v>16</v>
      </c>
    </row>
    <row r="451" spans="1:12" x14ac:dyDescent="0.3">
      <c r="A451">
        <v>2011</v>
      </c>
      <c r="B451" t="s">
        <v>18</v>
      </c>
      <c r="C451">
        <v>17095</v>
      </c>
      <c r="D451">
        <v>3360</v>
      </c>
      <c r="E451">
        <v>133</v>
      </c>
      <c r="F451" t="s">
        <v>50</v>
      </c>
      <c r="G451" t="s">
        <v>14</v>
      </c>
      <c r="H451">
        <v>67</v>
      </c>
      <c r="I451">
        <v>53</v>
      </c>
      <c r="J451" t="s">
        <v>28</v>
      </c>
      <c r="K451">
        <v>45186</v>
      </c>
      <c r="L451" t="s">
        <v>16</v>
      </c>
    </row>
    <row r="452" spans="1:12" x14ac:dyDescent="0.3">
      <c r="A452">
        <v>2012</v>
      </c>
      <c r="B452" t="s">
        <v>18</v>
      </c>
      <c r="C452">
        <v>17512</v>
      </c>
      <c r="D452">
        <v>3360</v>
      </c>
      <c r="E452">
        <v>134</v>
      </c>
      <c r="F452" t="s">
        <v>50</v>
      </c>
      <c r="G452" t="s">
        <v>14</v>
      </c>
      <c r="H452">
        <v>62</v>
      </c>
      <c r="I452">
        <v>52</v>
      </c>
      <c r="J452" t="s">
        <v>28</v>
      </c>
      <c r="K452">
        <v>238542</v>
      </c>
      <c r="L452" t="s">
        <v>16</v>
      </c>
    </row>
    <row r="453" spans="1:12" x14ac:dyDescent="0.3">
      <c r="A453">
        <v>2013</v>
      </c>
      <c r="B453" t="s">
        <v>18</v>
      </c>
      <c r="C453">
        <v>17587</v>
      </c>
      <c r="D453">
        <v>3360</v>
      </c>
      <c r="E453">
        <v>135</v>
      </c>
      <c r="F453" t="s">
        <v>50</v>
      </c>
      <c r="G453" t="s">
        <v>14</v>
      </c>
      <c r="H453">
        <v>32</v>
      </c>
      <c r="I453">
        <v>51</v>
      </c>
      <c r="J453" t="s">
        <v>28</v>
      </c>
      <c r="K453">
        <v>1516</v>
      </c>
      <c r="L453" t="s">
        <v>16</v>
      </c>
    </row>
    <row r="454" spans="1:12" x14ac:dyDescent="0.3">
      <c r="A454">
        <v>2014</v>
      </c>
      <c r="B454" t="s">
        <v>18</v>
      </c>
      <c r="C454">
        <v>17771</v>
      </c>
      <c r="D454">
        <v>3605.4</v>
      </c>
      <c r="E454">
        <v>136</v>
      </c>
      <c r="F454" t="s">
        <v>50</v>
      </c>
      <c r="G454" t="s">
        <v>14</v>
      </c>
      <c r="H454">
        <v>22</v>
      </c>
      <c r="I454">
        <v>57</v>
      </c>
      <c r="J454" t="s">
        <v>28</v>
      </c>
      <c r="K454">
        <v>57259</v>
      </c>
      <c r="L454" t="s">
        <v>16</v>
      </c>
    </row>
    <row r="455" spans="1:12" x14ac:dyDescent="0.3">
      <c r="A455">
        <v>2015</v>
      </c>
      <c r="B455" t="s">
        <v>18</v>
      </c>
      <c r="C455">
        <v>17825</v>
      </c>
      <c r="D455">
        <v>3605.4</v>
      </c>
      <c r="E455">
        <v>137</v>
      </c>
      <c r="F455" t="s">
        <v>51</v>
      </c>
      <c r="G455" t="s">
        <v>14</v>
      </c>
      <c r="H455">
        <v>25</v>
      </c>
      <c r="I455">
        <v>57</v>
      </c>
      <c r="J455" t="s">
        <v>28</v>
      </c>
      <c r="K455">
        <v>234779</v>
      </c>
      <c r="L455" t="s">
        <v>16</v>
      </c>
    </row>
    <row r="456" spans="1:12" x14ac:dyDescent="0.3">
      <c r="A456">
        <v>2016</v>
      </c>
      <c r="B456" t="s">
        <v>18</v>
      </c>
      <c r="C456">
        <v>3147</v>
      </c>
      <c r="D456">
        <v>3605.4</v>
      </c>
      <c r="E456">
        <v>138</v>
      </c>
      <c r="F456" t="s">
        <v>51</v>
      </c>
      <c r="G456" t="s">
        <v>14</v>
      </c>
      <c r="H456">
        <v>4</v>
      </c>
      <c r="I456">
        <v>60</v>
      </c>
      <c r="J456" t="s">
        <v>28</v>
      </c>
      <c r="K456">
        <v>1493</v>
      </c>
      <c r="L456" t="s">
        <v>16</v>
      </c>
    </row>
    <row r="457" spans="1:12" x14ac:dyDescent="0.3">
      <c r="A457">
        <v>2017</v>
      </c>
      <c r="B457" t="s">
        <v>20</v>
      </c>
      <c r="C457">
        <v>2578</v>
      </c>
      <c r="D457">
        <v>3512.4</v>
      </c>
      <c r="E457">
        <v>139</v>
      </c>
      <c r="F457" t="s">
        <v>51</v>
      </c>
      <c r="G457" t="s">
        <v>14</v>
      </c>
      <c r="H457">
        <v>9</v>
      </c>
      <c r="I457">
        <v>57</v>
      </c>
      <c r="J457" t="s">
        <v>29</v>
      </c>
      <c r="K457">
        <v>64409</v>
      </c>
      <c r="L457" t="s">
        <v>16</v>
      </c>
    </row>
    <row r="458" spans="1:12" x14ac:dyDescent="0.3">
      <c r="A458">
        <v>2016</v>
      </c>
      <c r="B458" t="s">
        <v>20</v>
      </c>
      <c r="C458">
        <v>1591</v>
      </c>
      <c r="D458">
        <v>3512.4</v>
      </c>
      <c r="E458">
        <v>140</v>
      </c>
      <c r="F458" t="s">
        <v>51</v>
      </c>
      <c r="G458" t="s">
        <v>14</v>
      </c>
      <c r="H458">
        <v>12</v>
      </c>
      <c r="I458">
        <v>57</v>
      </c>
      <c r="J458" t="s">
        <v>29</v>
      </c>
      <c r="K458">
        <v>249978</v>
      </c>
      <c r="L458" t="s">
        <v>16</v>
      </c>
    </row>
    <row r="459" spans="1:12" x14ac:dyDescent="0.3">
      <c r="A459">
        <v>2017</v>
      </c>
      <c r="B459" t="s">
        <v>20</v>
      </c>
      <c r="C459">
        <v>1298</v>
      </c>
      <c r="D459">
        <v>3512.4</v>
      </c>
      <c r="E459">
        <v>141</v>
      </c>
      <c r="F459" t="s">
        <v>51</v>
      </c>
      <c r="G459" t="s">
        <v>14</v>
      </c>
      <c r="H459">
        <v>2089</v>
      </c>
      <c r="I459">
        <v>54</v>
      </c>
      <c r="J459" t="s">
        <v>29</v>
      </c>
      <c r="K459">
        <v>637</v>
      </c>
      <c r="L459" t="s">
        <v>16</v>
      </c>
    </row>
    <row r="460" spans="1:12" x14ac:dyDescent="0.3">
      <c r="A460">
        <v>2018</v>
      </c>
      <c r="B460" t="s">
        <v>20</v>
      </c>
      <c r="C460">
        <v>4</v>
      </c>
      <c r="D460">
        <v>3296</v>
      </c>
      <c r="E460">
        <v>142</v>
      </c>
      <c r="F460" t="s">
        <v>51</v>
      </c>
      <c r="G460" t="s">
        <v>14</v>
      </c>
      <c r="H460">
        <v>2810</v>
      </c>
      <c r="I460">
        <v>54.5</v>
      </c>
      <c r="J460" t="s">
        <v>29</v>
      </c>
      <c r="K460">
        <v>43311</v>
      </c>
      <c r="L460" t="s">
        <v>16</v>
      </c>
    </row>
    <row r="461" spans="1:12" x14ac:dyDescent="0.3">
      <c r="A461">
        <v>2013</v>
      </c>
      <c r="B461" t="s">
        <v>20</v>
      </c>
      <c r="C461">
        <v>1122</v>
      </c>
      <c r="D461">
        <v>3296</v>
      </c>
      <c r="E461">
        <v>143</v>
      </c>
      <c r="F461" t="s">
        <v>51</v>
      </c>
      <c r="G461" t="s">
        <v>14</v>
      </c>
      <c r="H461">
        <v>841</v>
      </c>
      <c r="I461">
        <v>56.6</v>
      </c>
      <c r="J461" t="s">
        <v>29</v>
      </c>
      <c r="K461">
        <v>24848</v>
      </c>
      <c r="L461" t="s">
        <v>16</v>
      </c>
    </row>
    <row r="462" spans="1:12" x14ac:dyDescent="0.3">
      <c r="A462">
        <v>2014</v>
      </c>
      <c r="B462" t="s">
        <v>20</v>
      </c>
      <c r="C462">
        <v>917</v>
      </c>
      <c r="D462">
        <v>3296</v>
      </c>
      <c r="E462">
        <v>144</v>
      </c>
      <c r="F462" t="s">
        <v>51</v>
      </c>
      <c r="G462" t="s">
        <v>14</v>
      </c>
      <c r="H462">
        <v>3550</v>
      </c>
      <c r="I462">
        <v>55.5</v>
      </c>
      <c r="J462" t="s">
        <v>29</v>
      </c>
      <c r="K462">
        <v>761</v>
      </c>
      <c r="L462" t="s">
        <v>16</v>
      </c>
    </row>
    <row r="463" spans="1:12" x14ac:dyDescent="0.3">
      <c r="A463">
        <v>2015</v>
      </c>
      <c r="B463" t="s">
        <v>20</v>
      </c>
      <c r="C463">
        <v>819</v>
      </c>
      <c r="D463">
        <v>3550</v>
      </c>
      <c r="E463">
        <v>145</v>
      </c>
      <c r="F463" t="s">
        <v>51</v>
      </c>
      <c r="G463" t="s">
        <v>14</v>
      </c>
      <c r="H463">
        <v>109</v>
      </c>
      <c r="I463">
        <v>58.5</v>
      </c>
      <c r="J463" t="s">
        <v>29</v>
      </c>
      <c r="K463">
        <v>45608</v>
      </c>
      <c r="L463" t="s">
        <v>16</v>
      </c>
    </row>
    <row r="464" spans="1:12" x14ac:dyDescent="0.3">
      <c r="A464">
        <v>2016</v>
      </c>
      <c r="B464" t="s">
        <v>20</v>
      </c>
      <c r="C464">
        <v>619</v>
      </c>
      <c r="D464">
        <v>3550</v>
      </c>
      <c r="E464">
        <v>146</v>
      </c>
      <c r="F464" t="s">
        <v>51</v>
      </c>
      <c r="G464" t="s">
        <v>14</v>
      </c>
      <c r="H464">
        <v>3368</v>
      </c>
      <c r="I464">
        <v>59.5</v>
      </c>
      <c r="J464" t="s">
        <v>29</v>
      </c>
      <c r="K464">
        <v>234581</v>
      </c>
      <c r="L464" t="s">
        <v>16</v>
      </c>
    </row>
    <row r="465" spans="1:12" x14ac:dyDescent="0.3">
      <c r="A465">
        <v>2017</v>
      </c>
      <c r="B465" t="s">
        <v>20</v>
      </c>
      <c r="C465">
        <v>391</v>
      </c>
      <c r="D465">
        <v>3550</v>
      </c>
      <c r="E465">
        <v>147</v>
      </c>
      <c r="F465" t="s">
        <v>51</v>
      </c>
      <c r="G465" t="s">
        <v>14</v>
      </c>
      <c r="H465">
        <v>3671</v>
      </c>
      <c r="I465">
        <v>55</v>
      </c>
      <c r="J465" t="s">
        <v>29</v>
      </c>
      <c r="K465">
        <v>646</v>
      </c>
      <c r="L465" t="s">
        <v>16</v>
      </c>
    </row>
    <row r="466" spans="1:12" x14ac:dyDescent="0.3">
      <c r="A466">
        <v>2018</v>
      </c>
      <c r="B466" t="s">
        <v>20</v>
      </c>
      <c r="C466">
        <v>211</v>
      </c>
      <c r="D466">
        <v>3654</v>
      </c>
      <c r="E466">
        <v>148</v>
      </c>
      <c r="F466" t="s">
        <v>27</v>
      </c>
      <c r="G466" t="s">
        <v>14</v>
      </c>
      <c r="H466">
        <v>2404</v>
      </c>
      <c r="I466">
        <v>53</v>
      </c>
      <c r="J466" t="s">
        <v>29</v>
      </c>
      <c r="K466">
        <v>43562</v>
      </c>
      <c r="L466" t="s">
        <v>16</v>
      </c>
    </row>
    <row r="467" spans="1:12" x14ac:dyDescent="0.3">
      <c r="A467">
        <v>2004</v>
      </c>
      <c r="B467" t="s">
        <v>20</v>
      </c>
      <c r="C467">
        <v>153</v>
      </c>
      <c r="D467">
        <v>3654</v>
      </c>
      <c r="E467">
        <v>149</v>
      </c>
      <c r="F467" t="s">
        <v>27</v>
      </c>
      <c r="G467" t="s">
        <v>14</v>
      </c>
      <c r="H467">
        <v>2805</v>
      </c>
      <c r="I467">
        <v>53.5</v>
      </c>
      <c r="J467" t="s">
        <v>29</v>
      </c>
      <c r="K467">
        <v>200000</v>
      </c>
      <c r="L467" t="s">
        <v>16</v>
      </c>
    </row>
    <row r="468" spans="1:12" x14ac:dyDescent="0.3">
      <c r="A468">
        <v>2005</v>
      </c>
      <c r="B468" t="s">
        <v>20</v>
      </c>
      <c r="C468">
        <v>111</v>
      </c>
      <c r="D468">
        <v>3654</v>
      </c>
      <c r="E468">
        <v>150</v>
      </c>
      <c r="F468" t="s">
        <v>27</v>
      </c>
      <c r="G468" t="s">
        <v>14</v>
      </c>
      <c r="H468">
        <v>2331</v>
      </c>
      <c r="I468">
        <v>52.5</v>
      </c>
      <c r="J468" t="s">
        <v>29</v>
      </c>
      <c r="K468">
        <v>4847</v>
      </c>
      <c r="L468" t="s">
        <v>16</v>
      </c>
    </row>
    <row r="469" spans="1:12" x14ac:dyDescent="0.3">
      <c r="A469">
        <v>2006</v>
      </c>
      <c r="B469" t="s">
        <v>20</v>
      </c>
      <c r="C469">
        <v>76</v>
      </c>
      <c r="D469">
        <v>233</v>
      </c>
      <c r="E469">
        <v>151</v>
      </c>
      <c r="F469" t="s">
        <v>27</v>
      </c>
      <c r="G469" t="s">
        <v>14</v>
      </c>
      <c r="H469">
        <v>2088</v>
      </c>
      <c r="I469">
        <v>56</v>
      </c>
      <c r="J469" t="s">
        <v>29</v>
      </c>
      <c r="K469">
        <v>51239</v>
      </c>
      <c r="L469" t="s">
        <v>16</v>
      </c>
    </row>
    <row r="470" spans="1:12" x14ac:dyDescent="0.3">
      <c r="A470">
        <v>2007</v>
      </c>
      <c r="B470" t="s">
        <v>20</v>
      </c>
      <c r="C470">
        <v>53</v>
      </c>
      <c r="D470">
        <v>233</v>
      </c>
      <c r="E470">
        <v>152</v>
      </c>
      <c r="F470" t="s">
        <v>27</v>
      </c>
      <c r="G470" t="s">
        <v>14</v>
      </c>
      <c r="H470">
        <v>2628</v>
      </c>
      <c r="I470">
        <v>57</v>
      </c>
      <c r="J470" t="s">
        <v>29</v>
      </c>
      <c r="K470">
        <v>216396</v>
      </c>
      <c r="L470" t="s">
        <v>16</v>
      </c>
    </row>
    <row r="471" spans="1:12" x14ac:dyDescent="0.3">
      <c r="A471">
        <v>2008</v>
      </c>
      <c r="B471" t="s">
        <v>20</v>
      </c>
      <c r="C471">
        <v>2688</v>
      </c>
      <c r="D471">
        <v>233</v>
      </c>
      <c r="E471">
        <v>153</v>
      </c>
      <c r="F471" t="s">
        <v>27</v>
      </c>
      <c r="G471" t="s">
        <v>14</v>
      </c>
      <c r="H471">
        <v>1939</v>
      </c>
      <c r="I471">
        <v>57.5</v>
      </c>
      <c r="J471" t="s">
        <v>29</v>
      </c>
      <c r="K471">
        <v>2644</v>
      </c>
      <c r="L471" t="s">
        <v>16</v>
      </c>
    </row>
    <row r="472" spans="1:12" x14ac:dyDescent="0.3">
      <c r="A472">
        <v>2009</v>
      </c>
      <c r="B472" t="s">
        <v>20</v>
      </c>
      <c r="C472">
        <v>2311</v>
      </c>
      <c r="D472">
        <v>2903.1</v>
      </c>
      <c r="E472">
        <v>154</v>
      </c>
      <c r="F472" t="s">
        <v>27</v>
      </c>
      <c r="G472" t="s">
        <v>14</v>
      </c>
      <c r="H472">
        <v>1871</v>
      </c>
      <c r="I472">
        <v>57</v>
      </c>
      <c r="J472" t="s">
        <v>30</v>
      </c>
      <c r="K472">
        <v>44235</v>
      </c>
      <c r="L472" t="s">
        <v>16</v>
      </c>
    </row>
    <row r="473" spans="1:12" x14ac:dyDescent="0.3">
      <c r="A473">
        <v>2010</v>
      </c>
      <c r="B473" t="s">
        <v>20</v>
      </c>
      <c r="C473">
        <v>2188</v>
      </c>
      <c r="D473">
        <v>2903.1</v>
      </c>
      <c r="E473">
        <v>155</v>
      </c>
      <c r="F473" t="s">
        <v>27</v>
      </c>
      <c r="G473" t="s">
        <v>14</v>
      </c>
      <c r="H473">
        <v>1868</v>
      </c>
      <c r="I473">
        <v>55</v>
      </c>
      <c r="J473" t="s">
        <v>30</v>
      </c>
      <c r="K473">
        <v>203317</v>
      </c>
      <c r="L473" t="s">
        <v>16</v>
      </c>
    </row>
    <row r="474" spans="1:12" x14ac:dyDescent="0.3">
      <c r="A474">
        <v>2011</v>
      </c>
      <c r="B474" t="s">
        <v>20</v>
      </c>
      <c r="C474">
        <v>1998</v>
      </c>
      <c r="D474">
        <v>2903.1</v>
      </c>
      <c r="E474">
        <v>156</v>
      </c>
      <c r="F474" t="s">
        <v>27</v>
      </c>
      <c r="G474" t="s">
        <v>14</v>
      </c>
      <c r="H474">
        <v>127919</v>
      </c>
      <c r="I474">
        <v>56</v>
      </c>
      <c r="J474" t="s">
        <v>30</v>
      </c>
      <c r="K474">
        <v>2134</v>
      </c>
      <c r="L474" t="s">
        <v>16</v>
      </c>
    </row>
    <row r="475" spans="1:12" x14ac:dyDescent="0.3">
      <c r="A475">
        <v>2012</v>
      </c>
      <c r="B475" t="s">
        <v>20</v>
      </c>
      <c r="C475">
        <v>2006</v>
      </c>
      <c r="D475">
        <v>2996.6</v>
      </c>
      <c r="E475">
        <v>157</v>
      </c>
      <c r="F475" t="s">
        <v>27</v>
      </c>
      <c r="G475" t="s">
        <v>14</v>
      </c>
      <c r="H475">
        <v>75340</v>
      </c>
      <c r="I475">
        <v>54</v>
      </c>
      <c r="J475" t="s">
        <v>30</v>
      </c>
      <c r="K475">
        <v>45186</v>
      </c>
      <c r="L475" t="s">
        <v>16</v>
      </c>
    </row>
    <row r="476" spans="1:12" x14ac:dyDescent="0.3">
      <c r="A476">
        <v>2013</v>
      </c>
      <c r="B476" t="s">
        <v>20</v>
      </c>
      <c r="C476">
        <v>2034</v>
      </c>
      <c r="D476">
        <v>2996.6</v>
      </c>
      <c r="E476">
        <v>158</v>
      </c>
      <c r="F476" t="s">
        <v>36</v>
      </c>
      <c r="G476" t="s">
        <v>14</v>
      </c>
      <c r="H476">
        <v>29170</v>
      </c>
      <c r="I476">
        <v>58</v>
      </c>
      <c r="J476" t="s">
        <v>30</v>
      </c>
      <c r="K476">
        <v>238542</v>
      </c>
      <c r="L476" t="s">
        <v>16</v>
      </c>
    </row>
    <row r="477" spans="1:12" x14ac:dyDescent="0.3">
      <c r="A477">
        <v>2014</v>
      </c>
      <c r="B477" t="s">
        <v>20</v>
      </c>
      <c r="C477">
        <v>2035</v>
      </c>
      <c r="D477">
        <v>2996.6</v>
      </c>
      <c r="E477">
        <v>159</v>
      </c>
      <c r="F477" t="s">
        <v>36</v>
      </c>
      <c r="G477" t="s">
        <v>14</v>
      </c>
      <c r="H477">
        <v>1901</v>
      </c>
      <c r="I477">
        <v>58</v>
      </c>
      <c r="J477" t="s">
        <v>30</v>
      </c>
      <c r="K477">
        <v>1516</v>
      </c>
      <c r="L477" t="s">
        <v>16</v>
      </c>
    </row>
    <row r="478" spans="1:12" x14ac:dyDescent="0.3">
      <c r="A478">
        <v>2015</v>
      </c>
      <c r="B478" t="s">
        <v>20</v>
      </c>
      <c r="C478">
        <v>2074</v>
      </c>
      <c r="D478">
        <v>3522.8</v>
      </c>
      <c r="E478">
        <v>160</v>
      </c>
      <c r="F478" t="s">
        <v>36</v>
      </c>
      <c r="G478" t="s">
        <v>14</v>
      </c>
      <c r="H478">
        <v>972</v>
      </c>
      <c r="I478">
        <v>59</v>
      </c>
      <c r="J478" t="s">
        <v>30</v>
      </c>
      <c r="K478">
        <v>57259</v>
      </c>
      <c r="L478" t="s">
        <v>16</v>
      </c>
    </row>
    <row r="479" spans="1:12" x14ac:dyDescent="0.3">
      <c r="A479">
        <v>2016</v>
      </c>
      <c r="B479" t="s">
        <v>20</v>
      </c>
      <c r="C479">
        <v>2127</v>
      </c>
      <c r="D479">
        <v>3522.8</v>
      </c>
      <c r="E479">
        <v>161</v>
      </c>
      <c r="F479" t="s">
        <v>36</v>
      </c>
      <c r="G479" t="s">
        <v>14</v>
      </c>
      <c r="H479">
        <v>874</v>
      </c>
      <c r="I479">
        <v>50</v>
      </c>
      <c r="J479" t="s">
        <v>30</v>
      </c>
      <c r="K479">
        <v>234779</v>
      </c>
      <c r="L479" t="s">
        <v>16</v>
      </c>
    </row>
    <row r="480" spans="1:12" x14ac:dyDescent="0.3">
      <c r="A480">
        <v>2017</v>
      </c>
      <c r="B480" t="s">
        <v>20</v>
      </c>
      <c r="C480">
        <v>2090</v>
      </c>
      <c r="D480">
        <v>3522.8</v>
      </c>
      <c r="E480">
        <v>162</v>
      </c>
      <c r="F480" t="s">
        <v>36</v>
      </c>
      <c r="G480" t="s">
        <v>14</v>
      </c>
      <c r="H480">
        <v>592</v>
      </c>
      <c r="I480">
        <v>54</v>
      </c>
      <c r="J480" t="s">
        <v>30</v>
      </c>
      <c r="K480">
        <v>1493</v>
      </c>
      <c r="L480" t="s">
        <v>16</v>
      </c>
    </row>
    <row r="481" spans="1:12" x14ac:dyDescent="0.3">
      <c r="A481">
        <v>2016</v>
      </c>
      <c r="B481" t="s">
        <v>20</v>
      </c>
      <c r="C481">
        <v>2059</v>
      </c>
      <c r="D481">
        <v>3729.8</v>
      </c>
      <c r="E481">
        <v>163</v>
      </c>
      <c r="F481" t="s">
        <v>36</v>
      </c>
      <c r="G481" t="s">
        <v>14</v>
      </c>
      <c r="H481">
        <v>864</v>
      </c>
      <c r="I481">
        <v>53</v>
      </c>
      <c r="J481" t="s">
        <v>30</v>
      </c>
      <c r="K481">
        <v>64409</v>
      </c>
      <c r="L481" t="s">
        <v>16</v>
      </c>
    </row>
    <row r="482" spans="1:12" x14ac:dyDescent="0.3">
      <c r="A482">
        <v>2017</v>
      </c>
      <c r="B482" t="s">
        <v>20</v>
      </c>
      <c r="C482">
        <v>2050</v>
      </c>
      <c r="D482">
        <v>3729.8</v>
      </c>
      <c r="E482">
        <v>164</v>
      </c>
      <c r="F482" t="s">
        <v>36</v>
      </c>
      <c r="G482" t="s">
        <v>14</v>
      </c>
      <c r="H482">
        <v>5373</v>
      </c>
      <c r="I482">
        <v>52</v>
      </c>
      <c r="J482" t="s">
        <v>30</v>
      </c>
      <c r="K482">
        <v>249978</v>
      </c>
      <c r="L482" t="s">
        <v>16</v>
      </c>
    </row>
    <row r="483" spans="1:12" x14ac:dyDescent="0.3">
      <c r="A483">
        <v>2016</v>
      </c>
      <c r="B483" t="s">
        <v>20</v>
      </c>
      <c r="C483">
        <v>1865</v>
      </c>
      <c r="D483">
        <v>3729.8</v>
      </c>
      <c r="E483">
        <v>165</v>
      </c>
      <c r="F483" t="s">
        <v>36</v>
      </c>
      <c r="G483" t="s">
        <v>14</v>
      </c>
      <c r="H483">
        <v>6589</v>
      </c>
      <c r="I483">
        <v>51</v>
      </c>
      <c r="J483" t="s">
        <v>30</v>
      </c>
      <c r="K483">
        <v>637</v>
      </c>
      <c r="L483" t="s">
        <v>16</v>
      </c>
    </row>
    <row r="484" spans="1:12" x14ac:dyDescent="0.3">
      <c r="A484">
        <v>2017</v>
      </c>
      <c r="B484" t="s">
        <v>20</v>
      </c>
      <c r="C484">
        <v>1841</v>
      </c>
      <c r="D484">
        <v>2746.2</v>
      </c>
      <c r="E484">
        <v>166</v>
      </c>
      <c r="F484" t="s">
        <v>36</v>
      </c>
      <c r="G484" t="s">
        <v>14</v>
      </c>
      <c r="H484">
        <v>5107</v>
      </c>
      <c r="I484">
        <v>57</v>
      </c>
      <c r="J484" t="s">
        <v>30</v>
      </c>
      <c r="K484">
        <v>43311</v>
      </c>
      <c r="L484" t="s">
        <v>16</v>
      </c>
    </row>
    <row r="485" spans="1:12" x14ac:dyDescent="0.3">
      <c r="A485">
        <v>2018</v>
      </c>
      <c r="B485" t="s">
        <v>20</v>
      </c>
      <c r="C485">
        <v>1799</v>
      </c>
      <c r="D485">
        <v>2746.2</v>
      </c>
      <c r="E485">
        <v>167</v>
      </c>
      <c r="F485" t="s">
        <v>36</v>
      </c>
      <c r="G485" t="s">
        <v>14</v>
      </c>
      <c r="H485">
        <v>5518</v>
      </c>
      <c r="I485">
        <v>57</v>
      </c>
      <c r="J485" t="s">
        <v>30</v>
      </c>
      <c r="K485">
        <v>24848</v>
      </c>
      <c r="L485" t="s">
        <v>16</v>
      </c>
    </row>
    <row r="486" spans="1:12" x14ac:dyDescent="0.3">
      <c r="A486">
        <v>2013</v>
      </c>
      <c r="B486" t="s">
        <v>20</v>
      </c>
      <c r="C486">
        <v>1468</v>
      </c>
      <c r="D486">
        <v>2746.2</v>
      </c>
      <c r="E486">
        <v>168</v>
      </c>
      <c r="F486" t="s">
        <v>36</v>
      </c>
      <c r="G486" t="s">
        <v>14</v>
      </c>
      <c r="H486">
        <v>4912</v>
      </c>
      <c r="I486">
        <v>60</v>
      </c>
      <c r="J486" t="s">
        <v>30</v>
      </c>
      <c r="K486">
        <v>761</v>
      </c>
      <c r="L486" t="s">
        <v>16</v>
      </c>
    </row>
    <row r="487" spans="1:12" x14ac:dyDescent="0.3">
      <c r="A487">
        <v>2014</v>
      </c>
      <c r="B487" t="s">
        <v>23</v>
      </c>
      <c r="C487">
        <v>568</v>
      </c>
      <c r="D487">
        <v>3360</v>
      </c>
      <c r="E487">
        <v>169</v>
      </c>
      <c r="F487" t="s">
        <v>36</v>
      </c>
      <c r="G487" t="s">
        <v>14</v>
      </c>
      <c r="H487">
        <v>3830</v>
      </c>
      <c r="I487">
        <v>57</v>
      </c>
      <c r="J487" t="s">
        <v>49</v>
      </c>
      <c r="K487">
        <v>45608</v>
      </c>
      <c r="L487" t="s">
        <v>16</v>
      </c>
    </row>
    <row r="488" spans="1:12" x14ac:dyDescent="0.3">
      <c r="A488">
        <v>2015</v>
      </c>
      <c r="B488" t="s">
        <v>23</v>
      </c>
      <c r="C488">
        <v>407</v>
      </c>
      <c r="D488">
        <v>3360</v>
      </c>
      <c r="E488">
        <v>170</v>
      </c>
      <c r="F488" t="s">
        <v>36</v>
      </c>
      <c r="G488" t="s">
        <v>14</v>
      </c>
      <c r="H488">
        <v>4</v>
      </c>
      <c r="I488">
        <v>57</v>
      </c>
      <c r="J488" t="s">
        <v>49</v>
      </c>
      <c r="K488">
        <v>234581</v>
      </c>
      <c r="L488" t="s">
        <v>16</v>
      </c>
    </row>
    <row r="489" spans="1:12" x14ac:dyDescent="0.3">
      <c r="A489">
        <v>2016</v>
      </c>
      <c r="B489" t="s">
        <v>23</v>
      </c>
      <c r="C489">
        <v>177</v>
      </c>
      <c r="D489">
        <v>3360</v>
      </c>
      <c r="E489">
        <v>171</v>
      </c>
      <c r="F489" t="s">
        <v>36</v>
      </c>
      <c r="G489" t="s">
        <v>14</v>
      </c>
      <c r="H489">
        <v>9</v>
      </c>
      <c r="I489">
        <v>54</v>
      </c>
      <c r="J489" t="s">
        <v>49</v>
      </c>
      <c r="K489">
        <v>646</v>
      </c>
      <c r="L489" t="s">
        <v>16</v>
      </c>
    </row>
    <row r="490" spans="1:12" x14ac:dyDescent="0.3">
      <c r="A490">
        <v>2017</v>
      </c>
      <c r="B490" t="s">
        <v>23</v>
      </c>
      <c r="C490">
        <v>51</v>
      </c>
      <c r="D490">
        <v>3605.4</v>
      </c>
      <c r="E490">
        <v>172</v>
      </c>
      <c r="F490" t="s">
        <v>36</v>
      </c>
      <c r="G490" t="s">
        <v>14</v>
      </c>
      <c r="H490">
        <v>12</v>
      </c>
      <c r="I490">
        <v>54.5</v>
      </c>
      <c r="J490" t="s">
        <v>49</v>
      </c>
      <c r="K490">
        <v>43562</v>
      </c>
      <c r="L490" t="s">
        <v>16</v>
      </c>
    </row>
    <row r="491" spans="1:12" x14ac:dyDescent="0.3">
      <c r="A491">
        <v>2018</v>
      </c>
      <c r="B491" t="s">
        <v>23</v>
      </c>
      <c r="C491">
        <v>173</v>
      </c>
      <c r="D491">
        <v>3605.4</v>
      </c>
      <c r="E491">
        <v>173</v>
      </c>
      <c r="F491" t="s">
        <v>36</v>
      </c>
      <c r="G491" t="s">
        <v>14</v>
      </c>
      <c r="H491">
        <v>2089</v>
      </c>
      <c r="I491">
        <v>56.6</v>
      </c>
      <c r="J491" t="s">
        <v>32</v>
      </c>
      <c r="K491">
        <v>200000</v>
      </c>
      <c r="L491" t="s">
        <v>16</v>
      </c>
    </row>
    <row r="492" spans="1:12" x14ac:dyDescent="0.3">
      <c r="A492">
        <v>2004</v>
      </c>
      <c r="B492" t="s">
        <v>23</v>
      </c>
      <c r="C492">
        <v>201</v>
      </c>
      <c r="D492">
        <v>3605.4</v>
      </c>
      <c r="E492">
        <v>174</v>
      </c>
      <c r="F492" t="s">
        <v>36</v>
      </c>
      <c r="G492" t="s">
        <v>14</v>
      </c>
      <c r="H492">
        <v>2810</v>
      </c>
      <c r="I492">
        <v>55.5</v>
      </c>
      <c r="J492" t="s">
        <v>32</v>
      </c>
      <c r="K492">
        <v>4847</v>
      </c>
      <c r="L492" t="s">
        <v>16</v>
      </c>
    </row>
    <row r="493" spans="1:12" x14ac:dyDescent="0.3">
      <c r="A493">
        <v>2005</v>
      </c>
      <c r="B493" t="s">
        <v>23</v>
      </c>
      <c r="C493">
        <v>206</v>
      </c>
      <c r="D493">
        <v>3512.4</v>
      </c>
      <c r="E493">
        <v>175</v>
      </c>
      <c r="F493" t="s">
        <v>36</v>
      </c>
      <c r="G493" t="s">
        <v>14</v>
      </c>
      <c r="H493">
        <v>841</v>
      </c>
      <c r="I493">
        <v>58.5</v>
      </c>
      <c r="J493" t="s">
        <v>32</v>
      </c>
      <c r="K493">
        <v>51239</v>
      </c>
      <c r="L493" t="s">
        <v>16</v>
      </c>
    </row>
    <row r="494" spans="1:12" x14ac:dyDescent="0.3">
      <c r="A494">
        <v>2006</v>
      </c>
      <c r="B494" t="s">
        <v>23</v>
      </c>
      <c r="C494">
        <v>243</v>
      </c>
      <c r="D494">
        <v>3512.4</v>
      </c>
      <c r="E494">
        <v>176</v>
      </c>
      <c r="F494" t="s">
        <v>36</v>
      </c>
      <c r="G494" t="s">
        <v>14</v>
      </c>
      <c r="H494">
        <v>3550</v>
      </c>
      <c r="I494">
        <v>59.5</v>
      </c>
      <c r="J494" t="s">
        <v>32</v>
      </c>
      <c r="K494">
        <v>216396</v>
      </c>
      <c r="L494" t="s">
        <v>16</v>
      </c>
    </row>
    <row r="495" spans="1:12" x14ac:dyDescent="0.3">
      <c r="A495">
        <v>2007</v>
      </c>
      <c r="B495" t="s">
        <v>23</v>
      </c>
      <c r="C495">
        <v>123</v>
      </c>
      <c r="D495">
        <v>3512.4</v>
      </c>
      <c r="E495">
        <v>177</v>
      </c>
      <c r="F495" t="s">
        <v>36</v>
      </c>
      <c r="G495" t="s">
        <v>21</v>
      </c>
      <c r="H495">
        <v>109</v>
      </c>
      <c r="I495">
        <v>55</v>
      </c>
      <c r="J495" t="s">
        <v>32</v>
      </c>
      <c r="K495">
        <v>2644</v>
      </c>
      <c r="L495" t="s">
        <v>16</v>
      </c>
    </row>
    <row r="496" spans="1:12" x14ac:dyDescent="0.3">
      <c r="A496">
        <v>2008</v>
      </c>
      <c r="B496" t="s">
        <v>23</v>
      </c>
      <c r="C496">
        <v>82</v>
      </c>
      <c r="D496">
        <v>3296</v>
      </c>
      <c r="E496">
        <v>178</v>
      </c>
      <c r="F496" t="s">
        <v>36</v>
      </c>
      <c r="G496" t="s">
        <v>21</v>
      </c>
      <c r="H496">
        <v>3368</v>
      </c>
      <c r="I496">
        <v>53</v>
      </c>
      <c r="J496" t="s">
        <v>32</v>
      </c>
      <c r="K496">
        <v>44235</v>
      </c>
      <c r="L496" t="s">
        <v>16</v>
      </c>
    </row>
    <row r="497" spans="1:12" x14ac:dyDescent="0.3">
      <c r="A497">
        <v>2009</v>
      </c>
      <c r="B497" t="s">
        <v>23</v>
      </c>
      <c r="C497">
        <v>74</v>
      </c>
      <c r="D497">
        <v>3296</v>
      </c>
      <c r="E497">
        <v>179</v>
      </c>
      <c r="F497" t="s">
        <v>36</v>
      </c>
      <c r="G497" t="s">
        <v>21</v>
      </c>
      <c r="H497">
        <v>3671</v>
      </c>
      <c r="I497">
        <v>53.5</v>
      </c>
      <c r="J497" t="s">
        <v>32</v>
      </c>
      <c r="K497">
        <v>203317</v>
      </c>
      <c r="L497" t="s">
        <v>16</v>
      </c>
    </row>
    <row r="498" spans="1:12" x14ac:dyDescent="0.3">
      <c r="A498">
        <v>2010</v>
      </c>
      <c r="B498" t="s">
        <v>23</v>
      </c>
      <c r="C498">
        <v>18</v>
      </c>
      <c r="D498">
        <v>3296</v>
      </c>
      <c r="E498">
        <v>180</v>
      </c>
      <c r="F498" t="s">
        <v>36</v>
      </c>
      <c r="G498" t="s">
        <v>21</v>
      </c>
      <c r="H498">
        <v>2404</v>
      </c>
      <c r="I498">
        <v>52.5</v>
      </c>
      <c r="J498" t="s">
        <v>32</v>
      </c>
      <c r="K498">
        <v>2134</v>
      </c>
      <c r="L498" t="s">
        <v>16</v>
      </c>
    </row>
    <row r="499" spans="1:12" x14ac:dyDescent="0.3">
      <c r="A499">
        <v>2011</v>
      </c>
      <c r="B499" t="s">
        <v>23</v>
      </c>
      <c r="C499">
        <v>37</v>
      </c>
      <c r="D499">
        <v>3550</v>
      </c>
      <c r="E499">
        <v>181</v>
      </c>
      <c r="F499" t="s">
        <v>36</v>
      </c>
      <c r="G499" t="s">
        <v>21</v>
      </c>
      <c r="H499">
        <v>2805</v>
      </c>
      <c r="I499">
        <v>56</v>
      </c>
      <c r="J499" t="s">
        <v>32</v>
      </c>
      <c r="K499">
        <v>45186</v>
      </c>
      <c r="L499" t="s">
        <v>16</v>
      </c>
    </row>
    <row r="500" spans="1:12" x14ac:dyDescent="0.3">
      <c r="A500">
        <v>2012</v>
      </c>
      <c r="B500" t="s">
        <v>23</v>
      </c>
      <c r="C500">
        <v>35</v>
      </c>
      <c r="D500">
        <v>3550</v>
      </c>
      <c r="E500">
        <v>182</v>
      </c>
      <c r="F500" t="s">
        <v>36</v>
      </c>
      <c r="G500" t="s">
        <v>21</v>
      </c>
      <c r="H500">
        <v>2331</v>
      </c>
      <c r="I500">
        <v>57</v>
      </c>
      <c r="J500" t="s">
        <v>32</v>
      </c>
      <c r="K500">
        <v>238542</v>
      </c>
      <c r="L500" t="s">
        <v>16</v>
      </c>
    </row>
    <row r="501" spans="1:12" x14ac:dyDescent="0.3">
      <c r="A501">
        <v>2013</v>
      </c>
      <c r="B501" t="s">
        <v>23</v>
      </c>
      <c r="C501">
        <v>5974</v>
      </c>
      <c r="D501">
        <v>3550</v>
      </c>
      <c r="E501">
        <v>183</v>
      </c>
      <c r="F501" t="s">
        <v>36</v>
      </c>
      <c r="G501" t="s">
        <v>21</v>
      </c>
      <c r="H501">
        <v>2088</v>
      </c>
      <c r="I501">
        <v>57.5</v>
      </c>
      <c r="J501" t="s">
        <v>32</v>
      </c>
      <c r="K501">
        <v>1516</v>
      </c>
      <c r="L501" t="s">
        <v>16</v>
      </c>
    </row>
    <row r="502" spans="1:12" x14ac:dyDescent="0.3">
      <c r="A502">
        <v>2014</v>
      </c>
      <c r="B502" t="s">
        <v>23</v>
      </c>
      <c r="C502">
        <v>6631</v>
      </c>
      <c r="D502">
        <v>3654</v>
      </c>
      <c r="E502">
        <v>184</v>
      </c>
      <c r="F502" t="s">
        <v>51</v>
      </c>
      <c r="G502" t="s">
        <v>21</v>
      </c>
      <c r="H502">
        <v>2628</v>
      </c>
      <c r="I502">
        <v>57</v>
      </c>
      <c r="J502" t="s">
        <v>33</v>
      </c>
      <c r="K502">
        <v>200000</v>
      </c>
      <c r="L502" t="s">
        <v>16</v>
      </c>
    </row>
    <row r="503" spans="1:12" x14ac:dyDescent="0.3">
      <c r="A503">
        <v>2015</v>
      </c>
      <c r="B503" t="s">
        <v>23</v>
      </c>
      <c r="C503">
        <v>6705</v>
      </c>
      <c r="D503">
        <v>3654</v>
      </c>
      <c r="E503">
        <v>185</v>
      </c>
      <c r="F503" t="s">
        <v>51</v>
      </c>
      <c r="G503" t="s">
        <v>21</v>
      </c>
      <c r="H503">
        <v>1939</v>
      </c>
      <c r="I503">
        <v>55</v>
      </c>
      <c r="J503" t="s">
        <v>33</v>
      </c>
      <c r="K503">
        <v>4847</v>
      </c>
      <c r="L503" t="s">
        <v>16</v>
      </c>
    </row>
    <row r="504" spans="1:12" x14ac:dyDescent="0.3">
      <c r="A504">
        <v>2016</v>
      </c>
      <c r="B504" t="s">
        <v>23</v>
      </c>
      <c r="C504">
        <v>5876</v>
      </c>
      <c r="D504">
        <v>3654</v>
      </c>
      <c r="E504">
        <v>186</v>
      </c>
      <c r="F504" t="s">
        <v>51</v>
      </c>
      <c r="G504" t="s">
        <v>21</v>
      </c>
      <c r="H504">
        <v>1871</v>
      </c>
      <c r="I504">
        <v>56</v>
      </c>
      <c r="J504" t="s">
        <v>33</v>
      </c>
      <c r="K504">
        <v>51239</v>
      </c>
      <c r="L504" t="s">
        <v>16</v>
      </c>
    </row>
    <row r="505" spans="1:12" x14ac:dyDescent="0.3">
      <c r="A505">
        <v>2017</v>
      </c>
      <c r="B505" t="s">
        <v>23</v>
      </c>
      <c r="C505">
        <v>326</v>
      </c>
      <c r="D505">
        <v>233</v>
      </c>
      <c r="E505">
        <v>187</v>
      </c>
      <c r="F505" t="s">
        <v>51</v>
      </c>
      <c r="G505" t="s">
        <v>21</v>
      </c>
      <c r="H505">
        <v>1868</v>
      </c>
      <c r="I505">
        <v>54</v>
      </c>
      <c r="J505" t="s">
        <v>33</v>
      </c>
      <c r="K505">
        <v>216396</v>
      </c>
      <c r="L505" t="s">
        <v>16</v>
      </c>
    </row>
    <row r="506" spans="1:12" x14ac:dyDescent="0.3">
      <c r="A506">
        <v>2017</v>
      </c>
      <c r="B506" t="s">
        <v>23</v>
      </c>
      <c r="C506">
        <v>6470</v>
      </c>
      <c r="D506">
        <v>233</v>
      </c>
      <c r="E506">
        <v>188</v>
      </c>
      <c r="F506" t="s">
        <v>51</v>
      </c>
      <c r="G506" t="s">
        <v>21</v>
      </c>
      <c r="H506">
        <v>127919</v>
      </c>
      <c r="I506">
        <v>58</v>
      </c>
      <c r="J506" t="s">
        <v>33</v>
      </c>
      <c r="K506">
        <v>2644</v>
      </c>
      <c r="L506" t="s">
        <v>16</v>
      </c>
    </row>
    <row r="507" spans="1:12" x14ac:dyDescent="0.3">
      <c r="A507">
        <v>2016</v>
      </c>
      <c r="B507" t="s">
        <v>23</v>
      </c>
      <c r="C507">
        <v>6709</v>
      </c>
      <c r="D507">
        <v>233</v>
      </c>
      <c r="E507">
        <v>189</v>
      </c>
      <c r="F507" t="s">
        <v>51</v>
      </c>
      <c r="G507" t="s">
        <v>21</v>
      </c>
      <c r="H507">
        <v>75340</v>
      </c>
      <c r="I507">
        <v>58</v>
      </c>
      <c r="J507" t="s">
        <v>33</v>
      </c>
      <c r="K507">
        <v>44235</v>
      </c>
      <c r="L507" t="s">
        <v>16</v>
      </c>
    </row>
    <row r="508" spans="1:12" x14ac:dyDescent="0.3">
      <c r="A508">
        <v>2017</v>
      </c>
      <c r="B508" t="s">
        <v>23</v>
      </c>
      <c r="C508">
        <v>6186</v>
      </c>
      <c r="D508">
        <v>234</v>
      </c>
      <c r="E508">
        <v>190</v>
      </c>
      <c r="F508" t="s">
        <v>51</v>
      </c>
      <c r="G508" t="s">
        <v>21</v>
      </c>
      <c r="H508">
        <v>29170</v>
      </c>
      <c r="I508">
        <v>59</v>
      </c>
      <c r="J508" t="s">
        <v>33</v>
      </c>
      <c r="K508">
        <v>203317</v>
      </c>
      <c r="L508" t="s">
        <v>16</v>
      </c>
    </row>
    <row r="509" spans="1:12" x14ac:dyDescent="0.3">
      <c r="A509">
        <v>2018</v>
      </c>
      <c r="B509" t="s">
        <v>23</v>
      </c>
      <c r="C509">
        <v>6503</v>
      </c>
      <c r="D509">
        <v>234</v>
      </c>
      <c r="E509">
        <v>191</v>
      </c>
      <c r="F509" t="s">
        <v>51</v>
      </c>
      <c r="G509" t="s">
        <v>21</v>
      </c>
      <c r="H509">
        <v>1901</v>
      </c>
      <c r="I509">
        <v>50</v>
      </c>
      <c r="J509" t="s">
        <v>33</v>
      </c>
      <c r="K509">
        <v>2134</v>
      </c>
      <c r="L509" t="s">
        <v>16</v>
      </c>
    </row>
    <row r="510" spans="1:12" x14ac:dyDescent="0.3">
      <c r="A510">
        <v>2013</v>
      </c>
      <c r="B510" t="s">
        <v>23</v>
      </c>
      <c r="C510">
        <v>5220</v>
      </c>
      <c r="D510">
        <v>234</v>
      </c>
      <c r="E510">
        <v>192</v>
      </c>
      <c r="F510" t="s">
        <v>51</v>
      </c>
      <c r="G510" t="s">
        <v>21</v>
      </c>
      <c r="H510">
        <v>972</v>
      </c>
      <c r="I510">
        <v>54</v>
      </c>
      <c r="J510" t="s">
        <v>33</v>
      </c>
      <c r="K510">
        <v>45186</v>
      </c>
      <c r="L510" t="s">
        <v>16</v>
      </c>
    </row>
    <row r="511" spans="1:12" x14ac:dyDescent="0.3">
      <c r="A511">
        <v>2014</v>
      </c>
      <c r="B511" t="s">
        <v>23</v>
      </c>
      <c r="C511">
        <v>4677</v>
      </c>
      <c r="D511">
        <v>3105</v>
      </c>
      <c r="E511">
        <v>193</v>
      </c>
      <c r="F511" t="s">
        <v>51</v>
      </c>
      <c r="G511" t="s">
        <v>21</v>
      </c>
      <c r="H511">
        <v>874</v>
      </c>
      <c r="I511">
        <v>53</v>
      </c>
      <c r="J511" t="s">
        <v>33</v>
      </c>
      <c r="K511">
        <v>238542</v>
      </c>
      <c r="L511" t="s">
        <v>16</v>
      </c>
    </row>
    <row r="512" spans="1:12" x14ac:dyDescent="0.3">
      <c r="A512">
        <v>2015</v>
      </c>
      <c r="B512" t="s">
        <v>23</v>
      </c>
      <c r="C512">
        <v>4803</v>
      </c>
      <c r="D512">
        <v>3105</v>
      </c>
      <c r="E512">
        <v>194</v>
      </c>
      <c r="F512" t="s">
        <v>51</v>
      </c>
      <c r="G512" t="s">
        <v>21</v>
      </c>
      <c r="H512">
        <v>592</v>
      </c>
      <c r="I512">
        <v>52</v>
      </c>
      <c r="J512" t="s">
        <v>33</v>
      </c>
      <c r="K512">
        <v>1516</v>
      </c>
      <c r="L512" t="s">
        <v>16</v>
      </c>
    </row>
    <row r="513" spans="1:12" x14ac:dyDescent="0.3">
      <c r="A513">
        <v>2016</v>
      </c>
      <c r="B513" t="s">
        <v>23</v>
      </c>
      <c r="C513">
        <v>3739</v>
      </c>
      <c r="D513">
        <v>3105</v>
      </c>
      <c r="E513">
        <v>195</v>
      </c>
      <c r="F513" t="s">
        <v>51</v>
      </c>
      <c r="G513" t="s">
        <v>21</v>
      </c>
      <c r="H513">
        <v>864</v>
      </c>
      <c r="I513">
        <v>51</v>
      </c>
      <c r="J513" t="s">
        <v>33</v>
      </c>
      <c r="K513">
        <v>57259</v>
      </c>
      <c r="L513" t="s">
        <v>16</v>
      </c>
    </row>
    <row r="514" spans="1:12" x14ac:dyDescent="0.3">
      <c r="A514">
        <v>2017</v>
      </c>
      <c r="B514" t="s">
        <v>23</v>
      </c>
      <c r="C514">
        <v>3529</v>
      </c>
      <c r="D514">
        <v>236</v>
      </c>
      <c r="E514">
        <v>196</v>
      </c>
      <c r="F514" t="s">
        <v>51</v>
      </c>
      <c r="G514" t="s">
        <v>21</v>
      </c>
      <c r="H514">
        <v>5373</v>
      </c>
      <c r="I514">
        <v>57</v>
      </c>
      <c r="J514" t="s">
        <v>33</v>
      </c>
      <c r="K514">
        <v>234779</v>
      </c>
      <c r="L514" t="s">
        <v>16</v>
      </c>
    </row>
    <row r="515" spans="1:12" x14ac:dyDescent="0.3">
      <c r="A515">
        <v>2018</v>
      </c>
      <c r="B515" t="s">
        <v>23</v>
      </c>
      <c r="C515">
        <v>3649</v>
      </c>
      <c r="D515">
        <v>236</v>
      </c>
      <c r="E515">
        <v>197</v>
      </c>
      <c r="F515" t="s">
        <v>51</v>
      </c>
      <c r="G515" t="s">
        <v>21</v>
      </c>
      <c r="H515">
        <v>6589</v>
      </c>
      <c r="I515">
        <v>57</v>
      </c>
      <c r="J515" t="s">
        <v>33</v>
      </c>
      <c r="K515">
        <v>1493</v>
      </c>
      <c r="L515" t="s">
        <v>16</v>
      </c>
    </row>
    <row r="516" spans="1:12" x14ac:dyDescent="0.3">
      <c r="A516">
        <v>2004</v>
      </c>
      <c r="B516" t="s">
        <v>23</v>
      </c>
      <c r="C516">
        <v>1374</v>
      </c>
      <c r="D516">
        <v>2903.1</v>
      </c>
      <c r="E516">
        <v>198</v>
      </c>
      <c r="F516" t="s">
        <v>51</v>
      </c>
      <c r="G516" t="s">
        <v>21</v>
      </c>
      <c r="H516">
        <v>5107</v>
      </c>
      <c r="I516">
        <v>60</v>
      </c>
      <c r="J516" t="s">
        <v>33</v>
      </c>
      <c r="K516">
        <v>64409</v>
      </c>
      <c r="L516" t="s">
        <v>16</v>
      </c>
    </row>
    <row r="517" spans="1:12" x14ac:dyDescent="0.3">
      <c r="A517">
        <v>2005</v>
      </c>
      <c r="B517" t="s">
        <v>23</v>
      </c>
      <c r="C517">
        <v>933</v>
      </c>
      <c r="D517">
        <v>2903.1</v>
      </c>
      <c r="E517">
        <v>199</v>
      </c>
      <c r="F517" t="s">
        <v>51</v>
      </c>
      <c r="G517" t="s">
        <v>21</v>
      </c>
      <c r="H517">
        <v>5518</v>
      </c>
      <c r="I517">
        <v>57</v>
      </c>
      <c r="J517" t="s">
        <v>35</v>
      </c>
      <c r="K517">
        <v>249978</v>
      </c>
      <c r="L517" t="s">
        <v>16</v>
      </c>
    </row>
    <row r="518" spans="1:12" x14ac:dyDescent="0.3">
      <c r="A518">
        <v>2006</v>
      </c>
      <c r="B518" t="s">
        <v>23</v>
      </c>
      <c r="C518">
        <v>345</v>
      </c>
      <c r="D518">
        <v>2903.1</v>
      </c>
      <c r="E518">
        <v>200</v>
      </c>
      <c r="F518" t="s">
        <v>51</v>
      </c>
      <c r="G518" t="s">
        <v>21</v>
      </c>
      <c r="H518">
        <v>4912</v>
      </c>
      <c r="I518">
        <v>57</v>
      </c>
      <c r="J518" t="s">
        <v>35</v>
      </c>
      <c r="K518">
        <v>637</v>
      </c>
      <c r="L518" t="s">
        <v>16</v>
      </c>
    </row>
    <row r="519" spans="1:12" x14ac:dyDescent="0.3">
      <c r="A519">
        <v>2007</v>
      </c>
      <c r="B519" t="s">
        <v>23</v>
      </c>
      <c r="C519">
        <v>29</v>
      </c>
      <c r="D519">
        <v>2996.6</v>
      </c>
      <c r="E519">
        <v>201</v>
      </c>
      <c r="F519" t="s">
        <v>51</v>
      </c>
      <c r="G519" t="s">
        <v>21</v>
      </c>
      <c r="H519">
        <v>3830</v>
      </c>
      <c r="I519">
        <v>54</v>
      </c>
      <c r="J519" t="s">
        <v>35</v>
      </c>
      <c r="K519">
        <v>43311</v>
      </c>
      <c r="L519" t="s">
        <v>16</v>
      </c>
    </row>
    <row r="520" spans="1:12" x14ac:dyDescent="0.3">
      <c r="A520">
        <v>2008</v>
      </c>
      <c r="B520" t="s">
        <v>23</v>
      </c>
      <c r="C520">
        <v>11</v>
      </c>
      <c r="D520">
        <v>2996.6</v>
      </c>
      <c r="E520">
        <v>202</v>
      </c>
      <c r="F520" t="s">
        <v>51</v>
      </c>
      <c r="G520" t="s">
        <v>21</v>
      </c>
      <c r="H520">
        <v>4</v>
      </c>
      <c r="I520">
        <v>54.5</v>
      </c>
      <c r="J520" t="s">
        <v>35</v>
      </c>
      <c r="K520">
        <v>24848</v>
      </c>
      <c r="L520" t="s">
        <v>16</v>
      </c>
    </row>
    <row r="521" spans="1:12" x14ac:dyDescent="0.3">
      <c r="A521">
        <v>2009</v>
      </c>
      <c r="B521" t="s">
        <v>23</v>
      </c>
      <c r="C521">
        <v>10</v>
      </c>
      <c r="D521">
        <v>2996.6</v>
      </c>
      <c r="E521">
        <v>203</v>
      </c>
      <c r="F521" t="s">
        <v>51</v>
      </c>
      <c r="G521" t="s">
        <v>21</v>
      </c>
      <c r="H521">
        <v>9</v>
      </c>
      <c r="I521">
        <v>56.6</v>
      </c>
      <c r="J521" t="s">
        <v>35</v>
      </c>
      <c r="K521">
        <v>761</v>
      </c>
      <c r="L521" t="s">
        <v>16</v>
      </c>
    </row>
    <row r="522" spans="1:12" x14ac:dyDescent="0.3">
      <c r="A522">
        <v>2010</v>
      </c>
      <c r="B522" t="s">
        <v>23</v>
      </c>
      <c r="C522">
        <v>7</v>
      </c>
      <c r="D522">
        <v>3522.8</v>
      </c>
      <c r="E522">
        <v>204</v>
      </c>
      <c r="F522" t="s">
        <v>51</v>
      </c>
      <c r="G522" t="s">
        <v>21</v>
      </c>
      <c r="H522">
        <v>12</v>
      </c>
      <c r="I522">
        <v>55.5</v>
      </c>
      <c r="J522" t="s">
        <v>35</v>
      </c>
      <c r="K522">
        <v>45608</v>
      </c>
      <c r="L522" t="s">
        <v>16</v>
      </c>
    </row>
    <row r="523" spans="1:12" x14ac:dyDescent="0.3">
      <c r="A523">
        <v>2011</v>
      </c>
      <c r="B523" t="s">
        <v>23</v>
      </c>
      <c r="C523">
        <v>10</v>
      </c>
      <c r="D523">
        <v>3522.8</v>
      </c>
      <c r="E523">
        <v>205</v>
      </c>
      <c r="F523" t="s">
        <v>51</v>
      </c>
      <c r="G523" t="s">
        <v>21</v>
      </c>
      <c r="H523">
        <v>2089</v>
      </c>
      <c r="I523">
        <v>58.5</v>
      </c>
      <c r="J523" t="s">
        <v>35</v>
      </c>
      <c r="K523">
        <v>234581</v>
      </c>
      <c r="L523" t="s">
        <v>16</v>
      </c>
    </row>
    <row r="524" spans="1:12" x14ac:dyDescent="0.3">
      <c r="A524">
        <v>2012</v>
      </c>
      <c r="B524" t="s">
        <v>31</v>
      </c>
      <c r="C524">
        <v>56</v>
      </c>
      <c r="D524">
        <v>3522.8</v>
      </c>
      <c r="E524">
        <v>206</v>
      </c>
      <c r="F524" t="s">
        <v>51</v>
      </c>
      <c r="G524" t="s">
        <v>21</v>
      </c>
      <c r="H524">
        <v>2810</v>
      </c>
      <c r="I524">
        <v>59.5</v>
      </c>
      <c r="J524" t="s">
        <v>35</v>
      </c>
      <c r="K524">
        <v>646</v>
      </c>
      <c r="L524" t="s">
        <v>16</v>
      </c>
    </row>
    <row r="525" spans="1:12" x14ac:dyDescent="0.3">
      <c r="A525">
        <v>2013</v>
      </c>
      <c r="B525" t="s">
        <v>31</v>
      </c>
      <c r="C525">
        <v>68</v>
      </c>
      <c r="D525">
        <v>3729.8</v>
      </c>
      <c r="E525">
        <v>207</v>
      </c>
      <c r="F525" t="s">
        <v>51</v>
      </c>
      <c r="G525" t="s">
        <v>21</v>
      </c>
      <c r="H525">
        <v>841</v>
      </c>
      <c r="I525">
        <v>55</v>
      </c>
      <c r="J525" t="s">
        <v>35</v>
      </c>
      <c r="K525">
        <v>43562</v>
      </c>
      <c r="L525" t="s">
        <v>16</v>
      </c>
    </row>
    <row r="526" spans="1:12" x14ac:dyDescent="0.3">
      <c r="A526">
        <v>2014</v>
      </c>
      <c r="B526" t="s">
        <v>31</v>
      </c>
      <c r="C526">
        <v>56</v>
      </c>
      <c r="D526">
        <v>3729.8</v>
      </c>
      <c r="E526">
        <v>208</v>
      </c>
      <c r="F526" t="s">
        <v>51</v>
      </c>
      <c r="G526" t="s">
        <v>21</v>
      </c>
      <c r="H526">
        <v>3550</v>
      </c>
      <c r="I526">
        <v>53</v>
      </c>
      <c r="J526" t="s">
        <v>35</v>
      </c>
      <c r="K526">
        <v>200000</v>
      </c>
      <c r="L526" t="s">
        <v>16</v>
      </c>
    </row>
    <row r="527" spans="1:12" x14ac:dyDescent="0.3">
      <c r="A527">
        <v>2015</v>
      </c>
      <c r="B527" t="s">
        <v>31</v>
      </c>
      <c r="C527">
        <v>66</v>
      </c>
      <c r="D527">
        <v>3729.8</v>
      </c>
      <c r="E527">
        <v>209</v>
      </c>
      <c r="F527" t="s">
        <v>51</v>
      </c>
      <c r="G527" t="s">
        <v>21</v>
      </c>
      <c r="H527">
        <v>109</v>
      </c>
      <c r="I527">
        <v>53.5</v>
      </c>
      <c r="J527" t="s">
        <v>35</v>
      </c>
      <c r="K527">
        <v>4847</v>
      </c>
      <c r="L527" t="s">
        <v>16</v>
      </c>
    </row>
    <row r="528" spans="1:12" x14ac:dyDescent="0.3">
      <c r="A528">
        <v>2016</v>
      </c>
      <c r="B528" t="s">
        <v>31</v>
      </c>
      <c r="C528">
        <v>55</v>
      </c>
      <c r="D528">
        <v>2746.2</v>
      </c>
      <c r="E528">
        <v>210</v>
      </c>
      <c r="F528" t="s">
        <v>51</v>
      </c>
      <c r="G528" t="s">
        <v>21</v>
      </c>
      <c r="H528">
        <v>3368</v>
      </c>
      <c r="I528">
        <v>52.5</v>
      </c>
      <c r="J528" t="s">
        <v>35</v>
      </c>
      <c r="K528">
        <v>51239</v>
      </c>
      <c r="L528" t="s">
        <v>16</v>
      </c>
    </row>
    <row r="529" spans="1:12" x14ac:dyDescent="0.3">
      <c r="A529">
        <v>2017</v>
      </c>
      <c r="B529" t="s">
        <v>31</v>
      </c>
      <c r="C529">
        <v>42</v>
      </c>
      <c r="D529">
        <v>2746.2</v>
      </c>
      <c r="E529">
        <v>211</v>
      </c>
      <c r="F529" t="s">
        <v>51</v>
      </c>
      <c r="G529" t="s">
        <v>21</v>
      </c>
      <c r="H529">
        <v>3671</v>
      </c>
      <c r="I529">
        <v>56</v>
      </c>
      <c r="J529" t="s">
        <v>35</v>
      </c>
      <c r="K529">
        <v>216396</v>
      </c>
      <c r="L529" t="s">
        <v>16</v>
      </c>
    </row>
    <row r="530" spans="1:12" x14ac:dyDescent="0.3">
      <c r="A530">
        <v>2004</v>
      </c>
      <c r="B530" t="s">
        <v>31</v>
      </c>
      <c r="C530">
        <v>51179</v>
      </c>
      <c r="D530">
        <v>2746.2</v>
      </c>
      <c r="E530">
        <v>212</v>
      </c>
      <c r="F530" t="s">
        <v>51</v>
      </c>
      <c r="G530" t="s">
        <v>21</v>
      </c>
      <c r="H530">
        <v>2404</v>
      </c>
      <c r="I530">
        <v>57</v>
      </c>
      <c r="J530" t="s">
        <v>35</v>
      </c>
      <c r="K530">
        <v>2644</v>
      </c>
      <c r="L530" t="s">
        <v>16</v>
      </c>
    </row>
    <row r="531" spans="1:12" x14ac:dyDescent="0.3">
      <c r="A531">
        <v>2004</v>
      </c>
      <c r="B531" t="s">
        <v>31</v>
      </c>
      <c r="C531">
        <v>468</v>
      </c>
      <c r="D531">
        <v>3360</v>
      </c>
      <c r="E531">
        <v>213</v>
      </c>
      <c r="F531" t="s">
        <v>51</v>
      </c>
      <c r="G531" t="s">
        <v>21</v>
      </c>
      <c r="H531">
        <v>2805</v>
      </c>
      <c r="I531">
        <v>57.5</v>
      </c>
      <c r="J531" t="s">
        <v>35</v>
      </c>
      <c r="K531">
        <v>44235</v>
      </c>
      <c r="L531" t="s">
        <v>16</v>
      </c>
    </row>
    <row r="532" spans="1:12" x14ac:dyDescent="0.3">
      <c r="A532">
        <v>2004</v>
      </c>
      <c r="B532" t="s">
        <v>31</v>
      </c>
      <c r="C532">
        <v>11841</v>
      </c>
      <c r="D532">
        <v>3360</v>
      </c>
      <c r="E532">
        <v>214</v>
      </c>
      <c r="F532" t="s">
        <v>52</v>
      </c>
      <c r="G532" t="s">
        <v>21</v>
      </c>
      <c r="H532">
        <v>2331</v>
      </c>
      <c r="I532">
        <v>57</v>
      </c>
      <c r="J532" t="s">
        <v>37</v>
      </c>
      <c r="K532">
        <v>203317</v>
      </c>
      <c r="L532" t="s">
        <v>16</v>
      </c>
    </row>
    <row r="533" spans="1:12" x14ac:dyDescent="0.3">
      <c r="A533">
        <v>2004</v>
      </c>
      <c r="B533" t="s">
        <v>31</v>
      </c>
      <c r="C533">
        <v>50975</v>
      </c>
      <c r="D533">
        <v>3360</v>
      </c>
      <c r="E533">
        <v>215</v>
      </c>
      <c r="F533" t="s">
        <v>52</v>
      </c>
      <c r="G533" t="s">
        <v>21</v>
      </c>
      <c r="H533">
        <v>2088</v>
      </c>
      <c r="I533">
        <v>55</v>
      </c>
      <c r="J533" t="s">
        <v>37</v>
      </c>
      <c r="K533">
        <v>2134</v>
      </c>
      <c r="L533" t="s">
        <v>16</v>
      </c>
    </row>
    <row r="534" spans="1:12" x14ac:dyDescent="0.3">
      <c r="A534">
        <v>2004</v>
      </c>
      <c r="B534" t="s">
        <v>31</v>
      </c>
      <c r="C534">
        <v>206</v>
      </c>
      <c r="D534">
        <v>3605.4</v>
      </c>
      <c r="E534">
        <v>216</v>
      </c>
      <c r="F534" t="s">
        <v>52</v>
      </c>
      <c r="G534" t="s">
        <v>21</v>
      </c>
      <c r="H534">
        <v>2628</v>
      </c>
      <c r="I534">
        <v>56</v>
      </c>
      <c r="J534" t="s">
        <v>37</v>
      </c>
      <c r="K534">
        <v>45186</v>
      </c>
      <c r="L534" t="s">
        <v>16</v>
      </c>
    </row>
    <row r="535" spans="1:12" x14ac:dyDescent="0.3">
      <c r="A535">
        <v>2004</v>
      </c>
      <c r="B535" t="s">
        <v>31</v>
      </c>
      <c r="C535">
        <v>10922</v>
      </c>
      <c r="D535">
        <v>3605.4</v>
      </c>
      <c r="E535">
        <v>217</v>
      </c>
      <c r="F535" t="s">
        <v>52</v>
      </c>
      <c r="G535" t="s">
        <v>21</v>
      </c>
      <c r="H535">
        <v>1939</v>
      </c>
      <c r="I535">
        <v>54</v>
      </c>
      <c r="J535" t="s">
        <v>37</v>
      </c>
      <c r="K535">
        <v>238542</v>
      </c>
      <c r="L535" t="s">
        <v>16</v>
      </c>
    </row>
    <row r="536" spans="1:12" x14ac:dyDescent="0.3">
      <c r="A536">
        <v>2004</v>
      </c>
      <c r="B536" t="s">
        <v>31</v>
      </c>
      <c r="C536">
        <v>51390</v>
      </c>
      <c r="D536">
        <v>3605.4</v>
      </c>
      <c r="E536">
        <v>218</v>
      </c>
      <c r="F536" t="s">
        <v>52</v>
      </c>
      <c r="G536" t="s">
        <v>21</v>
      </c>
      <c r="H536">
        <v>1871</v>
      </c>
      <c r="I536">
        <v>58</v>
      </c>
      <c r="J536" t="s">
        <v>37</v>
      </c>
      <c r="K536">
        <v>1516</v>
      </c>
      <c r="L536" t="s">
        <v>16</v>
      </c>
    </row>
    <row r="537" spans="1:12" x14ac:dyDescent="0.3">
      <c r="A537">
        <v>2004</v>
      </c>
      <c r="B537" t="s">
        <v>31</v>
      </c>
      <c r="C537">
        <v>177</v>
      </c>
      <c r="D537">
        <v>3512.4</v>
      </c>
      <c r="E537">
        <v>219</v>
      </c>
      <c r="F537" t="s">
        <v>52</v>
      </c>
      <c r="G537" t="s">
        <v>21</v>
      </c>
      <c r="H537">
        <v>1868</v>
      </c>
      <c r="I537">
        <v>58</v>
      </c>
      <c r="J537" t="s">
        <v>37</v>
      </c>
      <c r="K537">
        <v>57259</v>
      </c>
      <c r="L537" t="s">
        <v>16</v>
      </c>
    </row>
    <row r="538" spans="1:12" x14ac:dyDescent="0.3">
      <c r="A538">
        <v>2004</v>
      </c>
      <c r="B538" t="s">
        <v>31</v>
      </c>
      <c r="C538">
        <v>10723</v>
      </c>
      <c r="D538">
        <v>3512.4</v>
      </c>
      <c r="E538">
        <v>220</v>
      </c>
      <c r="F538" t="s">
        <v>52</v>
      </c>
      <c r="G538" t="s">
        <v>26</v>
      </c>
      <c r="H538">
        <v>127919</v>
      </c>
      <c r="I538">
        <v>59</v>
      </c>
      <c r="J538" t="s">
        <v>37</v>
      </c>
      <c r="K538">
        <v>234779</v>
      </c>
      <c r="L538" t="s">
        <v>16</v>
      </c>
    </row>
    <row r="539" spans="1:12" x14ac:dyDescent="0.3">
      <c r="A539">
        <v>2004</v>
      </c>
      <c r="B539" t="s">
        <v>31</v>
      </c>
      <c r="C539">
        <v>51709</v>
      </c>
      <c r="D539">
        <v>3512.4</v>
      </c>
      <c r="E539">
        <v>221</v>
      </c>
      <c r="F539" t="s">
        <v>52</v>
      </c>
      <c r="G539" t="s">
        <v>26</v>
      </c>
      <c r="H539">
        <v>75340</v>
      </c>
      <c r="I539">
        <v>50</v>
      </c>
      <c r="J539" t="s">
        <v>37</v>
      </c>
      <c r="K539">
        <v>1493</v>
      </c>
      <c r="L539" t="s">
        <v>16</v>
      </c>
    </row>
    <row r="540" spans="1:12" x14ac:dyDescent="0.3">
      <c r="A540">
        <v>2004</v>
      </c>
      <c r="B540" t="s">
        <v>31</v>
      </c>
      <c r="C540">
        <v>146</v>
      </c>
      <c r="D540">
        <v>3296</v>
      </c>
      <c r="E540">
        <v>222</v>
      </c>
      <c r="F540" t="s">
        <v>52</v>
      </c>
      <c r="G540" t="s">
        <v>26</v>
      </c>
      <c r="H540">
        <v>29170</v>
      </c>
      <c r="I540">
        <v>54</v>
      </c>
      <c r="J540" t="s">
        <v>37</v>
      </c>
      <c r="K540">
        <v>64409</v>
      </c>
      <c r="L540" t="s">
        <v>16</v>
      </c>
    </row>
    <row r="541" spans="1:12" x14ac:dyDescent="0.3">
      <c r="A541">
        <v>2004</v>
      </c>
      <c r="B541" t="s">
        <v>31</v>
      </c>
      <c r="C541">
        <v>10910</v>
      </c>
      <c r="D541">
        <v>3296</v>
      </c>
      <c r="E541">
        <v>27</v>
      </c>
      <c r="F541" t="s">
        <v>52</v>
      </c>
      <c r="G541" t="s">
        <v>26</v>
      </c>
      <c r="H541">
        <v>1901</v>
      </c>
      <c r="I541">
        <v>53</v>
      </c>
      <c r="J541" t="s">
        <v>37</v>
      </c>
      <c r="K541">
        <v>249978</v>
      </c>
      <c r="L541" t="s">
        <v>16</v>
      </c>
    </row>
    <row r="542" spans="1:12" x14ac:dyDescent="0.3">
      <c r="A542">
        <v>2004</v>
      </c>
      <c r="B542" t="s">
        <v>31</v>
      </c>
      <c r="C542">
        <v>51355</v>
      </c>
      <c r="D542">
        <v>3296</v>
      </c>
      <c r="E542">
        <v>27</v>
      </c>
      <c r="F542" t="s">
        <v>52</v>
      </c>
      <c r="G542" t="s">
        <v>26</v>
      </c>
      <c r="H542">
        <v>972</v>
      </c>
      <c r="I542">
        <v>52</v>
      </c>
      <c r="J542" t="s">
        <v>37</v>
      </c>
      <c r="K542">
        <v>637</v>
      </c>
      <c r="L542" t="s">
        <v>16</v>
      </c>
    </row>
    <row r="543" spans="1:12" x14ac:dyDescent="0.3">
      <c r="A543">
        <v>2004</v>
      </c>
      <c r="B543" t="s">
        <v>31</v>
      </c>
      <c r="C543">
        <v>160</v>
      </c>
      <c r="D543">
        <v>3550</v>
      </c>
      <c r="E543">
        <v>27</v>
      </c>
      <c r="F543" t="s">
        <v>52</v>
      </c>
      <c r="G543" t="s">
        <v>26</v>
      </c>
      <c r="H543">
        <v>874</v>
      </c>
      <c r="I543">
        <v>51</v>
      </c>
      <c r="J543" t="s">
        <v>37</v>
      </c>
      <c r="K543">
        <v>43311</v>
      </c>
      <c r="L543" t="s">
        <v>16</v>
      </c>
    </row>
    <row r="544" spans="1:12" x14ac:dyDescent="0.3">
      <c r="A544">
        <v>2004</v>
      </c>
      <c r="B544" t="s">
        <v>31</v>
      </c>
      <c r="C544">
        <v>10912</v>
      </c>
      <c r="D544">
        <v>3550</v>
      </c>
      <c r="E544">
        <v>27</v>
      </c>
      <c r="F544" t="s">
        <v>52</v>
      </c>
      <c r="G544" t="s">
        <v>26</v>
      </c>
      <c r="H544">
        <v>592</v>
      </c>
      <c r="I544">
        <v>57</v>
      </c>
      <c r="J544" t="s">
        <v>37</v>
      </c>
      <c r="K544">
        <v>24848</v>
      </c>
      <c r="L544" t="s">
        <v>16</v>
      </c>
    </row>
    <row r="545" spans="1:12" x14ac:dyDescent="0.3">
      <c r="A545">
        <v>2004</v>
      </c>
      <c r="B545" t="s">
        <v>31</v>
      </c>
      <c r="C545">
        <v>51353</v>
      </c>
      <c r="D545">
        <v>3550</v>
      </c>
      <c r="E545">
        <v>27</v>
      </c>
      <c r="F545" t="s">
        <v>52</v>
      </c>
      <c r="G545" t="s">
        <v>26</v>
      </c>
      <c r="H545">
        <v>864</v>
      </c>
      <c r="I545">
        <v>57</v>
      </c>
      <c r="J545" t="s">
        <v>37</v>
      </c>
      <c r="K545">
        <v>761</v>
      </c>
      <c r="L545" t="s">
        <v>16</v>
      </c>
    </row>
    <row r="546" spans="1:12" x14ac:dyDescent="0.3">
      <c r="A546">
        <v>2004</v>
      </c>
      <c r="B546" t="s">
        <v>31</v>
      </c>
      <c r="C546">
        <v>142</v>
      </c>
      <c r="D546">
        <v>3654</v>
      </c>
      <c r="E546">
        <v>27.2</v>
      </c>
      <c r="F546" t="s">
        <v>52</v>
      </c>
      <c r="G546" t="s">
        <v>26</v>
      </c>
      <c r="H546">
        <v>5373</v>
      </c>
      <c r="I546">
        <v>60</v>
      </c>
      <c r="J546" t="s">
        <v>37</v>
      </c>
      <c r="K546">
        <v>45608</v>
      </c>
      <c r="L546" t="s">
        <v>16</v>
      </c>
    </row>
    <row r="547" spans="1:12" x14ac:dyDescent="0.3">
      <c r="A547">
        <v>2004</v>
      </c>
      <c r="B547" t="s">
        <v>31</v>
      </c>
      <c r="C547">
        <v>10505</v>
      </c>
      <c r="D547">
        <v>3654</v>
      </c>
      <c r="E547">
        <v>27.2</v>
      </c>
      <c r="F547" t="s">
        <v>52</v>
      </c>
      <c r="G547" t="s">
        <v>26</v>
      </c>
      <c r="H547">
        <v>6589</v>
      </c>
      <c r="I547">
        <v>57</v>
      </c>
      <c r="J547" t="s">
        <v>39</v>
      </c>
      <c r="K547">
        <v>234581</v>
      </c>
      <c r="L547" t="s">
        <v>16</v>
      </c>
    </row>
    <row r="548" spans="1:12" x14ac:dyDescent="0.3">
      <c r="A548">
        <v>2004</v>
      </c>
      <c r="B548" t="s">
        <v>31</v>
      </c>
      <c r="C548">
        <v>51040</v>
      </c>
      <c r="D548">
        <v>3654</v>
      </c>
      <c r="E548">
        <v>27.2</v>
      </c>
      <c r="F548" t="s">
        <v>52</v>
      </c>
      <c r="G548" t="s">
        <v>26</v>
      </c>
      <c r="H548">
        <v>5107</v>
      </c>
      <c r="I548">
        <v>57</v>
      </c>
      <c r="J548" t="s">
        <v>39</v>
      </c>
      <c r="K548">
        <v>646</v>
      </c>
      <c r="L548" t="s">
        <v>16</v>
      </c>
    </row>
    <row r="549" spans="1:12" x14ac:dyDescent="0.3">
      <c r="A549">
        <v>2004</v>
      </c>
      <c r="B549" t="s">
        <v>31</v>
      </c>
      <c r="C549">
        <v>154</v>
      </c>
      <c r="D549">
        <v>233</v>
      </c>
      <c r="E549">
        <v>27</v>
      </c>
      <c r="F549" t="s">
        <v>52</v>
      </c>
      <c r="G549" t="s">
        <v>26</v>
      </c>
      <c r="H549">
        <v>5518</v>
      </c>
      <c r="I549">
        <v>54</v>
      </c>
      <c r="J549" t="s">
        <v>39</v>
      </c>
      <c r="K549">
        <v>43562</v>
      </c>
      <c r="L549" t="s">
        <v>16</v>
      </c>
    </row>
    <row r="550" spans="1:12" x14ac:dyDescent="0.3">
      <c r="A550">
        <v>2004</v>
      </c>
      <c r="B550" t="s">
        <v>31</v>
      </c>
      <c r="C550">
        <v>10318</v>
      </c>
      <c r="D550">
        <v>233</v>
      </c>
      <c r="E550">
        <v>27</v>
      </c>
      <c r="F550" t="s">
        <v>52</v>
      </c>
      <c r="G550" t="s">
        <v>26</v>
      </c>
      <c r="H550">
        <v>4912</v>
      </c>
      <c r="I550">
        <v>54.5</v>
      </c>
      <c r="J550" t="s">
        <v>39</v>
      </c>
      <c r="K550">
        <v>200000</v>
      </c>
      <c r="L550" t="s">
        <v>16</v>
      </c>
    </row>
    <row r="551" spans="1:12" x14ac:dyDescent="0.3">
      <c r="A551">
        <v>2004</v>
      </c>
      <c r="B551" t="s">
        <v>31</v>
      </c>
      <c r="C551">
        <v>48083</v>
      </c>
      <c r="D551">
        <v>233</v>
      </c>
      <c r="E551">
        <v>27</v>
      </c>
      <c r="F551" t="s">
        <v>52</v>
      </c>
      <c r="G551" t="s">
        <v>26</v>
      </c>
      <c r="H551">
        <v>3830</v>
      </c>
      <c r="I551">
        <v>56.6</v>
      </c>
      <c r="J551" t="s">
        <v>39</v>
      </c>
      <c r="K551">
        <v>4847</v>
      </c>
      <c r="L551" t="s">
        <v>16</v>
      </c>
    </row>
    <row r="552" spans="1:12" x14ac:dyDescent="0.3">
      <c r="A552">
        <v>2004</v>
      </c>
      <c r="B552" t="s">
        <v>31</v>
      </c>
      <c r="C552">
        <v>143</v>
      </c>
      <c r="D552">
        <v>2903.1</v>
      </c>
      <c r="E552">
        <v>27</v>
      </c>
      <c r="F552" t="s">
        <v>52</v>
      </c>
      <c r="G552" t="s">
        <v>26</v>
      </c>
      <c r="H552">
        <v>313547</v>
      </c>
      <c r="I552">
        <v>55.5</v>
      </c>
      <c r="J552" t="s">
        <v>39</v>
      </c>
      <c r="K552">
        <v>51239</v>
      </c>
      <c r="L552" t="s">
        <v>16</v>
      </c>
    </row>
    <row r="553" spans="1:12" x14ac:dyDescent="0.3">
      <c r="A553">
        <v>2004</v>
      </c>
      <c r="B553" t="s">
        <v>31</v>
      </c>
      <c r="C553">
        <v>9283</v>
      </c>
      <c r="D553">
        <v>2903.1</v>
      </c>
      <c r="E553">
        <v>27</v>
      </c>
      <c r="F553" t="s">
        <v>52</v>
      </c>
      <c r="G553" t="s">
        <v>26</v>
      </c>
      <c r="H553">
        <v>2783</v>
      </c>
      <c r="I553">
        <v>58.5</v>
      </c>
      <c r="J553" t="s">
        <v>39</v>
      </c>
      <c r="K553">
        <v>216396</v>
      </c>
      <c r="L553" t="s">
        <v>16</v>
      </c>
    </row>
    <row r="554" spans="1:12" x14ac:dyDescent="0.3">
      <c r="A554">
        <v>2004</v>
      </c>
      <c r="B554" t="s">
        <v>53</v>
      </c>
      <c r="C554">
        <v>47200</v>
      </c>
      <c r="D554">
        <v>2903.1</v>
      </c>
      <c r="E554">
        <v>27</v>
      </c>
      <c r="F554" t="s">
        <v>52</v>
      </c>
      <c r="G554" t="s">
        <v>26</v>
      </c>
      <c r="H554">
        <v>1533</v>
      </c>
      <c r="I554">
        <v>59.5</v>
      </c>
      <c r="J554" t="s">
        <v>39</v>
      </c>
      <c r="K554">
        <v>2644</v>
      </c>
      <c r="L554" t="s">
        <v>16</v>
      </c>
    </row>
    <row r="555" spans="1:12" x14ac:dyDescent="0.3">
      <c r="A555">
        <v>2004</v>
      </c>
      <c r="B555" t="s">
        <v>53</v>
      </c>
      <c r="C555">
        <v>158</v>
      </c>
      <c r="D555">
        <v>2996.6</v>
      </c>
      <c r="E555">
        <v>27.2</v>
      </c>
      <c r="F555" t="s">
        <v>52</v>
      </c>
      <c r="G555" t="s">
        <v>26</v>
      </c>
      <c r="H555">
        <v>1647</v>
      </c>
      <c r="I555">
        <v>55</v>
      </c>
      <c r="J555" t="s">
        <v>39</v>
      </c>
      <c r="K555">
        <v>44235</v>
      </c>
      <c r="L555" t="s">
        <v>16</v>
      </c>
    </row>
    <row r="556" spans="1:12" x14ac:dyDescent="0.3">
      <c r="A556">
        <v>2004</v>
      </c>
      <c r="B556" t="s">
        <v>53</v>
      </c>
      <c r="C556">
        <v>8982</v>
      </c>
      <c r="D556">
        <v>2996.6</v>
      </c>
      <c r="E556">
        <v>27.2</v>
      </c>
      <c r="F556" t="s">
        <v>52</v>
      </c>
      <c r="G556" t="s">
        <v>26</v>
      </c>
      <c r="H556">
        <v>975</v>
      </c>
      <c r="I556">
        <v>53</v>
      </c>
      <c r="J556" t="s">
        <v>39</v>
      </c>
      <c r="K556">
        <v>203317</v>
      </c>
      <c r="L556" t="s">
        <v>16</v>
      </c>
    </row>
    <row r="557" spans="1:12" x14ac:dyDescent="0.3">
      <c r="A557">
        <v>2004</v>
      </c>
      <c r="B557" t="s">
        <v>53</v>
      </c>
      <c r="C557">
        <v>46990</v>
      </c>
      <c r="D557">
        <v>2996.6</v>
      </c>
      <c r="E557">
        <v>27.2</v>
      </c>
      <c r="F557" t="s">
        <v>52</v>
      </c>
      <c r="G557" t="s">
        <v>26</v>
      </c>
      <c r="H557">
        <v>2</v>
      </c>
      <c r="I557">
        <v>53.5</v>
      </c>
      <c r="J557" t="s">
        <v>39</v>
      </c>
      <c r="K557">
        <v>2134</v>
      </c>
      <c r="L557" t="s">
        <v>16</v>
      </c>
    </row>
    <row r="558" spans="1:12" x14ac:dyDescent="0.3">
      <c r="A558">
        <v>2004</v>
      </c>
      <c r="B558" t="s">
        <v>53</v>
      </c>
      <c r="C558">
        <v>103</v>
      </c>
      <c r="D558">
        <v>3522.8</v>
      </c>
      <c r="E558">
        <v>27.1</v>
      </c>
      <c r="F558" t="s">
        <v>52</v>
      </c>
      <c r="G558" t="s">
        <v>26</v>
      </c>
      <c r="H558">
        <v>836</v>
      </c>
      <c r="I558">
        <v>52.5</v>
      </c>
      <c r="J558" t="s">
        <v>39</v>
      </c>
      <c r="K558">
        <v>45186</v>
      </c>
      <c r="L558" t="s">
        <v>16</v>
      </c>
    </row>
    <row r="559" spans="1:12" x14ac:dyDescent="0.3">
      <c r="A559">
        <v>2004</v>
      </c>
      <c r="B559" t="s">
        <v>53</v>
      </c>
      <c r="C559">
        <v>8239</v>
      </c>
      <c r="D559">
        <v>3522.8</v>
      </c>
      <c r="E559">
        <v>27.1</v>
      </c>
      <c r="F559" t="s">
        <v>52</v>
      </c>
      <c r="G559" t="s">
        <v>26</v>
      </c>
      <c r="H559">
        <v>806</v>
      </c>
      <c r="I559">
        <v>56</v>
      </c>
      <c r="J559" t="s">
        <v>39</v>
      </c>
      <c r="K559">
        <v>238542</v>
      </c>
      <c r="L559" t="s">
        <v>16</v>
      </c>
    </row>
    <row r="560" spans="1:12" x14ac:dyDescent="0.3">
      <c r="A560">
        <v>2004</v>
      </c>
      <c r="B560" t="s">
        <v>53</v>
      </c>
      <c r="C560">
        <v>44563</v>
      </c>
      <c r="D560">
        <v>3522.8</v>
      </c>
      <c r="E560">
        <v>27.1</v>
      </c>
      <c r="F560" t="s">
        <v>52</v>
      </c>
      <c r="G560" t="s">
        <v>26</v>
      </c>
      <c r="H560">
        <v>880</v>
      </c>
      <c r="I560">
        <v>57</v>
      </c>
      <c r="J560" t="s">
        <v>39</v>
      </c>
      <c r="K560">
        <v>1516</v>
      </c>
      <c r="L560" t="s">
        <v>16</v>
      </c>
    </row>
    <row r="561" spans="1:12" x14ac:dyDescent="0.3">
      <c r="A561">
        <v>2004</v>
      </c>
      <c r="B561" t="s">
        <v>53</v>
      </c>
      <c r="C561">
        <v>96</v>
      </c>
      <c r="D561">
        <v>3729.8</v>
      </c>
      <c r="E561">
        <v>26.8</v>
      </c>
      <c r="F561" t="s">
        <v>50</v>
      </c>
      <c r="G561" t="s">
        <v>26</v>
      </c>
      <c r="H561">
        <v>770</v>
      </c>
      <c r="I561">
        <v>57.5</v>
      </c>
      <c r="J561" t="s">
        <v>39</v>
      </c>
      <c r="K561">
        <v>200000</v>
      </c>
      <c r="L561" t="s">
        <v>16</v>
      </c>
    </row>
    <row r="562" spans="1:12" x14ac:dyDescent="0.3">
      <c r="A562">
        <v>2004</v>
      </c>
      <c r="B562" t="s">
        <v>53</v>
      </c>
      <c r="C562">
        <v>6949</v>
      </c>
      <c r="D562">
        <v>3729.8</v>
      </c>
      <c r="E562">
        <v>26.8</v>
      </c>
      <c r="F562" t="s">
        <v>50</v>
      </c>
      <c r="G562" t="s">
        <v>26</v>
      </c>
      <c r="H562">
        <v>395</v>
      </c>
      <c r="I562">
        <v>57</v>
      </c>
      <c r="J562" t="s">
        <v>40</v>
      </c>
      <c r="K562">
        <v>4847</v>
      </c>
      <c r="L562" t="s">
        <v>16</v>
      </c>
    </row>
    <row r="563" spans="1:12" x14ac:dyDescent="0.3">
      <c r="A563">
        <v>2004</v>
      </c>
      <c r="B563" t="s">
        <v>53</v>
      </c>
      <c r="C563">
        <v>44663</v>
      </c>
      <c r="D563">
        <v>3729.8</v>
      </c>
      <c r="E563">
        <v>26.8</v>
      </c>
      <c r="F563" t="s">
        <v>50</v>
      </c>
      <c r="G563" t="s">
        <v>26</v>
      </c>
      <c r="H563">
        <v>187</v>
      </c>
      <c r="I563">
        <v>55</v>
      </c>
      <c r="J563" t="s">
        <v>40</v>
      </c>
      <c r="K563">
        <v>51239</v>
      </c>
      <c r="L563" t="s">
        <v>16</v>
      </c>
    </row>
    <row r="564" spans="1:12" x14ac:dyDescent="0.3">
      <c r="A564">
        <v>2004</v>
      </c>
      <c r="B564" t="s">
        <v>53</v>
      </c>
      <c r="C564">
        <v>110</v>
      </c>
      <c r="D564">
        <v>2746.2</v>
      </c>
      <c r="E564">
        <v>37</v>
      </c>
      <c r="F564" t="s">
        <v>50</v>
      </c>
      <c r="G564" t="s">
        <v>26</v>
      </c>
      <c r="H564">
        <v>187</v>
      </c>
      <c r="I564">
        <v>56</v>
      </c>
      <c r="J564" t="s">
        <v>40</v>
      </c>
      <c r="K564">
        <v>216396</v>
      </c>
      <c r="L564" t="s">
        <v>16</v>
      </c>
    </row>
    <row r="565" spans="1:12" x14ac:dyDescent="0.3">
      <c r="A565">
        <v>2004</v>
      </c>
      <c r="B565" t="s">
        <v>53</v>
      </c>
      <c r="C565">
        <v>6824</v>
      </c>
      <c r="D565">
        <v>2746.2</v>
      </c>
      <c r="E565">
        <v>37</v>
      </c>
      <c r="F565" t="s">
        <v>50</v>
      </c>
      <c r="G565" t="s">
        <v>26</v>
      </c>
      <c r="H565">
        <v>121</v>
      </c>
      <c r="I565">
        <v>54</v>
      </c>
      <c r="J565" t="s">
        <v>49</v>
      </c>
      <c r="K565">
        <v>2644</v>
      </c>
      <c r="L565" t="s">
        <v>16</v>
      </c>
    </row>
    <row r="566" spans="1:12" x14ac:dyDescent="0.3">
      <c r="A566">
        <v>2004</v>
      </c>
      <c r="B566" t="s">
        <v>53</v>
      </c>
      <c r="C566">
        <v>43013</v>
      </c>
      <c r="D566">
        <v>2746.2</v>
      </c>
      <c r="E566">
        <v>37</v>
      </c>
      <c r="F566" t="s">
        <v>50</v>
      </c>
      <c r="G566" t="s">
        <v>26</v>
      </c>
      <c r="H566">
        <v>103</v>
      </c>
      <c r="I566">
        <v>58</v>
      </c>
      <c r="J566" t="s">
        <v>49</v>
      </c>
      <c r="K566">
        <v>44235</v>
      </c>
      <c r="L566" t="s">
        <v>16</v>
      </c>
    </row>
    <row r="567" spans="1:12" x14ac:dyDescent="0.3">
      <c r="A567">
        <v>2004</v>
      </c>
      <c r="B567" t="s">
        <v>53</v>
      </c>
      <c r="C567">
        <v>95</v>
      </c>
      <c r="D567">
        <v>3360</v>
      </c>
      <c r="E567">
        <v>38</v>
      </c>
      <c r="F567" t="s">
        <v>50</v>
      </c>
      <c r="G567" t="s">
        <v>26</v>
      </c>
      <c r="H567">
        <v>71</v>
      </c>
      <c r="I567">
        <v>58</v>
      </c>
      <c r="J567" t="s">
        <v>49</v>
      </c>
      <c r="K567">
        <v>203317</v>
      </c>
      <c r="L567" t="s">
        <v>16</v>
      </c>
    </row>
    <row r="568" spans="1:12" x14ac:dyDescent="0.3">
      <c r="A568">
        <v>2004</v>
      </c>
      <c r="B568" t="s">
        <v>53</v>
      </c>
      <c r="C568">
        <v>6441</v>
      </c>
      <c r="D568">
        <v>3360</v>
      </c>
      <c r="E568">
        <v>38</v>
      </c>
      <c r="F568" t="s">
        <v>50</v>
      </c>
      <c r="G568" t="s">
        <v>26</v>
      </c>
      <c r="H568">
        <v>3961</v>
      </c>
      <c r="I568">
        <v>59</v>
      </c>
      <c r="J568" t="s">
        <v>49</v>
      </c>
      <c r="K568">
        <v>2134</v>
      </c>
      <c r="L568" t="s">
        <v>16</v>
      </c>
    </row>
    <row r="569" spans="1:12" x14ac:dyDescent="0.3">
      <c r="A569">
        <v>2004</v>
      </c>
      <c r="B569" t="s">
        <v>53</v>
      </c>
      <c r="C569">
        <v>4012</v>
      </c>
      <c r="D569">
        <v>3360</v>
      </c>
      <c r="E569">
        <v>38</v>
      </c>
      <c r="F569" t="s">
        <v>50</v>
      </c>
      <c r="G569" t="s">
        <v>26</v>
      </c>
      <c r="H569">
        <v>4247</v>
      </c>
      <c r="I569">
        <v>50</v>
      </c>
      <c r="J569" t="s">
        <v>40</v>
      </c>
      <c r="K569">
        <v>45186</v>
      </c>
      <c r="L569" t="s">
        <v>16</v>
      </c>
    </row>
    <row r="570" spans="1:12" x14ac:dyDescent="0.3">
      <c r="A570">
        <v>2004</v>
      </c>
      <c r="B570" t="s">
        <v>53</v>
      </c>
      <c r="C570">
        <v>4877</v>
      </c>
      <c r="D570">
        <v>3605.4</v>
      </c>
      <c r="E570">
        <v>39</v>
      </c>
      <c r="F570" t="s">
        <v>50</v>
      </c>
      <c r="G570" t="s">
        <v>26</v>
      </c>
      <c r="H570">
        <v>3290</v>
      </c>
      <c r="I570">
        <v>54</v>
      </c>
      <c r="J570" t="s">
        <v>40</v>
      </c>
      <c r="K570">
        <v>238542</v>
      </c>
      <c r="L570" t="s">
        <v>16</v>
      </c>
    </row>
    <row r="571" spans="1:12" x14ac:dyDescent="0.3">
      <c r="A571">
        <v>2004</v>
      </c>
      <c r="B571" t="s">
        <v>53</v>
      </c>
      <c r="C571">
        <v>4930</v>
      </c>
      <c r="D571">
        <v>3605.4</v>
      </c>
      <c r="E571">
        <v>39</v>
      </c>
      <c r="F571" t="s">
        <v>50</v>
      </c>
      <c r="G571" t="s">
        <v>26</v>
      </c>
      <c r="H571">
        <v>3138</v>
      </c>
      <c r="I571">
        <v>53</v>
      </c>
      <c r="J571" t="s">
        <v>40</v>
      </c>
      <c r="K571">
        <v>1516</v>
      </c>
      <c r="L571" t="s">
        <v>16</v>
      </c>
    </row>
    <row r="572" spans="1:12" x14ac:dyDescent="0.3">
      <c r="A572">
        <v>2004</v>
      </c>
      <c r="B572" t="s">
        <v>53</v>
      </c>
      <c r="C572">
        <v>4954</v>
      </c>
      <c r="D572">
        <v>3605.4</v>
      </c>
      <c r="E572">
        <v>39</v>
      </c>
      <c r="F572" t="s">
        <v>50</v>
      </c>
      <c r="G572" t="s">
        <v>26</v>
      </c>
      <c r="H572">
        <v>3423</v>
      </c>
      <c r="I572">
        <v>52</v>
      </c>
      <c r="J572" t="s">
        <v>40</v>
      </c>
      <c r="K572">
        <v>57259</v>
      </c>
      <c r="L572" t="s">
        <v>16</v>
      </c>
    </row>
    <row r="573" spans="1:12" x14ac:dyDescent="0.3">
      <c r="A573">
        <v>2004</v>
      </c>
      <c r="B573" t="s">
        <v>53</v>
      </c>
      <c r="C573">
        <v>5019</v>
      </c>
      <c r="D573">
        <v>3512.4</v>
      </c>
      <c r="E573">
        <v>40</v>
      </c>
      <c r="F573" t="s">
        <v>50</v>
      </c>
      <c r="G573" t="s">
        <v>26</v>
      </c>
      <c r="H573">
        <v>3899</v>
      </c>
      <c r="I573">
        <v>51</v>
      </c>
      <c r="J573" t="s">
        <v>40</v>
      </c>
      <c r="K573">
        <v>234779</v>
      </c>
      <c r="L573" t="s">
        <v>16</v>
      </c>
    </row>
    <row r="574" spans="1:12" x14ac:dyDescent="0.3">
      <c r="A574">
        <v>2004</v>
      </c>
      <c r="B574" t="s">
        <v>53</v>
      </c>
      <c r="C574">
        <v>5127</v>
      </c>
      <c r="D574">
        <v>3512.4</v>
      </c>
      <c r="E574">
        <v>40</v>
      </c>
      <c r="F574" t="s">
        <v>50</v>
      </c>
      <c r="G574" t="s">
        <v>26</v>
      </c>
      <c r="H574">
        <v>4015</v>
      </c>
      <c r="I574">
        <v>57</v>
      </c>
      <c r="J574" t="s">
        <v>40</v>
      </c>
      <c r="K574">
        <v>1493</v>
      </c>
      <c r="L574" t="s">
        <v>16</v>
      </c>
    </row>
    <row r="575" spans="1:12" x14ac:dyDescent="0.3">
      <c r="A575">
        <v>2004</v>
      </c>
      <c r="B575" t="s">
        <v>53</v>
      </c>
      <c r="C575">
        <v>5174</v>
      </c>
      <c r="D575">
        <v>3512.4</v>
      </c>
      <c r="E575">
        <v>40</v>
      </c>
      <c r="F575" t="s">
        <v>50</v>
      </c>
      <c r="G575" t="s">
        <v>26</v>
      </c>
      <c r="H575">
        <v>4279</v>
      </c>
      <c r="I575">
        <v>57</v>
      </c>
      <c r="J575" t="s">
        <v>40</v>
      </c>
      <c r="K575">
        <v>64409</v>
      </c>
      <c r="L575" t="s">
        <v>16</v>
      </c>
    </row>
    <row r="576" spans="1:12" x14ac:dyDescent="0.3">
      <c r="A576">
        <v>2004</v>
      </c>
      <c r="B576" t="s">
        <v>53</v>
      </c>
      <c r="C576">
        <v>5294</v>
      </c>
      <c r="D576">
        <v>3296</v>
      </c>
      <c r="E576">
        <v>41</v>
      </c>
      <c r="F576" t="s">
        <v>50</v>
      </c>
      <c r="G576" t="s">
        <v>26</v>
      </c>
      <c r="H576">
        <v>4167</v>
      </c>
      <c r="I576">
        <v>60</v>
      </c>
      <c r="J576" t="s">
        <v>40</v>
      </c>
      <c r="K576">
        <v>249978</v>
      </c>
      <c r="L576" t="s">
        <v>16</v>
      </c>
    </row>
    <row r="577" spans="1:12" x14ac:dyDescent="0.3">
      <c r="A577">
        <v>2004</v>
      </c>
      <c r="B577" t="s">
        <v>53</v>
      </c>
      <c r="C577">
        <v>5474</v>
      </c>
      <c r="D577">
        <v>3296</v>
      </c>
      <c r="E577">
        <v>41</v>
      </c>
      <c r="F577" t="s">
        <v>50</v>
      </c>
      <c r="G577" t="s">
        <v>26</v>
      </c>
      <c r="H577">
        <v>4479</v>
      </c>
      <c r="I577">
        <v>57</v>
      </c>
      <c r="J577" t="s">
        <v>42</v>
      </c>
      <c r="K577">
        <v>637</v>
      </c>
      <c r="L577" t="s">
        <v>16</v>
      </c>
    </row>
    <row r="578" spans="1:12" x14ac:dyDescent="0.3">
      <c r="A578">
        <v>2004</v>
      </c>
      <c r="B578" t="s">
        <v>53</v>
      </c>
      <c r="C578">
        <v>5864</v>
      </c>
      <c r="D578">
        <v>3296</v>
      </c>
      <c r="E578">
        <v>41</v>
      </c>
      <c r="F578" t="s">
        <v>50</v>
      </c>
      <c r="G578" t="s">
        <v>26</v>
      </c>
      <c r="H578">
        <v>3699</v>
      </c>
      <c r="I578">
        <v>57</v>
      </c>
      <c r="J578" t="s">
        <v>42</v>
      </c>
      <c r="K578">
        <v>43311</v>
      </c>
      <c r="L578" t="s">
        <v>16</v>
      </c>
    </row>
    <row r="579" spans="1:12" x14ac:dyDescent="0.3">
      <c r="A579">
        <v>2004</v>
      </c>
      <c r="B579" t="s">
        <v>53</v>
      </c>
      <c r="C579">
        <v>7028</v>
      </c>
      <c r="D579">
        <v>3550</v>
      </c>
      <c r="E579">
        <v>42</v>
      </c>
      <c r="F579" t="s">
        <v>50</v>
      </c>
      <c r="G579" t="s">
        <v>26</v>
      </c>
      <c r="H579">
        <v>4904</v>
      </c>
      <c r="I579">
        <v>54</v>
      </c>
      <c r="J579" t="s">
        <v>42</v>
      </c>
      <c r="K579">
        <v>24848</v>
      </c>
      <c r="L579" t="s">
        <v>16</v>
      </c>
    </row>
    <row r="580" spans="1:12" x14ac:dyDescent="0.3">
      <c r="A580">
        <v>2004</v>
      </c>
      <c r="B580" t="s">
        <v>53</v>
      </c>
      <c r="C580">
        <v>7403</v>
      </c>
      <c r="D580">
        <v>3550</v>
      </c>
      <c r="E580">
        <v>42</v>
      </c>
      <c r="F580" t="s">
        <v>50</v>
      </c>
      <c r="G580" t="s">
        <v>26</v>
      </c>
      <c r="H580">
        <v>2821</v>
      </c>
      <c r="I580">
        <v>54.5</v>
      </c>
      <c r="J580" t="s">
        <v>42</v>
      </c>
      <c r="K580">
        <v>761</v>
      </c>
      <c r="L580" t="s">
        <v>16</v>
      </c>
    </row>
    <row r="581" spans="1:12" x14ac:dyDescent="0.3">
      <c r="A581">
        <v>2004</v>
      </c>
      <c r="B581" t="s">
        <v>53</v>
      </c>
      <c r="C581">
        <v>7501</v>
      </c>
      <c r="D581">
        <v>3550</v>
      </c>
      <c r="E581">
        <v>42</v>
      </c>
      <c r="F581" t="s">
        <v>50</v>
      </c>
      <c r="G581" t="s">
        <v>26</v>
      </c>
      <c r="H581">
        <v>3472</v>
      </c>
      <c r="I581">
        <v>56.6</v>
      </c>
      <c r="J581" t="s">
        <v>42</v>
      </c>
      <c r="K581">
        <v>45608</v>
      </c>
      <c r="L581" t="s">
        <v>16</v>
      </c>
    </row>
    <row r="582" spans="1:12" x14ac:dyDescent="0.3">
      <c r="A582">
        <v>2004</v>
      </c>
      <c r="B582" t="s">
        <v>53</v>
      </c>
      <c r="C582">
        <v>7714</v>
      </c>
      <c r="D582">
        <v>3654</v>
      </c>
      <c r="E582">
        <v>43</v>
      </c>
      <c r="F582" t="s">
        <v>50</v>
      </c>
      <c r="G582" t="s">
        <v>14</v>
      </c>
      <c r="H582">
        <v>3647</v>
      </c>
      <c r="I582">
        <v>55.5</v>
      </c>
      <c r="J582" t="s">
        <v>42</v>
      </c>
      <c r="K582">
        <v>234581</v>
      </c>
      <c r="L582" t="s">
        <v>16</v>
      </c>
    </row>
    <row r="583" spans="1:12" x14ac:dyDescent="0.3">
      <c r="A583">
        <v>2004</v>
      </c>
      <c r="B583" t="s">
        <v>53</v>
      </c>
      <c r="C583">
        <v>7856</v>
      </c>
      <c r="D583">
        <v>3654</v>
      </c>
      <c r="E583">
        <v>43</v>
      </c>
      <c r="F583" t="s">
        <v>50</v>
      </c>
      <c r="G583" t="s">
        <v>14</v>
      </c>
      <c r="H583">
        <v>393</v>
      </c>
      <c r="I583">
        <v>58.5</v>
      </c>
      <c r="J583" t="s">
        <v>42</v>
      </c>
      <c r="K583">
        <v>646</v>
      </c>
      <c r="L583" t="s">
        <v>16</v>
      </c>
    </row>
    <row r="584" spans="1:12" x14ac:dyDescent="0.3">
      <c r="A584">
        <v>2004</v>
      </c>
      <c r="B584" t="s">
        <v>53</v>
      </c>
      <c r="C584">
        <v>32</v>
      </c>
      <c r="D584">
        <v>3654</v>
      </c>
      <c r="E584">
        <v>27</v>
      </c>
      <c r="F584" t="s">
        <v>50</v>
      </c>
      <c r="G584" t="s">
        <v>14</v>
      </c>
      <c r="H584">
        <v>167</v>
      </c>
      <c r="I584">
        <v>59.5</v>
      </c>
      <c r="J584" t="s">
        <v>42</v>
      </c>
      <c r="K584">
        <v>43562</v>
      </c>
      <c r="L584" t="s">
        <v>16</v>
      </c>
    </row>
    <row r="585" spans="1:12" x14ac:dyDescent="0.3">
      <c r="A585">
        <v>2004</v>
      </c>
      <c r="B585" t="s">
        <v>53</v>
      </c>
      <c r="C585">
        <v>1</v>
      </c>
      <c r="D585">
        <v>233</v>
      </c>
      <c r="E585">
        <v>27</v>
      </c>
      <c r="F585" t="s">
        <v>50</v>
      </c>
      <c r="G585" t="s">
        <v>14</v>
      </c>
      <c r="H585">
        <v>71</v>
      </c>
      <c r="I585">
        <v>55</v>
      </c>
      <c r="J585" t="s">
        <v>42</v>
      </c>
      <c r="K585">
        <v>200000</v>
      </c>
      <c r="L585" t="s">
        <v>16</v>
      </c>
    </row>
    <row r="586" spans="1:12" x14ac:dyDescent="0.3">
      <c r="A586">
        <v>2004</v>
      </c>
      <c r="B586" t="s">
        <v>53</v>
      </c>
      <c r="C586">
        <v>30</v>
      </c>
      <c r="D586">
        <v>233</v>
      </c>
      <c r="E586">
        <v>27</v>
      </c>
      <c r="F586" t="s">
        <v>50</v>
      </c>
      <c r="G586" t="s">
        <v>14</v>
      </c>
      <c r="H586">
        <v>52</v>
      </c>
      <c r="I586">
        <v>53</v>
      </c>
      <c r="J586" t="s">
        <v>42</v>
      </c>
      <c r="K586">
        <v>4847</v>
      </c>
      <c r="L586" t="s">
        <v>16</v>
      </c>
    </row>
    <row r="587" spans="1:12" x14ac:dyDescent="0.3">
      <c r="A587">
        <v>2004</v>
      </c>
      <c r="B587" t="s">
        <v>53</v>
      </c>
      <c r="C587">
        <v>6</v>
      </c>
      <c r="D587">
        <v>233</v>
      </c>
      <c r="E587">
        <v>27</v>
      </c>
      <c r="F587" t="s">
        <v>50</v>
      </c>
      <c r="G587" t="s">
        <v>14</v>
      </c>
      <c r="H587">
        <v>313547</v>
      </c>
      <c r="I587">
        <v>53.5</v>
      </c>
      <c r="J587" t="s">
        <v>42</v>
      </c>
      <c r="K587">
        <v>51239</v>
      </c>
      <c r="L587" t="s">
        <v>16</v>
      </c>
    </row>
    <row r="588" spans="1:12" x14ac:dyDescent="0.3">
      <c r="A588">
        <v>2004</v>
      </c>
      <c r="B588" t="s">
        <v>53</v>
      </c>
      <c r="C588">
        <v>15</v>
      </c>
      <c r="D588">
        <v>234</v>
      </c>
      <c r="E588">
        <v>27</v>
      </c>
      <c r="F588" t="s">
        <v>50</v>
      </c>
      <c r="G588" t="s">
        <v>14</v>
      </c>
      <c r="H588">
        <v>2783</v>
      </c>
      <c r="I588">
        <v>52.5</v>
      </c>
      <c r="J588" t="s">
        <v>42</v>
      </c>
      <c r="K588">
        <v>216396</v>
      </c>
      <c r="L588" t="s">
        <v>16</v>
      </c>
    </row>
    <row r="589" spans="1:12" x14ac:dyDescent="0.3">
      <c r="A589">
        <v>2004</v>
      </c>
      <c r="B589" t="s">
        <v>53</v>
      </c>
      <c r="C589">
        <v>4</v>
      </c>
      <c r="D589">
        <v>234</v>
      </c>
      <c r="E589">
        <v>27</v>
      </c>
      <c r="F589" t="s">
        <v>50</v>
      </c>
      <c r="G589" t="s">
        <v>14</v>
      </c>
      <c r="H589">
        <v>1533</v>
      </c>
      <c r="I589">
        <v>56</v>
      </c>
      <c r="J589" t="s">
        <v>42</v>
      </c>
      <c r="K589">
        <v>2644</v>
      </c>
      <c r="L589" t="s">
        <v>16</v>
      </c>
    </row>
    <row r="590" spans="1:12" x14ac:dyDescent="0.3">
      <c r="A590">
        <v>2004</v>
      </c>
      <c r="B590" t="s">
        <v>53</v>
      </c>
      <c r="C590">
        <v>39</v>
      </c>
      <c r="D590">
        <v>234</v>
      </c>
      <c r="E590">
        <v>27.2</v>
      </c>
      <c r="F590" t="s">
        <v>50</v>
      </c>
      <c r="G590" t="s">
        <v>14</v>
      </c>
      <c r="H590">
        <v>1647</v>
      </c>
      <c r="I590">
        <v>59.5</v>
      </c>
      <c r="J590" t="s">
        <v>42</v>
      </c>
      <c r="K590">
        <v>44235</v>
      </c>
      <c r="L590" t="s">
        <v>16</v>
      </c>
    </row>
    <row r="591" spans="1:12" x14ac:dyDescent="0.3">
      <c r="A591">
        <v>2004</v>
      </c>
      <c r="B591" t="s">
        <v>53</v>
      </c>
      <c r="C591">
        <v>6</v>
      </c>
      <c r="D591">
        <v>3105</v>
      </c>
      <c r="E591">
        <v>27.2</v>
      </c>
      <c r="F591" t="s">
        <v>50</v>
      </c>
      <c r="G591" t="s">
        <v>14</v>
      </c>
      <c r="H591">
        <v>975</v>
      </c>
      <c r="I591">
        <v>55</v>
      </c>
      <c r="J591" t="s">
        <v>42</v>
      </c>
      <c r="K591">
        <v>203317</v>
      </c>
      <c r="L591" t="s">
        <v>16</v>
      </c>
    </row>
    <row r="592" spans="1:12" x14ac:dyDescent="0.3">
      <c r="A592">
        <v>2004</v>
      </c>
      <c r="B592" t="s">
        <v>53</v>
      </c>
      <c r="C592">
        <v>12</v>
      </c>
      <c r="D592">
        <v>3105</v>
      </c>
      <c r="E592">
        <v>27.2</v>
      </c>
      <c r="F592" t="s">
        <v>50</v>
      </c>
      <c r="G592" t="s">
        <v>14</v>
      </c>
      <c r="H592">
        <v>2</v>
      </c>
      <c r="I592">
        <v>53</v>
      </c>
      <c r="J592" t="s">
        <v>43</v>
      </c>
      <c r="K592">
        <v>2134</v>
      </c>
      <c r="L592" t="s">
        <v>16</v>
      </c>
    </row>
    <row r="593" spans="1:12" x14ac:dyDescent="0.3">
      <c r="A593">
        <v>2004</v>
      </c>
      <c r="B593" t="s">
        <v>53</v>
      </c>
      <c r="C593">
        <v>3</v>
      </c>
      <c r="D593">
        <v>3105</v>
      </c>
      <c r="E593">
        <v>27</v>
      </c>
      <c r="F593" t="s">
        <v>50</v>
      </c>
      <c r="G593" t="s">
        <v>14</v>
      </c>
      <c r="H593">
        <v>836</v>
      </c>
      <c r="I593">
        <v>53.5</v>
      </c>
      <c r="J593" t="s">
        <v>43</v>
      </c>
      <c r="K593">
        <v>45186</v>
      </c>
      <c r="L593" t="s">
        <v>16</v>
      </c>
    </row>
    <row r="594" spans="1:12" x14ac:dyDescent="0.3">
      <c r="A594">
        <v>2004</v>
      </c>
      <c r="B594" t="s">
        <v>53</v>
      </c>
      <c r="C594">
        <v>17</v>
      </c>
      <c r="D594">
        <v>236</v>
      </c>
      <c r="E594">
        <v>27</v>
      </c>
      <c r="F594" t="s">
        <v>50</v>
      </c>
      <c r="G594" t="s">
        <v>14</v>
      </c>
      <c r="H594">
        <v>806</v>
      </c>
      <c r="I594">
        <v>52.5</v>
      </c>
      <c r="J594" t="s">
        <v>43</v>
      </c>
      <c r="K594">
        <v>238542</v>
      </c>
      <c r="L594" t="s">
        <v>16</v>
      </c>
    </row>
    <row r="595" spans="1:12" x14ac:dyDescent="0.3">
      <c r="A595">
        <v>2004</v>
      </c>
      <c r="B595" t="s">
        <v>53</v>
      </c>
      <c r="C595">
        <v>3</v>
      </c>
      <c r="D595">
        <v>236</v>
      </c>
      <c r="E595">
        <v>27</v>
      </c>
      <c r="F595" t="s">
        <v>50</v>
      </c>
      <c r="G595" t="s">
        <v>14</v>
      </c>
      <c r="H595">
        <v>880</v>
      </c>
      <c r="I595">
        <v>56</v>
      </c>
      <c r="J595" t="s">
        <v>43</v>
      </c>
      <c r="K595">
        <v>1516</v>
      </c>
      <c r="L595" t="s">
        <v>16</v>
      </c>
    </row>
    <row r="596" spans="1:12" x14ac:dyDescent="0.3">
      <c r="A596">
        <v>2004</v>
      </c>
      <c r="B596" t="s">
        <v>53</v>
      </c>
      <c r="C596">
        <v>9</v>
      </c>
      <c r="D596">
        <v>2903.1</v>
      </c>
      <c r="E596">
        <v>27</v>
      </c>
      <c r="F596" t="s">
        <v>50</v>
      </c>
      <c r="G596" t="s">
        <v>14</v>
      </c>
      <c r="H596">
        <v>770</v>
      </c>
      <c r="I596">
        <v>57</v>
      </c>
      <c r="J596" t="s">
        <v>43</v>
      </c>
      <c r="K596">
        <v>57259</v>
      </c>
      <c r="L596" t="s">
        <v>22</v>
      </c>
    </row>
    <row r="597" spans="1:12" x14ac:dyDescent="0.3">
      <c r="A597">
        <v>2004</v>
      </c>
      <c r="B597" t="s">
        <v>53</v>
      </c>
      <c r="C597">
        <v>21</v>
      </c>
      <c r="D597">
        <v>2903.1</v>
      </c>
      <c r="E597">
        <v>27</v>
      </c>
      <c r="F597" t="s">
        <v>50</v>
      </c>
      <c r="G597" t="s">
        <v>14</v>
      </c>
      <c r="H597">
        <v>395</v>
      </c>
      <c r="I597">
        <v>57.5</v>
      </c>
      <c r="J597" t="s">
        <v>43</v>
      </c>
      <c r="K597">
        <v>234779</v>
      </c>
      <c r="L597" t="s">
        <v>22</v>
      </c>
    </row>
    <row r="598" spans="1:12" x14ac:dyDescent="0.3">
      <c r="A598">
        <v>2004</v>
      </c>
      <c r="B598" t="s">
        <v>53</v>
      </c>
      <c r="C598">
        <v>11</v>
      </c>
      <c r="D598">
        <v>2903.1</v>
      </c>
      <c r="E598">
        <v>27</v>
      </c>
      <c r="F598" t="s">
        <v>50</v>
      </c>
      <c r="G598" t="s">
        <v>14</v>
      </c>
      <c r="H598">
        <v>187</v>
      </c>
      <c r="I598">
        <v>57</v>
      </c>
      <c r="J598" t="s">
        <v>43</v>
      </c>
      <c r="K598">
        <v>1493</v>
      </c>
      <c r="L598" t="s">
        <v>22</v>
      </c>
    </row>
    <row r="599" spans="1:12" x14ac:dyDescent="0.3">
      <c r="A599">
        <v>2004</v>
      </c>
      <c r="B599" t="s">
        <v>53</v>
      </c>
      <c r="C599">
        <v>4</v>
      </c>
      <c r="D599">
        <v>2996.6</v>
      </c>
      <c r="E599">
        <v>27.2</v>
      </c>
      <c r="F599" t="s">
        <v>50</v>
      </c>
      <c r="G599" t="s">
        <v>14</v>
      </c>
      <c r="H599">
        <v>187</v>
      </c>
      <c r="I599">
        <v>55</v>
      </c>
      <c r="J599" t="s">
        <v>49</v>
      </c>
      <c r="K599">
        <v>64409</v>
      </c>
      <c r="L599" t="s">
        <v>22</v>
      </c>
    </row>
    <row r="600" spans="1:12" x14ac:dyDescent="0.3">
      <c r="A600">
        <v>2004</v>
      </c>
      <c r="B600" t="s">
        <v>53</v>
      </c>
      <c r="C600">
        <v>15</v>
      </c>
      <c r="D600">
        <v>2996.6</v>
      </c>
      <c r="E600">
        <v>27.2</v>
      </c>
      <c r="F600" t="s">
        <v>50</v>
      </c>
      <c r="G600" t="s">
        <v>14</v>
      </c>
      <c r="H600">
        <v>121</v>
      </c>
      <c r="I600">
        <v>56</v>
      </c>
      <c r="J600" t="s">
        <v>49</v>
      </c>
      <c r="K600">
        <v>249978</v>
      </c>
      <c r="L600" t="s">
        <v>22</v>
      </c>
    </row>
    <row r="601" spans="1:12" x14ac:dyDescent="0.3">
      <c r="A601">
        <v>2004</v>
      </c>
      <c r="B601" t="s">
        <v>53</v>
      </c>
      <c r="C601">
        <v>8</v>
      </c>
      <c r="D601">
        <v>2996.6</v>
      </c>
      <c r="E601">
        <v>27.2</v>
      </c>
      <c r="F601" t="s">
        <v>50</v>
      </c>
      <c r="G601" t="s">
        <v>14</v>
      </c>
      <c r="H601">
        <v>103</v>
      </c>
      <c r="I601">
        <v>54</v>
      </c>
      <c r="J601" t="s">
        <v>49</v>
      </c>
      <c r="K601">
        <v>637</v>
      </c>
      <c r="L601" t="s">
        <v>22</v>
      </c>
    </row>
    <row r="602" spans="1:12" x14ac:dyDescent="0.3">
      <c r="A602">
        <v>2004</v>
      </c>
      <c r="B602" t="s">
        <v>53</v>
      </c>
      <c r="C602">
        <v>29</v>
      </c>
      <c r="D602">
        <v>3522.8</v>
      </c>
      <c r="E602">
        <v>27.1</v>
      </c>
      <c r="F602" t="s">
        <v>13</v>
      </c>
      <c r="G602" t="s">
        <v>14</v>
      </c>
      <c r="H602">
        <v>71</v>
      </c>
      <c r="I602">
        <v>58</v>
      </c>
      <c r="J602" t="s">
        <v>49</v>
      </c>
      <c r="K602">
        <v>43311</v>
      </c>
      <c r="L602" t="s">
        <v>22</v>
      </c>
    </row>
    <row r="603" spans="1:12" x14ac:dyDescent="0.3">
      <c r="A603">
        <v>2004</v>
      </c>
      <c r="B603" t="s">
        <v>53</v>
      </c>
      <c r="C603">
        <v>1</v>
      </c>
      <c r="D603">
        <v>3522.8</v>
      </c>
      <c r="E603">
        <v>27.1</v>
      </c>
      <c r="F603" t="s">
        <v>13</v>
      </c>
      <c r="G603" t="s">
        <v>14</v>
      </c>
      <c r="H603">
        <v>3961</v>
      </c>
      <c r="I603">
        <v>58</v>
      </c>
      <c r="J603" t="s">
        <v>43</v>
      </c>
      <c r="K603">
        <v>24848</v>
      </c>
      <c r="L603" t="s">
        <v>22</v>
      </c>
    </row>
    <row r="604" spans="1:12" x14ac:dyDescent="0.3">
      <c r="A604">
        <v>2004</v>
      </c>
      <c r="B604" t="s">
        <v>53</v>
      </c>
      <c r="C604">
        <v>13736</v>
      </c>
      <c r="D604">
        <v>3522.8</v>
      </c>
      <c r="E604">
        <v>27.1</v>
      </c>
      <c r="F604" t="s">
        <v>13</v>
      </c>
      <c r="G604" t="s">
        <v>14</v>
      </c>
      <c r="H604">
        <v>4247</v>
      </c>
      <c r="I604">
        <v>59</v>
      </c>
      <c r="J604" t="s">
        <v>43</v>
      </c>
      <c r="K604">
        <v>761</v>
      </c>
      <c r="L604" t="s">
        <v>22</v>
      </c>
    </row>
    <row r="605" spans="1:12" x14ac:dyDescent="0.3">
      <c r="A605">
        <v>2004</v>
      </c>
      <c r="B605" t="s">
        <v>53</v>
      </c>
      <c r="C605">
        <v>14003</v>
      </c>
      <c r="D605">
        <v>3729.8</v>
      </c>
      <c r="E605">
        <v>26.8</v>
      </c>
      <c r="F605" t="s">
        <v>13</v>
      </c>
      <c r="G605" t="s">
        <v>14</v>
      </c>
      <c r="H605">
        <v>3290</v>
      </c>
      <c r="I605">
        <v>50</v>
      </c>
      <c r="J605" t="s">
        <v>43</v>
      </c>
      <c r="K605">
        <v>45608</v>
      </c>
      <c r="L605" t="s">
        <v>22</v>
      </c>
    </row>
    <row r="606" spans="1:12" x14ac:dyDescent="0.3">
      <c r="A606">
        <v>2004</v>
      </c>
      <c r="B606" t="s">
        <v>53</v>
      </c>
      <c r="C606">
        <v>14179</v>
      </c>
      <c r="D606">
        <v>3729.8</v>
      </c>
      <c r="E606">
        <v>26.8</v>
      </c>
      <c r="F606" t="s">
        <v>13</v>
      </c>
      <c r="G606" t="s">
        <v>14</v>
      </c>
      <c r="H606">
        <v>3138</v>
      </c>
      <c r="I606">
        <v>54</v>
      </c>
      <c r="J606" t="s">
        <v>43</v>
      </c>
      <c r="K606">
        <v>234581</v>
      </c>
      <c r="L606" t="s">
        <v>22</v>
      </c>
    </row>
    <row r="607" spans="1:12" x14ac:dyDescent="0.3">
      <c r="A607">
        <v>2004</v>
      </c>
      <c r="B607" t="s">
        <v>53</v>
      </c>
      <c r="C607">
        <v>14319</v>
      </c>
      <c r="D607">
        <v>3729.8</v>
      </c>
      <c r="E607">
        <v>26.8</v>
      </c>
      <c r="F607" t="s">
        <v>13</v>
      </c>
      <c r="G607" t="s">
        <v>14</v>
      </c>
      <c r="H607">
        <v>3423</v>
      </c>
      <c r="I607">
        <v>53</v>
      </c>
      <c r="J607" t="s">
        <v>15</v>
      </c>
      <c r="K607">
        <v>646</v>
      </c>
      <c r="L607" t="s">
        <v>22</v>
      </c>
    </row>
    <row r="608" spans="1:12" x14ac:dyDescent="0.3">
      <c r="A608">
        <v>2004</v>
      </c>
      <c r="B608" t="s">
        <v>53</v>
      </c>
      <c r="C608">
        <v>14464</v>
      </c>
      <c r="D608">
        <v>2746.2</v>
      </c>
      <c r="E608">
        <v>37</v>
      </c>
      <c r="F608" t="s">
        <v>13</v>
      </c>
      <c r="G608" t="s">
        <v>14</v>
      </c>
      <c r="H608">
        <v>3899</v>
      </c>
      <c r="I608">
        <v>59.5</v>
      </c>
      <c r="J608" t="s">
        <v>15</v>
      </c>
      <c r="K608">
        <v>43562</v>
      </c>
      <c r="L608" t="s">
        <v>22</v>
      </c>
    </row>
    <row r="609" spans="1:12" x14ac:dyDescent="0.3">
      <c r="A609">
        <v>2004</v>
      </c>
      <c r="B609" t="s">
        <v>53</v>
      </c>
      <c r="C609">
        <v>14876</v>
      </c>
      <c r="D609">
        <v>2746.2</v>
      </c>
      <c r="E609">
        <v>37</v>
      </c>
      <c r="F609" t="s">
        <v>13</v>
      </c>
      <c r="G609" t="s">
        <v>14</v>
      </c>
      <c r="H609">
        <v>4015</v>
      </c>
      <c r="I609">
        <v>55</v>
      </c>
      <c r="J609" t="s">
        <v>15</v>
      </c>
      <c r="K609">
        <v>200000</v>
      </c>
      <c r="L609" t="s">
        <v>22</v>
      </c>
    </row>
    <row r="610" spans="1:12" x14ac:dyDescent="0.3">
      <c r="A610">
        <v>2004</v>
      </c>
      <c r="B610" t="s">
        <v>53</v>
      </c>
      <c r="C610">
        <v>14976</v>
      </c>
      <c r="D610">
        <v>2746.2</v>
      </c>
      <c r="E610">
        <v>37</v>
      </c>
      <c r="F610" t="s">
        <v>13</v>
      </c>
      <c r="G610" t="s">
        <v>14</v>
      </c>
      <c r="H610">
        <v>4279</v>
      </c>
      <c r="I610">
        <v>53</v>
      </c>
      <c r="J610" t="s">
        <v>15</v>
      </c>
      <c r="K610">
        <v>4847</v>
      </c>
      <c r="L610" t="s">
        <v>22</v>
      </c>
    </row>
    <row r="611" spans="1:12" x14ac:dyDescent="0.3">
      <c r="A611">
        <v>2004</v>
      </c>
      <c r="B611" t="s">
        <v>53</v>
      </c>
      <c r="C611">
        <v>15009</v>
      </c>
      <c r="D611">
        <v>3360</v>
      </c>
      <c r="E611">
        <v>38</v>
      </c>
      <c r="F611" t="s">
        <v>13</v>
      </c>
      <c r="G611" t="s">
        <v>14</v>
      </c>
      <c r="H611">
        <v>4167</v>
      </c>
      <c r="I611">
        <v>53.5</v>
      </c>
      <c r="J611" t="s">
        <v>15</v>
      </c>
      <c r="K611">
        <v>51239</v>
      </c>
      <c r="L611" t="s">
        <v>22</v>
      </c>
    </row>
    <row r="612" spans="1:12" x14ac:dyDescent="0.3">
      <c r="A612">
        <v>2004</v>
      </c>
      <c r="B612" t="s">
        <v>53</v>
      </c>
      <c r="C612">
        <v>15114</v>
      </c>
      <c r="D612">
        <v>3360</v>
      </c>
      <c r="E612">
        <v>38</v>
      </c>
      <c r="F612" t="s">
        <v>13</v>
      </c>
      <c r="G612" t="s">
        <v>14</v>
      </c>
      <c r="H612">
        <v>4479</v>
      </c>
      <c r="I612">
        <v>52.5</v>
      </c>
      <c r="J612" t="s">
        <v>15</v>
      </c>
      <c r="K612">
        <v>216396</v>
      </c>
      <c r="L612" t="s">
        <v>22</v>
      </c>
    </row>
    <row r="613" spans="1:12" x14ac:dyDescent="0.3">
      <c r="A613">
        <v>2004</v>
      </c>
      <c r="B613" t="s">
        <v>53</v>
      </c>
      <c r="C613">
        <v>16224</v>
      </c>
      <c r="D613">
        <v>3360</v>
      </c>
      <c r="E613">
        <v>38</v>
      </c>
      <c r="F613" t="s">
        <v>13</v>
      </c>
      <c r="G613" t="s">
        <v>14</v>
      </c>
      <c r="H613">
        <v>3699</v>
      </c>
      <c r="I613">
        <v>56</v>
      </c>
      <c r="J613" t="s">
        <v>15</v>
      </c>
      <c r="K613">
        <v>2644</v>
      </c>
      <c r="L613" t="s">
        <v>22</v>
      </c>
    </row>
    <row r="614" spans="1:12" x14ac:dyDescent="0.3">
      <c r="A614">
        <v>2004</v>
      </c>
      <c r="B614" t="s">
        <v>53</v>
      </c>
      <c r="C614">
        <v>17095</v>
      </c>
      <c r="D614">
        <v>3605.4</v>
      </c>
      <c r="E614">
        <v>39</v>
      </c>
      <c r="F614" t="s">
        <v>13</v>
      </c>
      <c r="G614" t="s">
        <v>14</v>
      </c>
      <c r="H614">
        <v>4904</v>
      </c>
      <c r="I614">
        <v>57</v>
      </c>
      <c r="J614" t="s">
        <v>15</v>
      </c>
      <c r="K614">
        <v>44235</v>
      </c>
      <c r="L614" t="s">
        <v>22</v>
      </c>
    </row>
    <row r="615" spans="1:12" x14ac:dyDescent="0.3">
      <c r="A615">
        <v>2004</v>
      </c>
      <c r="B615" t="s">
        <v>53</v>
      </c>
      <c r="C615">
        <v>17512</v>
      </c>
      <c r="D615">
        <v>3605.4</v>
      </c>
      <c r="E615">
        <v>39</v>
      </c>
      <c r="F615" t="s">
        <v>13</v>
      </c>
      <c r="G615" t="s">
        <v>14</v>
      </c>
      <c r="H615">
        <v>2821</v>
      </c>
      <c r="I615">
        <v>57.5</v>
      </c>
      <c r="J615" t="s">
        <v>15</v>
      </c>
      <c r="K615">
        <v>203317</v>
      </c>
      <c r="L615" t="s">
        <v>22</v>
      </c>
    </row>
    <row r="616" spans="1:12" x14ac:dyDescent="0.3">
      <c r="A616">
        <v>2004</v>
      </c>
      <c r="B616" t="s">
        <v>53</v>
      </c>
      <c r="C616">
        <v>17587</v>
      </c>
      <c r="D616">
        <v>3605.4</v>
      </c>
      <c r="E616">
        <v>39</v>
      </c>
      <c r="F616" t="s">
        <v>13</v>
      </c>
      <c r="G616" t="s">
        <v>14</v>
      </c>
      <c r="H616">
        <v>3472</v>
      </c>
      <c r="I616">
        <v>57</v>
      </c>
      <c r="J616" t="s">
        <v>15</v>
      </c>
      <c r="K616">
        <v>2134</v>
      </c>
      <c r="L616" t="s">
        <v>22</v>
      </c>
    </row>
    <row r="617" spans="1:12" x14ac:dyDescent="0.3">
      <c r="A617">
        <v>2004</v>
      </c>
      <c r="B617" t="s">
        <v>53</v>
      </c>
      <c r="C617">
        <v>17771</v>
      </c>
      <c r="D617">
        <v>3512.4</v>
      </c>
      <c r="E617">
        <v>40</v>
      </c>
      <c r="F617" t="s">
        <v>13</v>
      </c>
      <c r="G617" t="s">
        <v>14</v>
      </c>
      <c r="H617">
        <v>3647</v>
      </c>
      <c r="I617">
        <v>55</v>
      </c>
      <c r="J617" t="s">
        <v>15</v>
      </c>
      <c r="K617">
        <v>45186</v>
      </c>
      <c r="L617" t="s">
        <v>22</v>
      </c>
    </row>
    <row r="618" spans="1:12" x14ac:dyDescent="0.3">
      <c r="A618">
        <v>2004</v>
      </c>
      <c r="B618" t="s">
        <v>53</v>
      </c>
      <c r="C618">
        <v>17825</v>
      </c>
      <c r="D618">
        <v>3512.4</v>
      </c>
      <c r="E618">
        <v>40</v>
      </c>
      <c r="F618" t="s">
        <v>13</v>
      </c>
      <c r="G618" t="s">
        <v>14</v>
      </c>
      <c r="H618">
        <v>393</v>
      </c>
      <c r="I618">
        <v>56</v>
      </c>
      <c r="J618" t="s">
        <v>15</v>
      </c>
      <c r="K618">
        <v>238542</v>
      </c>
      <c r="L618" t="s">
        <v>22</v>
      </c>
    </row>
    <row r="619" spans="1:12" x14ac:dyDescent="0.3">
      <c r="A619">
        <v>2004</v>
      </c>
      <c r="B619" t="s">
        <v>53</v>
      </c>
      <c r="C619">
        <v>3147</v>
      </c>
      <c r="D619">
        <v>3512.4</v>
      </c>
      <c r="E619">
        <v>27</v>
      </c>
      <c r="F619" t="s">
        <v>13</v>
      </c>
      <c r="G619" t="s">
        <v>14</v>
      </c>
      <c r="H619">
        <v>167</v>
      </c>
      <c r="I619">
        <v>54</v>
      </c>
      <c r="J619" t="s">
        <v>15</v>
      </c>
      <c r="K619">
        <v>1516</v>
      </c>
      <c r="L619" t="s">
        <v>22</v>
      </c>
    </row>
    <row r="620" spans="1:12" x14ac:dyDescent="0.3">
      <c r="A620">
        <v>2004</v>
      </c>
      <c r="B620" t="s">
        <v>53</v>
      </c>
      <c r="C620">
        <v>2578</v>
      </c>
      <c r="D620">
        <v>3296</v>
      </c>
      <c r="E620">
        <v>27</v>
      </c>
      <c r="F620" t="s">
        <v>13</v>
      </c>
      <c r="G620" t="s">
        <v>14</v>
      </c>
      <c r="H620">
        <v>71</v>
      </c>
      <c r="I620">
        <v>58</v>
      </c>
      <c r="J620" t="s">
        <v>15</v>
      </c>
      <c r="K620">
        <v>200000</v>
      </c>
      <c r="L620" t="s">
        <v>22</v>
      </c>
    </row>
    <row r="621" spans="1:12" x14ac:dyDescent="0.3">
      <c r="A621">
        <v>2004</v>
      </c>
      <c r="B621" t="s">
        <v>53</v>
      </c>
      <c r="C621">
        <v>1591</v>
      </c>
      <c r="D621">
        <v>3296</v>
      </c>
      <c r="E621">
        <v>27</v>
      </c>
      <c r="F621" t="s">
        <v>13</v>
      </c>
      <c r="G621" t="s">
        <v>14</v>
      </c>
      <c r="H621">
        <v>52</v>
      </c>
      <c r="I621">
        <v>58</v>
      </c>
      <c r="J621" t="s">
        <v>15</v>
      </c>
      <c r="K621">
        <v>4847</v>
      </c>
      <c r="L621" t="s">
        <v>22</v>
      </c>
    </row>
    <row r="622" spans="1:12" x14ac:dyDescent="0.3">
      <c r="A622">
        <v>2004</v>
      </c>
      <c r="B622" t="s">
        <v>53</v>
      </c>
      <c r="C622">
        <v>1298</v>
      </c>
      <c r="D622">
        <v>3296</v>
      </c>
      <c r="E622">
        <v>27</v>
      </c>
      <c r="F622" t="s">
        <v>13</v>
      </c>
      <c r="G622" t="s">
        <v>14</v>
      </c>
      <c r="H622">
        <v>2570</v>
      </c>
      <c r="I622">
        <v>59</v>
      </c>
      <c r="J622" t="s">
        <v>15</v>
      </c>
      <c r="K622">
        <v>51239</v>
      </c>
      <c r="L622" t="s">
        <v>22</v>
      </c>
    </row>
    <row r="623" spans="1:12" x14ac:dyDescent="0.3">
      <c r="A623">
        <v>2004</v>
      </c>
      <c r="B623" t="s">
        <v>53</v>
      </c>
      <c r="C623">
        <v>4</v>
      </c>
      <c r="D623">
        <v>3550</v>
      </c>
      <c r="E623">
        <v>27</v>
      </c>
      <c r="F623" t="s">
        <v>13</v>
      </c>
      <c r="G623" t="s">
        <v>14</v>
      </c>
      <c r="H623">
        <v>27170</v>
      </c>
      <c r="I623">
        <v>50</v>
      </c>
      <c r="J623" t="s">
        <v>35</v>
      </c>
      <c r="K623">
        <v>216396</v>
      </c>
      <c r="L623" t="s">
        <v>22</v>
      </c>
    </row>
    <row r="624" spans="1:12" x14ac:dyDescent="0.3">
      <c r="A624">
        <v>2004</v>
      </c>
      <c r="B624" t="s">
        <v>53</v>
      </c>
      <c r="C624">
        <v>1122</v>
      </c>
      <c r="D624">
        <v>3550</v>
      </c>
      <c r="E624">
        <v>27</v>
      </c>
      <c r="F624" t="s">
        <v>13</v>
      </c>
      <c r="G624" t="s">
        <v>14</v>
      </c>
      <c r="H624">
        <v>114744</v>
      </c>
      <c r="I624">
        <v>54</v>
      </c>
      <c r="J624" t="s">
        <v>35</v>
      </c>
      <c r="K624">
        <v>2644</v>
      </c>
      <c r="L624" t="s">
        <v>22</v>
      </c>
    </row>
    <row r="625" spans="1:12" x14ac:dyDescent="0.3">
      <c r="A625">
        <v>2004</v>
      </c>
      <c r="B625" t="s">
        <v>53</v>
      </c>
      <c r="C625">
        <v>917</v>
      </c>
      <c r="D625">
        <v>3550</v>
      </c>
      <c r="E625">
        <v>27.2</v>
      </c>
      <c r="F625" t="s">
        <v>13</v>
      </c>
      <c r="G625" t="s">
        <v>14</v>
      </c>
      <c r="H625">
        <v>1402</v>
      </c>
      <c r="I625">
        <v>53</v>
      </c>
      <c r="J625" t="s">
        <v>35</v>
      </c>
      <c r="K625">
        <v>44235</v>
      </c>
      <c r="L625" t="s">
        <v>22</v>
      </c>
    </row>
    <row r="626" spans="1:12" x14ac:dyDescent="0.3">
      <c r="A626">
        <v>2004</v>
      </c>
      <c r="B626" t="s">
        <v>53</v>
      </c>
      <c r="C626">
        <v>819</v>
      </c>
      <c r="D626">
        <v>3654</v>
      </c>
      <c r="E626">
        <v>27.2</v>
      </c>
      <c r="F626" t="s">
        <v>13</v>
      </c>
      <c r="G626" t="s">
        <v>21</v>
      </c>
      <c r="H626">
        <v>23456</v>
      </c>
      <c r="I626">
        <v>59.5</v>
      </c>
      <c r="J626" t="s">
        <v>35</v>
      </c>
      <c r="K626">
        <v>203317</v>
      </c>
      <c r="L626" t="s">
        <v>22</v>
      </c>
    </row>
    <row r="627" spans="1:12" x14ac:dyDescent="0.3">
      <c r="A627">
        <v>2004</v>
      </c>
      <c r="B627" t="s">
        <v>53</v>
      </c>
      <c r="C627">
        <v>619</v>
      </c>
      <c r="D627">
        <v>3654</v>
      </c>
      <c r="E627">
        <v>27.2</v>
      </c>
      <c r="F627" t="s">
        <v>13</v>
      </c>
      <c r="G627" t="s">
        <v>21</v>
      </c>
      <c r="H627">
        <v>107809</v>
      </c>
      <c r="I627">
        <v>55</v>
      </c>
      <c r="J627" t="s">
        <v>35</v>
      </c>
      <c r="K627">
        <v>2134</v>
      </c>
      <c r="L627" t="s">
        <v>22</v>
      </c>
    </row>
    <row r="628" spans="1:12" x14ac:dyDescent="0.3">
      <c r="A628">
        <v>2004</v>
      </c>
      <c r="B628" t="s">
        <v>53</v>
      </c>
      <c r="C628">
        <v>391</v>
      </c>
      <c r="D628">
        <v>3654</v>
      </c>
      <c r="E628">
        <v>27</v>
      </c>
      <c r="F628" t="s">
        <v>13</v>
      </c>
      <c r="G628" t="s">
        <v>21</v>
      </c>
      <c r="H628">
        <v>1132</v>
      </c>
      <c r="I628">
        <v>53</v>
      </c>
      <c r="J628" t="s">
        <v>35</v>
      </c>
      <c r="K628">
        <v>45186</v>
      </c>
      <c r="L628" t="s">
        <v>22</v>
      </c>
    </row>
    <row r="629" spans="1:12" x14ac:dyDescent="0.3">
      <c r="A629">
        <v>2004</v>
      </c>
      <c r="B629" t="s">
        <v>53</v>
      </c>
      <c r="C629">
        <v>211</v>
      </c>
      <c r="D629">
        <v>233</v>
      </c>
      <c r="E629">
        <v>27</v>
      </c>
      <c r="F629" t="s">
        <v>13</v>
      </c>
      <c r="G629" t="s">
        <v>21</v>
      </c>
      <c r="H629">
        <v>23960</v>
      </c>
      <c r="I629">
        <v>53.5</v>
      </c>
      <c r="J629" t="s">
        <v>49</v>
      </c>
      <c r="K629">
        <v>238542</v>
      </c>
      <c r="L629" t="s">
        <v>22</v>
      </c>
    </row>
    <row r="630" spans="1:12" x14ac:dyDescent="0.3">
      <c r="A630">
        <v>2004</v>
      </c>
      <c r="B630" t="s">
        <v>53</v>
      </c>
      <c r="C630">
        <v>153</v>
      </c>
      <c r="D630">
        <v>233</v>
      </c>
      <c r="E630">
        <v>27</v>
      </c>
      <c r="F630" t="s">
        <v>13</v>
      </c>
      <c r="G630" t="s">
        <v>21</v>
      </c>
      <c r="H630">
        <v>126487</v>
      </c>
      <c r="I630">
        <v>52.5</v>
      </c>
      <c r="J630" t="s">
        <v>49</v>
      </c>
      <c r="K630">
        <v>1516</v>
      </c>
      <c r="L630" t="s">
        <v>22</v>
      </c>
    </row>
    <row r="631" spans="1:12" x14ac:dyDescent="0.3">
      <c r="A631">
        <v>2004</v>
      </c>
      <c r="B631" t="s">
        <v>53</v>
      </c>
      <c r="C631">
        <v>111</v>
      </c>
      <c r="D631">
        <v>233</v>
      </c>
      <c r="E631">
        <v>27</v>
      </c>
      <c r="F631" t="s">
        <v>13</v>
      </c>
      <c r="G631" t="s">
        <v>21</v>
      </c>
      <c r="H631">
        <v>804</v>
      </c>
      <c r="I631">
        <v>56</v>
      </c>
      <c r="J631" t="s">
        <v>49</v>
      </c>
      <c r="K631">
        <v>57259</v>
      </c>
      <c r="L631" t="s">
        <v>22</v>
      </c>
    </row>
    <row r="632" spans="1:12" x14ac:dyDescent="0.3">
      <c r="A632">
        <v>2004</v>
      </c>
      <c r="B632" t="s">
        <v>34</v>
      </c>
      <c r="C632">
        <v>76</v>
      </c>
      <c r="D632">
        <v>234</v>
      </c>
      <c r="E632">
        <v>27</v>
      </c>
      <c r="F632" t="s">
        <v>13</v>
      </c>
      <c r="G632" t="s">
        <v>21</v>
      </c>
      <c r="H632">
        <v>30362</v>
      </c>
      <c r="I632">
        <v>57</v>
      </c>
      <c r="J632" t="s">
        <v>49</v>
      </c>
      <c r="K632">
        <v>234779</v>
      </c>
      <c r="L632" t="s">
        <v>22</v>
      </c>
    </row>
    <row r="633" spans="1:12" x14ac:dyDescent="0.3">
      <c r="A633">
        <v>2004</v>
      </c>
      <c r="B633" t="s">
        <v>34</v>
      </c>
      <c r="C633">
        <v>53</v>
      </c>
      <c r="D633">
        <v>234</v>
      </c>
      <c r="E633">
        <v>27</v>
      </c>
      <c r="F633" t="s">
        <v>13</v>
      </c>
      <c r="G633" t="s">
        <v>21</v>
      </c>
      <c r="H633">
        <v>124492</v>
      </c>
      <c r="I633">
        <v>57.5</v>
      </c>
      <c r="J633" t="s">
        <v>35</v>
      </c>
      <c r="K633">
        <v>1493</v>
      </c>
      <c r="L633" t="s">
        <v>22</v>
      </c>
    </row>
    <row r="634" spans="1:12" x14ac:dyDescent="0.3">
      <c r="A634">
        <v>2004</v>
      </c>
      <c r="B634" t="s">
        <v>34</v>
      </c>
      <c r="C634">
        <v>2688</v>
      </c>
      <c r="D634">
        <v>234</v>
      </c>
      <c r="E634">
        <v>27.2</v>
      </c>
      <c r="F634" t="s">
        <v>13</v>
      </c>
      <c r="G634" t="s">
        <v>21</v>
      </c>
      <c r="H634">
        <v>792</v>
      </c>
      <c r="I634">
        <v>57</v>
      </c>
      <c r="J634" t="s">
        <v>35</v>
      </c>
      <c r="K634">
        <v>64409</v>
      </c>
      <c r="L634" t="s">
        <v>22</v>
      </c>
    </row>
    <row r="635" spans="1:12" x14ac:dyDescent="0.3">
      <c r="A635">
        <v>2004</v>
      </c>
      <c r="B635" t="s">
        <v>34</v>
      </c>
      <c r="C635">
        <v>2311</v>
      </c>
      <c r="D635">
        <v>3105</v>
      </c>
      <c r="E635">
        <v>27.2</v>
      </c>
      <c r="F635" t="s">
        <v>13</v>
      </c>
      <c r="G635" t="s">
        <v>21</v>
      </c>
      <c r="H635">
        <v>34153</v>
      </c>
      <c r="I635">
        <v>55</v>
      </c>
      <c r="J635" t="s">
        <v>35</v>
      </c>
      <c r="K635">
        <v>249978</v>
      </c>
      <c r="L635" t="s">
        <v>22</v>
      </c>
    </row>
    <row r="636" spans="1:12" x14ac:dyDescent="0.3">
      <c r="A636">
        <v>2004</v>
      </c>
      <c r="B636" t="s">
        <v>34</v>
      </c>
      <c r="C636">
        <v>2188</v>
      </c>
      <c r="D636">
        <v>3105</v>
      </c>
      <c r="E636">
        <v>27.2</v>
      </c>
      <c r="F636" t="s">
        <v>13</v>
      </c>
      <c r="G636" t="s">
        <v>21</v>
      </c>
      <c r="H636">
        <v>2570</v>
      </c>
      <c r="I636">
        <v>56</v>
      </c>
      <c r="J636" t="s">
        <v>35</v>
      </c>
      <c r="K636">
        <v>637</v>
      </c>
      <c r="L636" t="s">
        <v>22</v>
      </c>
    </row>
    <row r="637" spans="1:12" x14ac:dyDescent="0.3">
      <c r="A637">
        <v>2004</v>
      </c>
      <c r="B637" t="s">
        <v>34</v>
      </c>
      <c r="C637">
        <v>1998</v>
      </c>
      <c r="D637">
        <v>3105</v>
      </c>
      <c r="E637">
        <v>27.1</v>
      </c>
      <c r="F637" t="s">
        <v>13</v>
      </c>
      <c r="G637" t="s">
        <v>21</v>
      </c>
      <c r="H637">
        <v>27170</v>
      </c>
      <c r="I637">
        <v>54</v>
      </c>
      <c r="J637" t="s">
        <v>35</v>
      </c>
      <c r="K637">
        <v>43311</v>
      </c>
      <c r="L637" t="s">
        <v>22</v>
      </c>
    </row>
    <row r="638" spans="1:12" x14ac:dyDescent="0.3">
      <c r="A638">
        <v>2004</v>
      </c>
      <c r="B638" t="s">
        <v>34</v>
      </c>
      <c r="C638">
        <v>2006</v>
      </c>
      <c r="D638">
        <v>236</v>
      </c>
      <c r="E638">
        <v>27.1</v>
      </c>
      <c r="F638" t="s">
        <v>13</v>
      </c>
      <c r="G638" t="s">
        <v>14</v>
      </c>
      <c r="H638">
        <v>114744</v>
      </c>
      <c r="I638">
        <v>57</v>
      </c>
      <c r="J638" t="s">
        <v>15</v>
      </c>
      <c r="K638">
        <v>200000</v>
      </c>
      <c r="L638" t="s">
        <v>22</v>
      </c>
    </row>
    <row r="639" spans="1:12" x14ac:dyDescent="0.3">
      <c r="A639">
        <v>2004</v>
      </c>
      <c r="B639" t="s">
        <v>34</v>
      </c>
      <c r="C639">
        <v>2034</v>
      </c>
      <c r="D639">
        <v>2903.1</v>
      </c>
      <c r="E639">
        <v>27.1</v>
      </c>
      <c r="F639" t="s">
        <v>13</v>
      </c>
      <c r="G639" t="s">
        <v>14</v>
      </c>
      <c r="H639">
        <v>1402</v>
      </c>
      <c r="I639">
        <v>57.5</v>
      </c>
      <c r="J639" t="s">
        <v>15</v>
      </c>
      <c r="K639">
        <v>4847</v>
      </c>
      <c r="L639" t="s">
        <v>22</v>
      </c>
    </row>
    <row r="640" spans="1:12" x14ac:dyDescent="0.3">
      <c r="A640">
        <v>2004</v>
      </c>
      <c r="B640" t="s">
        <v>34</v>
      </c>
      <c r="C640">
        <v>2035</v>
      </c>
      <c r="D640">
        <v>2903.1</v>
      </c>
      <c r="E640">
        <v>26.8</v>
      </c>
      <c r="F640" t="s">
        <v>13</v>
      </c>
      <c r="G640" t="s">
        <v>14</v>
      </c>
      <c r="H640">
        <v>23456</v>
      </c>
      <c r="I640">
        <v>57</v>
      </c>
      <c r="J640" t="s">
        <v>15</v>
      </c>
      <c r="K640">
        <v>51239</v>
      </c>
      <c r="L640" t="s">
        <v>22</v>
      </c>
    </row>
    <row r="641" spans="1:12" x14ac:dyDescent="0.3">
      <c r="A641">
        <v>2004</v>
      </c>
      <c r="B641" t="s">
        <v>34</v>
      </c>
      <c r="C641">
        <v>2074</v>
      </c>
      <c r="D641">
        <v>2903.1</v>
      </c>
      <c r="E641">
        <v>26.8</v>
      </c>
      <c r="F641" t="s">
        <v>13</v>
      </c>
      <c r="G641" t="s">
        <v>14</v>
      </c>
      <c r="H641">
        <v>107809</v>
      </c>
      <c r="I641">
        <v>55</v>
      </c>
      <c r="J641" t="s">
        <v>15</v>
      </c>
      <c r="K641">
        <v>216396</v>
      </c>
      <c r="L641" t="s">
        <v>22</v>
      </c>
    </row>
    <row r="642" spans="1:12" x14ac:dyDescent="0.3">
      <c r="A642">
        <v>2004</v>
      </c>
      <c r="B642" t="s">
        <v>34</v>
      </c>
      <c r="C642">
        <v>2127</v>
      </c>
      <c r="D642">
        <v>2996.6</v>
      </c>
      <c r="E642">
        <v>26.8</v>
      </c>
      <c r="F642" t="s">
        <v>13</v>
      </c>
      <c r="G642" t="s">
        <v>14</v>
      </c>
      <c r="H642">
        <v>1132</v>
      </c>
      <c r="I642">
        <v>56</v>
      </c>
      <c r="J642" t="s">
        <v>15</v>
      </c>
      <c r="K642">
        <v>2644</v>
      </c>
      <c r="L642" t="s">
        <v>22</v>
      </c>
    </row>
    <row r="643" spans="1:12" x14ac:dyDescent="0.3">
      <c r="A643">
        <v>2004</v>
      </c>
      <c r="B643" t="s">
        <v>34</v>
      </c>
      <c r="C643">
        <v>2090</v>
      </c>
      <c r="D643">
        <v>2996.6</v>
      </c>
      <c r="E643">
        <v>37</v>
      </c>
      <c r="F643" t="s">
        <v>13</v>
      </c>
      <c r="G643" t="s">
        <v>14</v>
      </c>
      <c r="H643">
        <v>23960</v>
      </c>
      <c r="I643">
        <v>54</v>
      </c>
      <c r="J643" t="s">
        <v>15</v>
      </c>
      <c r="K643">
        <v>44235</v>
      </c>
      <c r="L643" t="s">
        <v>22</v>
      </c>
    </row>
    <row r="644" spans="1:12" x14ac:dyDescent="0.3">
      <c r="A644">
        <v>2004</v>
      </c>
      <c r="B644" t="s">
        <v>34</v>
      </c>
      <c r="C644">
        <v>2059</v>
      </c>
      <c r="D644">
        <v>2996.6</v>
      </c>
      <c r="E644">
        <v>37</v>
      </c>
      <c r="F644" t="s">
        <v>13</v>
      </c>
      <c r="G644" t="s">
        <v>14</v>
      </c>
      <c r="H644">
        <v>126487</v>
      </c>
      <c r="I644">
        <v>58</v>
      </c>
      <c r="J644" t="s">
        <v>15</v>
      </c>
      <c r="K644">
        <v>203317</v>
      </c>
      <c r="L644" t="s">
        <v>22</v>
      </c>
    </row>
    <row r="645" spans="1:12" x14ac:dyDescent="0.3">
      <c r="A645">
        <v>2004</v>
      </c>
      <c r="B645" t="s">
        <v>34</v>
      </c>
      <c r="C645">
        <v>2050</v>
      </c>
      <c r="D645">
        <v>3522.8</v>
      </c>
      <c r="E645">
        <v>37</v>
      </c>
      <c r="F645" t="s">
        <v>13</v>
      </c>
      <c r="G645" t="s">
        <v>14</v>
      </c>
      <c r="H645">
        <v>804</v>
      </c>
      <c r="I645">
        <v>58</v>
      </c>
      <c r="J645" t="s">
        <v>15</v>
      </c>
      <c r="K645">
        <v>2134</v>
      </c>
      <c r="L645" t="s">
        <v>22</v>
      </c>
    </row>
    <row r="646" spans="1:12" x14ac:dyDescent="0.3">
      <c r="A646">
        <v>2004</v>
      </c>
      <c r="B646" t="s">
        <v>34</v>
      </c>
      <c r="C646">
        <v>1865</v>
      </c>
      <c r="D646">
        <v>3522.8</v>
      </c>
      <c r="E646">
        <v>38</v>
      </c>
      <c r="F646" t="s">
        <v>13</v>
      </c>
      <c r="G646" t="s">
        <v>14</v>
      </c>
      <c r="H646">
        <v>30362</v>
      </c>
      <c r="I646">
        <v>59</v>
      </c>
      <c r="J646" t="s">
        <v>15</v>
      </c>
      <c r="K646">
        <v>45186</v>
      </c>
      <c r="L646" t="s">
        <v>22</v>
      </c>
    </row>
    <row r="647" spans="1:12" x14ac:dyDescent="0.3">
      <c r="A647">
        <v>2004</v>
      </c>
      <c r="B647" t="s">
        <v>34</v>
      </c>
      <c r="C647">
        <v>1841</v>
      </c>
      <c r="D647">
        <v>3522.8</v>
      </c>
      <c r="E647">
        <v>38</v>
      </c>
      <c r="F647" t="s">
        <v>13</v>
      </c>
      <c r="G647" t="s">
        <v>14</v>
      </c>
      <c r="H647">
        <v>124492</v>
      </c>
      <c r="I647">
        <v>50</v>
      </c>
      <c r="J647" t="s">
        <v>15</v>
      </c>
      <c r="K647">
        <v>238542</v>
      </c>
      <c r="L647" t="s">
        <v>22</v>
      </c>
    </row>
    <row r="648" spans="1:12" x14ac:dyDescent="0.3">
      <c r="A648">
        <v>2004</v>
      </c>
      <c r="B648" t="s">
        <v>34</v>
      </c>
      <c r="C648">
        <v>1799</v>
      </c>
      <c r="D648">
        <v>3729.8</v>
      </c>
      <c r="E648">
        <v>38</v>
      </c>
      <c r="F648" t="s">
        <v>13</v>
      </c>
      <c r="G648" t="s">
        <v>14</v>
      </c>
      <c r="H648">
        <v>792</v>
      </c>
      <c r="I648">
        <v>54</v>
      </c>
      <c r="J648" t="s">
        <v>15</v>
      </c>
      <c r="K648">
        <v>1516</v>
      </c>
      <c r="L648" t="s">
        <v>22</v>
      </c>
    </row>
    <row r="649" spans="1:12" x14ac:dyDescent="0.3">
      <c r="A649">
        <v>2004</v>
      </c>
      <c r="B649" t="s">
        <v>34</v>
      </c>
      <c r="C649">
        <v>1468</v>
      </c>
      <c r="D649">
        <v>3729.8</v>
      </c>
      <c r="E649">
        <v>39</v>
      </c>
      <c r="F649" t="s">
        <v>13</v>
      </c>
      <c r="G649" t="s">
        <v>14</v>
      </c>
      <c r="H649">
        <v>34153</v>
      </c>
      <c r="I649">
        <v>53</v>
      </c>
      <c r="J649" t="s">
        <v>15</v>
      </c>
      <c r="K649">
        <v>57259</v>
      </c>
      <c r="L649" t="s">
        <v>22</v>
      </c>
    </row>
    <row r="650" spans="1:12" x14ac:dyDescent="0.3">
      <c r="A650">
        <v>2004</v>
      </c>
      <c r="B650" t="s">
        <v>34</v>
      </c>
      <c r="C650">
        <v>568</v>
      </c>
      <c r="D650">
        <v>3729.8</v>
      </c>
      <c r="E650">
        <v>39</v>
      </c>
      <c r="F650" t="s">
        <v>13</v>
      </c>
      <c r="G650" t="s">
        <v>14</v>
      </c>
      <c r="H650">
        <v>132551</v>
      </c>
      <c r="I650">
        <v>52</v>
      </c>
      <c r="J650" t="s">
        <v>15</v>
      </c>
      <c r="K650">
        <v>234779</v>
      </c>
      <c r="L650" t="s">
        <v>22</v>
      </c>
    </row>
    <row r="651" spans="1:12" x14ac:dyDescent="0.3">
      <c r="A651">
        <v>2004</v>
      </c>
      <c r="B651" t="s">
        <v>34</v>
      </c>
      <c r="C651">
        <v>407</v>
      </c>
      <c r="D651">
        <v>2746.2</v>
      </c>
      <c r="E651">
        <v>39</v>
      </c>
      <c r="F651" t="s">
        <v>13</v>
      </c>
      <c r="G651" t="s">
        <v>14</v>
      </c>
      <c r="H651">
        <v>338</v>
      </c>
      <c r="I651">
        <v>51</v>
      </c>
      <c r="J651" t="s">
        <v>15</v>
      </c>
      <c r="K651">
        <v>1493</v>
      </c>
      <c r="L651" t="s">
        <v>22</v>
      </c>
    </row>
    <row r="652" spans="1:12" x14ac:dyDescent="0.3">
      <c r="A652">
        <v>2004</v>
      </c>
      <c r="B652" t="s">
        <v>34</v>
      </c>
      <c r="C652">
        <v>177</v>
      </c>
      <c r="D652">
        <v>2746.2</v>
      </c>
      <c r="E652">
        <v>40</v>
      </c>
      <c r="F652" t="s">
        <v>36</v>
      </c>
      <c r="G652" t="s">
        <v>14</v>
      </c>
      <c r="H652">
        <v>22966</v>
      </c>
      <c r="I652">
        <v>57</v>
      </c>
      <c r="J652" t="s">
        <v>15</v>
      </c>
      <c r="K652">
        <v>64409</v>
      </c>
      <c r="L652" t="s">
        <v>22</v>
      </c>
    </row>
    <row r="653" spans="1:12" x14ac:dyDescent="0.3">
      <c r="A653">
        <v>2004</v>
      </c>
      <c r="B653" t="s">
        <v>34</v>
      </c>
      <c r="C653">
        <v>51</v>
      </c>
      <c r="D653">
        <v>2746.2</v>
      </c>
      <c r="E653">
        <v>40</v>
      </c>
      <c r="F653" t="s">
        <v>36</v>
      </c>
      <c r="G653" t="s">
        <v>14</v>
      </c>
      <c r="H653">
        <v>131763</v>
      </c>
      <c r="I653">
        <v>57</v>
      </c>
      <c r="J653" t="s">
        <v>15</v>
      </c>
      <c r="K653">
        <v>249978</v>
      </c>
      <c r="L653" t="s">
        <v>22</v>
      </c>
    </row>
    <row r="654" spans="1:12" x14ac:dyDescent="0.3">
      <c r="A654">
        <v>2004</v>
      </c>
      <c r="B654" t="s">
        <v>34</v>
      </c>
      <c r="C654">
        <v>173</v>
      </c>
      <c r="D654">
        <v>3360</v>
      </c>
      <c r="E654">
        <v>40</v>
      </c>
      <c r="F654" t="s">
        <v>36</v>
      </c>
      <c r="G654" t="s">
        <v>14</v>
      </c>
      <c r="H654">
        <v>404</v>
      </c>
      <c r="I654">
        <v>60</v>
      </c>
      <c r="J654" t="s">
        <v>15</v>
      </c>
      <c r="K654">
        <v>637</v>
      </c>
      <c r="L654" t="s">
        <v>22</v>
      </c>
    </row>
    <row r="655" spans="1:12" x14ac:dyDescent="0.3">
      <c r="A655">
        <v>2004</v>
      </c>
      <c r="B655" t="s">
        <v>34</v>
      </c>
      <c r="C655">
        <v>201</v>
      </c>
      <c r="D655">
        <v>3360</v>
      </c>
      <c r="E655">
        <v>41</v>
      </c>
      <c r="F655" t="s">
        <v>36</v>
      </c>
      <c r="G655" t="s">
        <v>14</v>
      </c>
      <c r="H655">
        <v>24184</v>
      </c>
      <c r="I655">
        <v>57</v>
      </c>
      <c r="J655" t="s">
        <v>15</v>
      </c>
      <c r="K655">
        <v>43311</v>
      </c>
      <c r="L655" t="s">
        <v>22</v>
      </c>
    </row>
    <row r="656" spans="1:12" x14ac:dyDescent="0.3">
      <c r="A656">
        <v>2004</v>
      </c>
      <c r="B656" t="s">
        <v>34</v>
      </c>
      <c r="C656">
        <v>206</v>
      </c>
      <c r="D656">
        <v>3360</v>
      </c>
      <c r="E656">
        <v>41</v>
      </c>
      <c r="F656" t="s">
        <v>36</v>
      </c>
      <c r="G656" t="s">
        <v>14</v>
      </c>
      <c r="H656">
        <v>124387</v>
      </c>
      <c r="I656">
        <v>57</v>
      </c>
      <c r="J656" t="s">
        <v>15</v>
      </c>
      <c r="K656">
        <v>24848</v>
      </c>
      <c r="L656" t="s">
        <v>22</v>
      </c>
    </row>
    <row r="657" spans="1:12" x14ac:dyDescent="0.3">
      <c r="A657">
        <v>2004</v>
      </c>
      <c r="B657" t="s">
        <v>34</v>
      </c>
      <c r="C657">
        <v>243</v>
      </c>
      <c r="D657">
        <v>3605.4</v>
      </c>
      <c r="E657">
        <v>41</v>
      </c>
      <c r="F657" t="s">
        <v>36</v>
      </c>
      <c r="G657" t="s">
        <v>14</v>
      </c>
      <c r="H657">
        <v>343</v>
      </c>
      <c r="I657">
        <v>54</v>
      </c>
      <c r="J657" t="s">
        <v>15</v>
      </c>
      <c r="K657">
        <v>761</v>
      </c>
      <c r="L657" t="s">
        <v>22</v>
      </c>
    </row>
    <row r="658" spans="1:12" x14ac:dyDescent="0.3">
      <c r="A658">
        <v>2004</v>
      </c>
      <c r="B658" t="s">
        <v>34</v>
      </c>
      <c r="C658">
        <v>123</v>
      </c>
      <c r="D658">
        <v>3605.4</v>
      </c>
      <c r="E658">
        <v>42</v>
      </c>
      <c r="F658" t="s">
        <v>36</v>
      </c>
      <c r="G658" t="s">
        <v>14</v>
      </c>
      <c r="H658">
        <v>23099</v>
      </c>
      <c r="I658">
        <v>54.5</v>
      </c>
      <c r="J658" t="s">
        <v>15</v>
      </c>
      <c r="K658">
        <v>45608</v>
      </c>
      <c r="L658" t="s">
        <v>22</v>
      </c>
    </row>
    <row r="659" spans="1:12" x14ac:dyDescent="0.3">
      <c r="A659">
        <v>2013</v>
      </c>
      <c r="B659" t="s">
        <v>34</v>
      </c>
      <c r="C659">
        <v>82</v>
      </c>
      <c r="D659">
        <v>3605.4</v>
      </c>
      <c r="E659">
        <v>42</v>
      </c>
      <c r="F659" t="s">
        <v>36</v>
      </c>
      <c r="G659" t="s">
        <v>14</v>
      </c>
      <c r="H659">
        <v>117825.84</v>
      </c>
      <c r="I659">
        <v>56.6</v>
      </c>
      <c r="J659" t="s">
        <v>15</v>
      </c>
      <c r="K659">
        <v>234581</v>
      </c>
      <c r="L659" t="s">
        <v>22</v>
      </c>
    </row>
    <row r="660" spans="1:12" x14ac:dyDescent="0.3">
      <c r="A660">
        <v>2014</v>
      </c>
      <c r="B660" t="s">
        <v>34</v>
      </c>
      <c r="C660">
        <v>74</v>
      </c>
      <c r="D660">
        <v>3512.4</v>
      </c>
      <c r="E660">
        <v>42</v>
      </c>
      <c r="F660" t="s">
        <v>36</v>
      </c>
      <c r="G660" t="s">
        <v>14</v>
      </c>
      <c r="H660">
        <v>336</v>
      </c>
      <c r="I660">
        <v>55.5</v>
      </c>
      <c r="J660" t="s">
        <v>15</v>
      </c>
      <c r="K660">
        <v>646</v>
      </c>
      <c r="L660" t="s">
        <v>22</v>
      </c>
    </row>
    <row r="661" spans="1:12" x14ac:dyDescent="0.3">
      <c r="A661">
        <v>2015</v>
      </c>
      <c r="B661" t="s">
        <v>34</v>
      </c>
      <c r="C661">
        <v>18</v>
      </c>
      <c r="D661">
        <v>3512.4</v>
      </c>
      <c r="E661">
        <v>43</v>
      </c>
      <c r="F661" t="s">
        <v>36</v>
      </c>
      <c r="G661" t="s">
        <v>14</v>
      </c>
      <c r="H661">
        <v>22594</v>
      </c>
      <c r="I661">
        <v>58.5</v>
      </c>
      <c r="J661" t="s">
        <v>15</v>
      </c>
      <c r="K661">
        <v>43562</v>
      </c>
      <c r="L661" t="s">
        <v>22</v>
      </c>
    </row>
    <row r="662" spans="1:12" x14ac:dyDescent="0.3">
      <c r="A662">
        <v>2016</v>
      </c>
      <c r="B662" t="s">
        <v>34</v>
      </c>
      <c r="C662">
        <v>37</v>
      </c>
      <c r="D662">
        <v>3512.4</v>
      </c>
      <c r="E662">
        <v>43</v>
      </c>
      <c r="F662" t="s">
        <v>36</v>
      </c>
      <c r="G662" t="s">
        <v>14</v>
      </c>
      <c r="H662">
        <v>116481.07</v>
      </c>
      <c r="I662">
        <v>59.5</v>
      </c>
      <c r="J662" t="s">
        <v>15</v>
      </c>
      <c r="K662">
        <v>200000</v>
      </c>
      <c r="L662" t="s">
        <v>22</v>
      </c>
    </row>
    <row r="663" spans="1:12" x14ac:dyDescent="0.3">
      <c r="A663">
        <v>2017</v>
      </c>
      <c r="B663" t="s">
        <v>34</v>
      </c>
      <c r="C663">
        <v>35</v>
      </c>
      <c r="D663">
        <v>3296</v>
      </c>
      <c r="E663">
        <v>27</v>
      </c>
      <c r="F663" t="s">
        <v>36</v>
      </c>
      <c r="G663" t="s">
        <v>14</v>
      </c>
      <c r="H663">
        <v>316</v>
      </c>
      <c r="I663">
        <v>55</v>
      </c>
      <c r="J663" t="s">
        <v>15</v>
      </c>
      <c r="K663">
        <v>4847</v>
      </c>
      <c r="L663" t="s">
        <v>22</v>
      </c>
    </row>
    <row r="664" spans="1:12" x14ac:dyDescent="0.3">
      <c r="A664">
        <v>2018</v>
      </c>
      <c r="B664" t="s">
        <v>34</v>
      </c>
      <c r="C664">
        <v>5974</v>
      </c>
      <c r="D664">
        <v>3296</v>
      </c>
      <c r="E664">
        <v>27</v>
      </c>
      <c r="F664" t="s">
        <v>36</v>
      </c>
      <c r="G664" t="s">
        <v>14</v>
      </c>
      <c r="H664">
        <v>21400</v>
      </c>
      <c r="I664">
        <v>53</v>
      </c>
      <c r="J664" t="s">
        <v>15</v>
      </c>
      <c r="K664">
        <v>51239</v>
      </c>
      <c r="L664" t="s">
        <v>22</v>
      </c>
    </row>
    <row r="665" spans="1:12" x14ac:dyDescent="0.3">
      <c r="A665">
        <v>2004</v>
      </c>
      <c r="B665" t="s">
        <v>34</v>
      </c>
      <c r="C665">
        <v>6631</v>
      </c>
      <c r="D665">
        <v>3296</v>
      </c>
      <c r="E665">
        <v>27</v>
      </c>
      <c r="F665" t="s">
        <v>36</v>
      </c>
      <c r="G665" t="s">
        <v>14</v>
      </c>
      <c r="H665">
        <v>122102</v>
      </c>
      <c r="I665">
        <v>53.5</v>
      </c>
      <c r="J665" t="s">
        <v>15</v>
      </c>
      <c r="K665">
        <v>216396</v>
      </c>
      <c r="L665" t="s">
        <v>22</v>
      </c>
    </row>
    <row r="666" spans="1:12" x14ac:dyDescent="0.3">
      <c r="A666">
        <v>2005</v>
      </c>
      <c r="B666" t="s">
        <v>34</v>
      </c>
      <c r="C666">
        <v>6705</v>
      </c>
      <c r="D666">
        <v>3550</v>
      </c>
      <c r="E666">
        <v>27</v>
      </c>
      <c r="F666" t="s">
        <v>36</v>
      </c>
      <c r="G666" t="s">
        <v>14</v>
      </c>
      <c r="H666">
        <v>382</v>
      </c>
      <c r="I666">
        <v>52.5</v>
      </c>
      <c r="J666" t="s">
        <v>15</v>
      </c>
      <c r="K666">
        <v>2644</v>
      </c>
      <c r="L666" t="s">
        <v>22</v>
      </c>
    </row>
    <row r="667" spans="1:12" x14ac:dyDescent="0.3">
      <c r="A667">
        <v>2006</v>
      </c>
      <c r="B667" t="s">
        <v>34</v>
      </c>
      <c r="C667">
        <v>5876</v>
      </c>
      <c r="D667">
        <v>3550</v>
      </c>
      <c r="E667">
        <v>27</v>
      </c>
      <c r="F667" t="s">
        <v>36</v>
      </c>
      <c r="G667" t="s">
        <v>14</v>
      </c>
      <c r="H667">
        <v>19578</v>
      </c>
      <c r="I667">
        <v>56</v>
      </c>
      <c r="J667" t="s">
        <v>15</v>
      </c>
      <c r="K667">
        <v>44235</v>
      </c>
      <c r="L667" t="s">
        <v>22</v>
      </c>
    </row>
    <row r="668" spans="1:12" x14ac:dyDescent="0.3">
      <c r="A668">
        <v>2007</v>
      </c>
      <c r="B668" t="s">
        <v>34</v>
      </c>
      <c r="C668">
        <v>326</v>
      </c>
      <c r="D668">
        <v>3550</v>
      </c>
      <c r="E668">
        <v>27</v>
      </c>
      <c r="F668" t="s">
        <v>36</v>
      </c>
      <c r="G668" t="s">
        <v>14</v>
      </c>
      <c r="H668">
        <v>121037</v>
      </c>
      <c r="I668">
        <v>57</v>
      </c>
      <c r="J668" t="s">
        <v>15</v>
      </c>
      <c r="K668">
        <v>203317</v>
      </c>
      <c r="L668" t="s">
        <v>22</v>
      </c>
    </row>
    <row r="669" spans="1:12" x14ac:dyDescent="0.3">
      <c r="A669">
        <v>2008</v>
      </c>
      <c r="B669" t="s">
        <v>34</v>
      </c>
      <c r="C669">
        <v>6470</v>
      </c>
      <c r="D669">
        <v>3654</v>
      </c>
      <c r="E669">
        <v>27.2</v>
      </c>
      <c r="F669" t="s">
        <v>36</v>
      </c>
      <c r="G669" t="s">
        <v>14</v>
      </c>
      <c r="H669">
        <v>231</v>
      </c>
      <c r="I669">
        <v>57.5</v>
      </c>
      <c r="J669" t="s">
        <v>15</v>
      </c>
      <c r="K669">
        <v>2134</v>
      </c>
      <c r="L669" t="s">
        <v>22</v>
      </c>
    </row>
    <row r="670" spans="1:12" x14ac:dyDescent="0.3">
      <c r="A670">
        <v>2009</v>
      </c>
      <c r="B670" t="s">
        <v>34</v>
      </c>
      <c r="C670">
        <v>6709</v>
      </c>
      <c r="D670">
        <v>3654</v>
      </c>
      <c r="E670">
        <v>27.2</v>
      </c>
      <c r="F670" t="s">
        <v>36</v>
      </c>
      <c r="G670" t="s">
        <v>14</v>
      </c>
      <c r="H670">
        <v>18951</v>
      </c>
      <c r="I670">
        <v>57</v>
      </c>
      <c r="J670" t="s">
        <v>15</v>
      </c>
      <c r="K670">
        <v>45186</v>
      </c>
      <c r="L670" t="s">
        <v>22</v>
      </c>
    </row>
    <row r="671" spans="1:12" x14ac:dyDescent="0.3">
      <c r="A671">
        <v>2010</v>
      </c>
      <c r="B671" t="s">
        <v>34</v>
      </c>
      <c r="C671">
        <v>6186</v>
      </c>
      <c r="D671">
        <v>3654</v>
      </c>
      <c r="E671">
        <v>27.2</v>
      </c>
      <c r="F671" t="s">
        <v>36</v>
      </c>
      <c r="G671" t="s">
        <v>14</v>
      </c>
      <c r="H671">
        <v>110579</v>
      </c>
      <c r="I671">
        <v>55</v>
      </c>
      <c r="J671" t="s">
        <v>15</v>
      </c>
      <c r="K671">
        <v>238542</v>
      </c>
      <c r="L671" t="s">
        <v>22</v>
      </c>
    </row>
    <row r="672" spans="1:12" x14ac:dyDescent="0.3">
      <c r="A672">
        <v>2011</v>
      </c>
      <c r="B672" t="s">
        <v>34</v>
      </c>
      <c r="C672">
        <v>6503</v>
      </c>
      <c r="D672">
        <v>233</v>
      </c>
      <c r="E672">
        <v>27</v>
      </c>
      <c r="F672" t="s">
        <v>36</v>
      </c>
      <c r="G672" t="s">
        <v>14</v>
      </c>
      <c r="H672">
        <v>221</v>
      </c>
      <c r="I672">
        <v>56</v>
      </c>
      <c r="J672" t="s">
        <v>15</v>
      </c>
      <c r="K672">
        <v>1516</v>
      </c>
      <c r="L672" t="s">
        <v>22</v>
      </c>
    </row>
    <row r="673" spans="1:12" x14ac:dyDescent="0.3">
      <c r="A673">
        <v>2012</v>
      </c>
      <c r="B673" t="s">
        <v>34</v>
      </c>
      <c r="C673">
        <v>5220</v>
      </c>
      <c r="D673">
        <v>233</v>
      </c>
      <c r="E673">
        <v>27</v>
      </c>
      <c r="F673" t="s">
        <v>36</v>
      </c>
      <c r="G673" t="s">
        <v>14</v>
      </c>
      <c r="H673">
        <v>15362</v>
      </c>
      <c r="I673">
        <v>54</v>
      </c>
      <c r="J673" t="s">
        <v>15</v>
      </c>
      <c r="K673">
        <v>57259</v>
      </c>
      <c r="L673" t="s">
        <v>22</v>
      </c>
    </row>
    <row r="674" spans="1:12" x14ac:dyDescent="0.3">
      <c r="A674">
        <v>2013</v>
      </c>
      <c r="B674" t="s">
        <v>34</v>
      </c>
      <c r="C674">
        <v>4677</v>
      </c>
      <c r="D674">
        <v>233</v>
      </c>
      <c r="E674">
        <v>27</v>
      </c>
      <c r="F674" t="s">
        <v>36</v>
      </c>
      <c r="G674" t="s">
        <v>14</v>
      </c>
      <c r="H674">
        <v>120373</v>
      </c>
      <c r="I674">
        <v>58</v>
      </c>
      <c r="J674" t="s">
        <v>15</v>
      </c>
      <c r="K674">
        <v>234779</v>
      </c>
      <c r="L674" t="s">
        <v>22</v>
      </c>
    </row>
    <row r="675" spans="1:12" x14ac:dyDescent="0.3">
      <c r="A675">
        <v>2014</v>
      </c>
      <c r="B675" t="s">
        <v>34</v>
      </c>
      <c r="C675">
        <v>4803</v>
      </c>
      <c r="D675">
        <v>234</v>
      </c>
      <c r="E675">
        <v>27</v>
      </c>
      <c r="F675" t="s">
        <v>36</v>
      </c>
      <c r="G675" t="s">
        <v>14</v>
      </c>
      <c r="H675">
        <v>291</v>
      </c>
      <c r="I675">
        <v>58</v>
      </c>
      <c r="J675" t="s">
        <v>15</v>
      </c>
      <c r="K675">
        <v>1493</v>
      </c>
      <c r="L675" t="s">
        <v>22</v>
      </c>
    </row>
    <row r="676" spans="1:12" x14ac:dyDescent="0.3">
      <c r="A676">
        <v>2015</v>
      </c>
      <c r="B676" t="s">
        <v>34</v>
      </c>
      <c r="C676">
        <v>3739</v>
      </c>
      <c r="D676">
        <v>234</v>
      </c>
      <c r="E676">
        <v>27</v>
      </c>
      <c r="F676" t="s">
        <v>36</v>
      </c>
      <c r="G676" t="s">
        <v>14</v>
      </c>
      <c r="H676">
        <v>17231</v>
      </c>
      <c r="I676">
        <v>59</v>
      </c>
      <c r="J676" t="s">
        <v>15</v>
      </c>
      <c r="K676">
        <v>64409</v>
      </c>
      <c r="L676" t="s">
        <v>22</v>
      </c>
    </row>
    <row r="677" spans="1:12" x14ac:dyDescent="0.3">
      <c r="A677">
        <v>2016</v>
      </c>
      <c r="B677" t="s">
        <v>34</v>
      </c>
      <c r="C677">
        <v>3529</v>
      </c>
      <c r="D677">
        <v>234</v>
      </c>
      <c r="E677">
        <v>27</v>
      </c>
      <c r="F677" t="s">
        <v>36</v>
      </c>
      <c r="G677" t="s">
        <v>14</v>
      </c>
      <c r="H677">
        <v>119359</v>
      </c>
      <c r="I677">
        <v>50</v>
      </c>
      <c r="J677" t="s">
        <v>15</v>
      </c>
      <c r="K677">
        <v>249978</v>
      </c>
      <c r="L677" t="s">
        <v>22</v>
      </c>
    </row>
    <row r="678" spans="1:12" x14ac:dyDescent="0.3">
      <c r="A678">
        <v>2017</v>
      </c>
      <c r="B678" t="s">
        <v>34</v>
      </c>
      <c r="C678">
        <v>3649</v>
      </c>
      <c r="D678">
        <v>3105</v>
      </c>
      <c r="E678">
        <v>27.2</v>
      </c>
      <c r="F678" t="s">
        <v>36</v>
      </c>
      <c r="G678" t="s">
        <v>14</v>
      </c>
      <c r="H678">
        <v>283</v>
      </c>
      <c r="I678">
        <v>54</v>
      </c>
      <c r="J678" t="s">
        <v>15</v>
      </c>
      <c r="K678">
        <v>637</v>
      </c>
      <c r="L678" t="s">
        <v>22</v>
      </c>
    </row>
    <row r="679" spans="1:12" x14ac:dyDescent="0.3">
      <c r="A679">
        <v>2018</v>
      </c>
      <c r="B679" t="s">
        <v>34</v>
      </c>
      <c r="C679">
        <v>1374</v>
      </c>
      <c r="D679">
        <v>3105</v>
      </c>
      <c r="E679">
        <v>27.2</v>
      </c>
      <c r="F679" t="s">
        <v>36</v>
      </c>
      <c r="G679" t="s">
        <v>14</v>
      </c>
      <c r="H679">
        <v>17690</v>
      </c>
      <c r="I679">
        <v>53</v>
      </c>
      <c r="J679" t="s">
        <v>15</v>
      </c>
      <c r="K679">
        <v>43311</v>
      </c>
      <c r="L679" t="s">
        <v>22</v>
      </c>
    </row>
    <row r="680" spans="1:12" x14ac:dyDescent="0.3">
      <c r="A680">
        <v>2004</v>
      </c>
      <c r="B680" t="s">
        <v>34</v>
      </c>
      <c r="C680">
        <v>1279</v>
      </c>
      <c r="D680">
        <v>3105</v>
      </c>
      <c r="E680">
        <v>27.2</v>
      </c>
      <c r="F680" t="s">
        <v>36</v>
      </c>
      <c r="G680" t="s">
        <v>14</v>
      </c>
      <c r="H680">
        <v>7157</v>
      </c>
      <c r="I680">
        <v>52</v>
      </c>
      <c r="J680" t="s">
        <v>15</v>
      </c>
      <c r="K680">
        <v>24848</v>
      </c>
      <c r="L680" t="s">
        <v>22</v>
      </c>
    </row>
    <row r="681" spans="1:12" x14ac:dyDescent="0.3">
      <c r="A681">
        <v>2005</v>
      </c>
      <c r="B681" t="s">
        <v>34</v>
      </c>
      <c r="C681">
        <v>13283</v>
      </c>
      <c r="D681">
        <v>236</v>
      </c>
      <c r="E681">
        <v>27.1</v>
      </c>
      <c r="F681" t="s">
        <v>36</v>
      </c>
      <c r="G681" t="s">
        <v>14</v>
      </c>
      <c r="H681">
        <v>8700</v>
      </c>
      <c r="I681">
        <v>51</v>
      </c>
      <c r="J681" t="s">
        <v>15</v>
      </c>
      <c r="K681">
        <v>761</v>
      </c>
      <c r="L681" t="s">
        <v>22</v>
      </c>
    </row>
    <row r="682" spans="1:12" x14ac:dyDescent="0.3">
      <c r="A682">
        <v>2006</v>
      </c>
      <c r="B682" t="s">
        <v>34</v>
      </c>
      <c r="C682">
        <v>52119</v>
      </c>
      <c r="D682">
        <v>236</v>
      </c>
      <c r="E682">
        <v>27.1</v>
      </c>
      <c r="F682" t="s">
        <v>36</v>
      </c>
      <c r="G682" t="s">
        <v>21</v>
      </c>
      <c r="H682">
        <v>41266</v>
      </c>
      <c r="I682">
        <v>57</v>
      </c>
      <c r="J682" t="s">
        <v>15</v>
      </c>
      <c r="K682">
        <v>45608</v>
      </c>
      <c r="L682" t="s">
        <v>22</v>
      </c>
    </row>
    <row r="683" spans="1:12" x14ac:dyDescent="0.3">
      <c r="A683">
        <v>2007</v>
      </c>
      <c r="B683" t="s">
        <v>34</v>
      </c>
      <c r="C683">
        <v>725</v>
      </c>
      <c r="D683">
        <v>321</v>
      </c>
      <c r="E683">
        <v>27.1</v>
      </c>
      <c r="F683" t="s">
        <v>36</v>
      </c>
      <c r="G683" t="s">
        <v>21</v>
      </c>
      <c r="H683">
        <v>8838</v>
      </c>
      <c r="I683">
        <v>57</v>
      </c>
      <c r="J683" t="s">
        <v>15</v>
      </c>
      <c r="K683">
        <v>234581</v>
      </c>
      <c r="L683" t="s">
        <v>22</v>
      </c>
    </row>
    <row r="684" spans="1:12" x14ac:dyDescent="0.3">
      <c r="A684">
        <v>2008</v>
      </c>
      <c r="B684" t="s">
        <v>34</v>
      </c>
      <c r="C684">
        <v>12885</v>
      </c>
      <c r="D684">
        <v>3654</v>
      </c>
      <c r="E684">
        <v>26.8</v>
      </c>
      <c r="F684" t="s">
        <v>36</v>
      </c>
      <c r="G684" t="s">
        <v>21</v>
      </c>
      <c r="H684">
        <v>8954</v>
      </c>
      <c r="I684">
        <v>60</v>
      </c>
      <c r="J684" t="s">
        <v>15</v>
      </c>
      <c r="K684">
        <v>646</v>
      </c>
      <c r="L684" t="s">
        <v>22</v>
      </c>
    </row>
    <row r="685" spans="1:12" x14ac:dyDescent="0.3">
      <c r="A685">
        <v>2009</v>
      </c>
      <c r="B685" t="s">
        <v>34</v>
      </c>
      <c r="C685">
        <v>51179</v>
      </c>
      <c r="D685">
        <v>323</v>
      </c>
      <c r="E685">
        <v>26.8</v>
      </c>
      <c r="F685" t="s">
        <v>36</v>
      </c>
      <c r="G685" t="s">
        <v>21</v>
      </c>
      <c r="H685">
        <v>42915</v>
      </c>
      <c r="I685">
        <v>57</v>
      </c>
      <c r="J685" t="s">
        <v>15</v>
      </c>
      <c r="K685">
        <v>43562</v>
      </c>
      <c r="L685" t="s">
        <v>22</v>
      </c>
    </row>
    <row r="686" spans="1:12" x14ac:dyDescent="0.3">
      <c r="A686">
        <v>2010</v>
      </c>
      <c r="B686" t="s">
        <v>34</v>
      </c>
      <c r="C686">
        <v>468</v>
      </c>
      <c r="D686">
        <v>324</v>
      </c>
      <c r="E686">
        <v>26.8</v>
      </c>
      <c r="F686" t="s">
        <v>36</v>
      </c>
      <c r="G686" t="s">
        <v>21</v>
      </c>
      <c r="H686">
        <v>9230</v>
      </c>
      <c r="I686">
        <v>57</v>
      </c>
      <c r="J686" t="s">
        <v>15</v>
      </c>
      <c r="K686">
        <v>200000</v>
      </c>
      <c r="L686" t="s">
        <v>22</v>
      </c>
    </row>
    <row r="687" spans="1:12" x14ac:dyDescent="0.3">
      <c r="A687">
        <v>2011</v>
      </c>
      <c r="B687" t="s">
        <v>34</v>
      </c>
      <c r="C687">
        <v>11841</v>
      </c>
      <c r="D687">
        <v>3105</v>
      </c>
      <c r="E687">
        <v>37</v>
      </c>
      <c r="F687" t="s">
        <v>36</v>
      </c>
      <c r="G687" t="s">
        <v>21</v>
      </c>
      <c r="H687">
        <v>44313</v>
      </c>
      <c r="I687">
        <v>54</v>
      </c>
      <c r="J687" t="s">
        <v>15</v>
      </c>
      <c r="K687">
        <v>4847</v>
      </c>
      <c r="L687" t="s">
        <v>22</v>
      </c>
    </row>
    <row r="688" spans="1:12" x14ac:dyDescent="0.3">
      <c r="A688">
        <v>2012</v>
      </c>
      <c r="B688" t="s">
        <v>34</v>
      </c>
      <c r="C688">
        <v>50975</v>
      </c>
      <c r="D688">
        <v>326</v>
      </c>
      <c r="E688">
        <v>37</v>
      </c>
      <c r="F688" t="s">
        <v>36</v>
      </c>
      <c r="G688" t="s">
        <v>21</v>
      </c>
      <c r="H688">
        <v>45820</v>
      </c>
      <c r="I688">
        <v>54.5</v>
      </c>
      <c r="J688" t="s">
        <v>15</v>
      </c>
      <c r="K688">
        <v>51239</v>
      </c>
      <c r="L688" t="s">
        <v>22</v>
      </c>
    </row>
    <row r="689" spans="1:12" x14ac:dyDescent="0.3">
      <c r="A689">
        <v>2013</v>
      </c>
      <c r="B689" t="s">
        <v>34</v>
      </c>
      <c r="C689">
        <v>206</v>
      </c>
      <c r="D689">
        <v>327</v>
      </c>
      <c r="E689">
        <v>37</v>
      </c>
      <c r="F689" t="s">
        <v>36</v>
      </c>
      <c r="G689" t="s">
        <v>21</v>
      </c>
      <c r="H689">
        <v>49084</v>
      </c>
      <c r="I689">
        <v>56.6</v>
      </c>
      <c r="J689" t="s">
        <v>15</v>
      </c>
      <c r="K689">
        <v>216396</v>
      </c>
      <c r="L689" t="s">
        <v>22</v>
      </c>
    </row>
    <row r="690" spans="1:12" x14ac:dyDescent="0.3">
      <c r="A690">
        <v>2014</v>
      </c>
      <c r="B690" t="s">
        <v>34</v>
      </c>
      <c r="C690">
        <v>10922</v>
      </c>
      <c r="D690">
        <v>328</v>
      </c>
      <c r="E690">
        <v>38</v>
      </c>
      <c r="F690" t="s">
        <v>36</v>
      </c>
      <c r="G690" t="s">
        <v>21</v>
      </c>
      <c r="H690">
        <v>86311</v>
      </c>
      <c r="I690">
        <v>55.5</v>
      </c>
      <c r="J690" t="s">
        <v>15</v>
      </c>
      <c r="K690">
        <v>2644</v>
      </c>
      <c r="L690" t="s">
        <v>22</v>
      </c>
    </row>
    <row r="691" spans="1:12" x14ac:dyDescent="0.3">
      <c r="A691">
        <v>2015</v>
      </c>
      <c r="B691" t="s">
        <v>34</v>
      </c>
      <c r="C691">
        <v>51390</v>
      </c>
      <c r="D691">
        <v>2903.1</v>
      </c>
      <c r="E691">
        <v>38</v>
      </c>
      <c r="F691" t="s">
        <v>36</v>
      </c>
      <c r="G691" t="s">
        <v>21</v>
      </c>
      <c r="H691">
        <v>57642</v>
      </c>
      <c r="I691">
        <v>58.5</v>
      </c>
      <c r="J691" t="s">
        <v>15</v>
      </c>
      <c r="K691">
        <v>44235</v>
      </c>
      <c r="L691" t="s">
        <v>22</v>
      </c>
    </row>
    <row r="692" spans="1:12" x14ac:dyDescent="0.3">
      <c r="A692">
        <v>2016</v>
      </c>
      <c r="B692" t="s">
        <v>34</v>
      </c>
      <c r="C692">
        <v>177</v>
      </c>
      <c r="D692">
        <v>2903.1</v>
      </c>
      <c r="E692">
        <v>38</v>
      </c>
      <c r="F692" t="s">
        <v>36</v>
      </c>
      <c r="G692" t="s">
        <v>21</v>
      </c>
      <c r="H692">
        <v>58405</v>
      </c>
      <c r="I692">
        <v>59.5</v>
      </c>
      <c r="J692" t="s">
        <v>15</v>
      </c>
      <c r="K692">
        <v>203317</v>
      </c>
      <c r="L692" t="s">
        <v>22</v>
      </c>
    </row>
    <row r="693" spans="1:12" x14ac:dyDescent="0.3">
      <c r="A693">
        <v>2017</v>
      </c>
      <c r="B693" t="s">
        <v>34</v>
      </c>
      <c r="C693">
        <v>10723</v>
      </c>
      <c r="D693">
        <v>2903.1</v>
      </c>
      <c r="E693">
        <v>39</v>
      </c>
      <c r="F693" t="s">
        <v>36</v>
      </c>
      <c r="G693" t="s">
        <v>21</v>
      </c>
      <c r="H693">
        <v>60751</v>
      </c>
      <c r="I693">
        <v>55</v>
      </c>
      <c r="J693" t="s">
        <v>15</v>
      </c>
      <c r="K693">
        <v>2134</v>
      </c>
      <c r="L693" t="s">
        <v>22</v>
      </c>
    </row>
    <row r="694" spans="1:12" x14ac:dyDescent="0.3">
      <c r="A694">
        <v>2018</v>
      </c>
      <c r="B694" t="s">
        <v>34</v>
      </c>
      <c r="C694">
        <v>51709</v>
      </c>
      <c r="D694">
        <v>2996.6</v>
      </c>
      <c r="E694">
        <v>39</v>
      </c>
      <c r="F694" t="s">
        <v>36</v>
      </c>
      <c r="G694" t="s">
        <v>21</v>
      </c>
      <c r="H694">
        <v>109506</v>
      </c>
      <c r="I694">
        <v>53</v>
      </c>
      <c r="J694" t="s">
        <v>15</v>
      </c>
      <c r="K694">
        <v>45186</v>
      </c>
      <c r="L694" t="s">
        <v>22</v>
      </c>
    </row>
    <row r="695" spans="1:12" x14ac:dyDescent="0.3">
      <c r="A695">
        <v>2004</v>
      </c>
      <c r="B695" t="s">
        <v>34</v>
      </c>
      <c r="C695">
        <v>146</v>
      </c>
      <c r="D695">
        <v>2996.6</v>
      </c>
      <c r="E695">
        <v>39</v>
      </c>
      <c r="F695" t="s">
        <v>36</v>
      </c>
      <c r="G695" t="s">
        <v>21</v>
      </c>
      <c r="H695">
        <v>114</v>
      </c>
      <c r="I695">
        <v>53.5</v>
      </c>
      <c r="J695" t="s">
        <v>15</v>
      </c>
      <c r="K695">
        <v>238542</v>
      </c>
      <c r="L695" t="s">
        <v>22</v>
      </c>
    </row>
    <row r="696" spans="1:12" x14ac:dyDescent="0.3">
      <c r="A696">
        <v>2005</v>
      </c>
      <c r="B696" t="s">
        <v>34</v>
      </c>
      <c r="C696">
        <v>10910</v>
      </c>
      <c r="D696">
        <v>2996.6</v>
      </c>
      <c r="E696">
        <v>40</v>
      </c>
      <c r="F696" t="s">
        <v>36</v>
      </c>
      <c r="G696" t="s">
        <v>21</v>
      </c>
      <c r="H696">
        <v>3</v>
      </c>
      <c r="I696">
        <v>52.5</v>
      </c>
      <c r="J696" t="s">
        <v>15</v>
      </c>
      <c r="K696">
        <v>1516</v>
      </c>
      <c r="L696" t="s">
        <v>22</v>
      </c>
    </row>
    <row r="697" spans="1:12" x14ac:dyDescent="0.3">
      <c r="A697">
        <v>2006</v>
      </c>
      <c r="B697" t="s">
        <v>34</v>
      </c>
      <c r="C697">
        <v>51355</v>
      </c>
      <c r="D697">
        <v>3522.8</v>
      </c>
      <c r="E697">
        <v>40</v>
      </c>
      <c r="F697" t="s">
        <v>36</v>
      </c>
      <c r="G697" t="s">
        <v>21</v>
      </c>
      <c r="H697">
        <v>95</v>
      </c>
      <c r="I697">
        <v>56</v>
      </c>
      <c r="J697" t="s">
        <v>15</v>
      </c>
      <c r="K697">
        <v>57259</v>
      </c>
      <c r="L697" t="s">
        <v>22</v>
      </c>
    </row>
    <row r="698" spans="1:12" x14ac:dyDescent="0.3">
      <c r="A698">
        <v>2007</v>
      </c>
      <c r="B698" t="s">
        <v>34</v>
      </c>
      <c r="C698">
        <v>160</v>
      </c>
      <c r="D698">
        <v>3522.8</v>
      </c>
      <c r="E698">
        <v>40</v>
      </c>
      <c r="F698" t="s">
        <v>36</v>
      </c>
      <c r="G698" t="s">
        <v>21</v>
      </c>
      <c r="H698">
        <v>19</v>
      </c>
      <c r="I698">
        <v>57</v>
      </c>
      <c r="J698" t="s">
        <v>15</v>
      </c>
      <c r="K698">
        <v>234779</v>
      </c>
      <c r="L698" t="s">
        <v>22</v>
      </c>
    </row>
    <row r="699" spans="1:12" x14ac:dyDescent="0.3">
      <c r="A699">
        <v>2008</v>
      </c>
      <c r="B699" t="s">
        <v>34</v>
      </c>
      <c r="C699">
        <v>10912</v>
      </c>
      <c r="D699">
        <v>3522.8</v>
      </c>
      <c r="E699">
        <v>41</v>
      </c>
      <c r="F699" t="s">
        <v>36</v>
      </c>
      <c r="G699" t="s">
        <v>21</v>
      </c>
      <c r="H699">
        <v>54</v>
      </c>
      <c r="I699">
        <v>57.5</v>
      </c>
      <c r="J699" t="s">
        <v>15</v>
      </c>
      <c r="K699">
        <v>1493</v>
      </c>
      <c r="L699" t="s">
        <v>22</v>
      </c>
    </row>
    <row r="700" spans="1:12" x14ac:dyDescent="0.3">
      <c r="A700">
        <v>2009</v>
      </c>
      <c r="B700" t="s">
        <v>34</v>
      </c>
      <c r="C700">
        <v>51353</v>
      </c>
      <c r="D700">
        <v>3729.8</v>
      </c>
      <c r="E700">
        <v>41</v>
      </c>
      <c r="F700" t="s">
        <v>36</v>
      </c>
      <c r="G700" t="s">
        <v>21</v>
      </c>
      <c r="H700">
        <v>13</v>
      </c>
      <c r="I700">
        <v>57</v>
      </c>
      <c r="J700" t="s">
        <v>15</v>
      </c>
      <c r="K700">
        <v>64409</v>
      </c>
      <c r="L700" t="s">
        <v>22</v>
      </c>
    </row>
    <row r="701" spans="1:12" x14ac:dyDescent="0.3">
      <c r="A701">
        <v>2010</v>
      </c>
      <c r="B701" t="s">
        <v>34</v>
      </c>
      <c r="C701">
        <v>1279</v>
      </c>
      <c r="D701">
        <v>3729.8</v>
      </c>
      <c r="E701">
        <v>41</v>
      </c>
      <c r="F701" t="s">
        <v>36</v>
      </c>
      <c r="G701" t="s">
        <v>21</v>
      </c>
      <c r="H701">
        <v>123</v>
      </c>
      <c r="I701">
        <v>55</v>
      </c>
      <c r="J701" t="s">
        <v>15</v>
      </c>
      <c r="K701">
        <v>249978</v>
      </c>
      <c r="L701" t="s">
        <v>22</v>
      </c>
    </row>
    <row r="702" spans="1:12" x14ac:dyDescent="0.3">
      <c r="A702">
        <v>2011</v>
      </c>
      <c r="B702" t="s">
        <v>34</v>
      </c>
      <c r="C702">
        <v>13283</v>
      </c>
      <c r="D702">
        <v>3729.8</v>
      </c>
      <c r="E702">
        <v>42</v>
      </c>
      <c r="F702" t="s">
        <v>54</v>
      </c>
      <c r="G702" t="s">
        <v>21</v>
      </c>
      <c r="H702">
        <v>19</v>
      </c>
      <c r="I702">
        <v>56</v>
      </c>
      <c r="J702" t="s">
        <v>15</v>
      </c>
      <c r="K702">
        <v>200000</v>
      </c>
      <c r="L702" t="s">
        <v>22</v>
      </c>
    </row>
    <row r="703" spans="1:12" x14ac:dyDescent="0.3">
      <c r="A703">
        <v>2012</v>
      </c>
      <c r="B703" t="s">
        <v>34</v>
      </c>
      <c r="C703">
        <v>52119</v>
      </c>
      <c r="D703">
        <v>2746.2</v>
      </c>
      <c r="E703">
        <v>42</v>
      </c>
      <c r="F703" t="s">
        <v>54</v>
      </c>
      <c r="G703" t="s">
        <v>21</v>
      </c>
      <c r="H703">
        <v>32</v>
      </c>
      <c r="I703">
        <v>54</v>
      </c>
      <c r="J703" t="s">
        <v>15</v>
      </c>
      <c r="K703">
        <v>4847</v>
      </c>
      <c r="L703" t="s">
        <v>22</v>
      </c>
    </row>
    <row r="704" spans="1:12" x14ac:dyDescent="0.3">
      <c r="A704">
        <v>2013</v>
      </c>
      <c r="B704" t="s">
        <v>34</v>
      </c>
      <c r="C704">
        <v>725</v>
      </c>
      <c r="D704">
        <v>2746.2</v>
      </c>
      <c r="E704">
        <v>42</v>
      </c>
      <c r="F704" t="s">
        <v>54</v>
      </c>
      <c r="G704" t="s">
        <v>21</v>
      </c>
      <c r="H704">
        <v>8</v>
      </c>
      <c r="I704">
        <v>58</v>
      </c>
      <c r="J704" t="s">
        <v>15</v>
      </c>
      <c r="K704">
        <v>51239</v>
      </c>
      <c r="L704" t="s">
        <v>22</v>
      </c>
    </row>
    <row r="705" spans="1:12" x14ac:dyDescent="0.3">
      <c r="A705">
        <v>2014</v>
      </c>
      <c r="B705" t="s">
        <v>34</v>
      </c>
      <c r="C705">
        <v>12885</v>
      </c>
      <c r="D705">
        <v>2746.2</v>
      </c>
      <c r="E705">
        <v>43</v>
      </c>
      <c r="F705" t="s">
        <v>54</v>
      </c>
      <c r="G705" t="s">
        <v>21</v>
      </c>
      <c r="H705">
        <v>50</v>
      </c>
      <c r="I705">
        <v>58</v>
      </c>
      <c r="J705" t="s">
        <v>15</v>
      </c>
      <c r="K705">
        <v>216396</v>
      </c>
      <c r="L705" t="s">
        <v>22</v>
      </c>
    </row>
    <row r="706" spans="1:12" x14ac:dyDescent="0.3">
      <c r="A706">
        <v>2015</v>
      </c>
      <c r="B706" t="s">
        <v>34</v>
      </c>
      <c r="C706">
        <v>51179</v>
      </c>
      <c r="D706">
        <v>3360</v>
      </c>
      <c r="E706">
        <v>27</v>
      </c>
      <c r="F706" t="s">
        <v>54</v>
      </c>
      <c r="G706" t="s">
        <v>21</v>
      </c>
      <c r="H706">
        <v>10</v>
      </c>
      <c r="I706">
        <v>59</v>
      </c>
      <c r="J706" t="s">
        <v>15</v>
      </c>
      <c r="K706">
        <v>2644</v>
      </c>
      <c r="L706" t="s">
        <v>22</v>
      </c>
    </row>
    <row r="707" spans="1:12" x14ac:dyDescent="0.3">
      <c r="A707">
        <v>2016</v>
      </c>
      <c r="B707" t="s">
        <v>34</v>
      </c>
      <c r="C707">
        <v>468</v>
      </c>
      <c r="D707">
        <v>3360</v>
      </c>
      <c r="E707">
        <v>27</v>
      </c>
      <c r="F707" t="s">
        <v>54</v>
      </c>
      <c r="G707" t="s">
        <v>21</v>
      </c>
      <c r="H707">
        <v>29</v>
      </c>
      <c r="I707">
        <v>50</v>
      </c>
      <c r="J707" t="s">
        <v>15</v>
      </c>
      <c r="K707">
        <v>44235</v>
      </c>
      <c r="L707" t="s">
        <v>22</v>
      </c>
    </row>
    <row r="708" spans="1:12" x14ac:dyDescent="0.3">
      <c r="A708">
        <v>2017</v>
      </c>
      <c r="B708" t="s">
        <v>34</v>
      </c>
      <c r="C708">
        <v>11841</v>
      </c>
      <c r="D708">
        <v>3360</v>
      </c>
      <c r="E708">
        <v>27</v>
      </c>
      <c r="F708" t="s">
        <v>54</v>
      </c>
      <c r="G708" t="s">
        <v>21</v>
      </c>
      <c r="H708">
        <v>44</v>
      </c>
      <c r="I708">
        <v>54</v>
      </c>
      <c r="J708" t="s">
        <v>15</v>
      </c>
      <c r="K708">
        <v>203317</v>
      </c>
      <c r="L708" t="s">
        <v>22</v>
      </c>
    </row>
    <row r="709" spans="1:12" x14ac:dyDescent="0.3">
      <c r="A709">
        <v>2018</v>
      </c>
      <c r="B709" t="s">
        <v>34</v>
      </c>
      <c r="C709">
        <v>50975</v>
      </c>
      <c r="D709">
        <v>3605.4</v>
      </c>
      <c r="E709">
        <v>27</v>
      </c>
      <c r="F709" t="s">
        <v>54</v>
      </c>
      <c r="G709" t="s">
        <v>21</v>
      </c>
      <c r="H709">
        <v>33</v>
      </c>
      <c r="I709">
        <v>53</v>
      </c>
      <c r="J709" t="s">
        <v>15</v>
      </c>
      <c r="K709">
        <v>2134</v>
      </c>
      <c r="L709" t="s">
        <v>22</v>
      </c>
    </row>
    <row r="710" spans="1:12" x14ac:dyDescent="0.3">
      <c r="A710">
        <v>2004</v>
      </c>
      <c r="B710" t="s">
        <v>34</v>
      </c>
      <c r="C710">
        <v>206</v>
      </c>
      <c r="D710">
        <v>3605.4</v>
      </c>
      <c r="E710">
        <v>27</v>
      </c>
      <c r="F710" t="s">
        <v>54</v>
      </c>
      <c r="G710" t="s">
        <v>21</v>
      </c>
      <c r="H710">
        <v>14</v>
      </c>
      <c r="I710">
        <v>52</v>
      </c>
      <c r="J710" t="s">
        <v>15</v>
      </c>
      <c r="K710">
        <v>45186</v>
      </c>
      <c r="L710" t="s">
        <v>22</v>
      </c>
    </row>
    <row r="711" spans="1:12" x14ac:dyDescent="0.3">
      <c r="A711">
        <v>2005</v>
      </c>
      <c r="B711" t="s">
        <v>34</v>
      </c>
      <c r="C711">
        <v>10922</v>
      </c>
      <c r="D711">
        <v>3605.4</v>
      </c>
      <c r="E711">
        <v>27</v>
      </c>
      <c r="F711" t="s">
        <v>54</v>
      </c>
      <c r="G711" t="s">
        <v>21</v>
      </c>
      <c r="H711">
        <v>56</v>
      </c>
      <c r="I711">
        <v>51</v>
      </c>
      <c r="J711" t="s">
        <v>15</v>
      </c>
      <c r="K711">
        <v>238542</v>
      </c>
      <c r="L711" t="s">
        <v>22</v>
      </c>
    </row>
    <row r="712" spans="1:12" x14ac:dyDescent="0.3">
      <c r="A712">
        <v>2006</v>
      </c>
      <c r="B712" t="s">
        <v>34</v>
      </c>
      <c r="C712">
        <v>51390</v>
      </c>
      <c r="D712">
        <v>3512.4</v>
      </c>
      <c r="E712">
        <v>27.2</v>
      </c>
      <c r="F712" t="s">
        <v>54</v>
      </c>
      <c r="G712" t="s">
        <v>21</v>
      </c>
      <c r="H712">
        <v>26</v>
      </c>
      <c r="I712">
        <v>57</v>
      </c>
      <c r="J712" t="s">
        <v>15</v>
      </c>
      <c r="K712">
        <v>1516</v>
      </c>
      <c r="L712" t="s">
        <v>22</v>
      </c>
    </row>
    <row r="713" spans="1:12" x14ac:dyDescent="0.3">
      <c r="A713">
        <v>2007</v>
      </c>
      <c r="B713" t="s">
        <v>34</v>
      </c>
      <c r="C713">
        <v>177</v>
      </c>
      <c r="D713">
        <v>3512.4</v>
      </c>
      <c r="E713">
        <v>27.2</v>
      </c>
      <c r="F713" t="s">
        <v>54</v>
      </c>
      <c r="G713" t="s">
        <v>21</v>
      </c>
      <c r="H713">
        <v>98</v>
      </c>
      <c r="I713">
        <v>57</v>
      </c>
      <c r="J713" t="s">
        <v>15</v>
      </c>
      <c r="K713">
        <v>57259</v>
      </c>
      <c r="L713" t="s">
        <v>22</v>
      </c>
    </row>
    <row r="714" spans="1:12" x14ac:dyDescent="0.3">
      <c r="A714">
        <v>2008</v>
      </c>
      <c r="B714" t="s">
        <v>34</v>
      </c>
      <c r="C714">
        <v>10723</v>
      </c>
      <c r="D714">
        <v>3512.4</v>
      </c>
      <c r="E714">
        <v>27.2</v>
      </c>
      <c r="F714" t="s">
        <v>54</v>
      </c>
      <c r="G714" t="s">
        <v>21</v>
      </c>
      <c r="H714">
        <v>3</v>
      </c>
      <c r="I714">
        <v>60</v>
      </c>
      <c r="J714" t="s">
        <v>15</v>
      </c>
      <c r="K714">
        <v>234779</v>
      </c>
      <c r="L714" t="s">
        <v>22</v>
      </c>
    </row>
    <row r="715" spans="1:12" x14ac:dyDescent="0.3">
      <c r="A715">
        <v>2009</v>
      </c>
      <c r="B715" t="s">
        <v>34</v>
      </c>
      <c r="C715">
        <v>51709</v>
      </c>
      <c r="D715">
        <v>3296</v>
      </c>
      <c r="E715">
        <v>27</v>
      </c>
      <c r="F715" t="s">
        <v>54</v>
      </c>
      <c r="G715" t="s">
        <v>21</v>
      </c>
      <c r="H715">
        <v>58637</v>
      </c>
      <c r="I715">
        <v>57</v>
      </c>
      <c r="J715" t="s">
        <v>15</v>
      </c>
      <c r="K715">
        <v>1493</v>
      </c>
      <c r="L715" t="s">
        <v>22</v>
      </c>
    </row>
    <row r="716" spans="1:12" x14ac:dyDescent="0.3">
      <c r="A716">
        <v>2010</v>
      </c>
      <c r="B716" t="s">
        <v>34</v>
      </c>
      <c r="C716">
        <v>146</v>
      </c>
      <c r="D716">
        <v>3296</v>
      </c>
      <c r="E716">
        <v>27</v>
      </c>
      <c r="F716" t="s">
        <v>54</v>
      </c>
      <c r="G716" t="s">
        <v>21</v>
      </c>
      <c r="H716">
        <v>59777</v>
      </c>
      <c r="I716">
        <v>57</v>
      </c>
      <c r="J716" t="s">
        <v>15</v>
      </c>
      <c r="K716">
        <v>64409</v>
      </c>
      <c r="L716" t="s">
        <v>22</v>
      </c>
    </row>
    <row r="717" spans="1:12" x14ac:dyDescent="0.3">
      <c r="A717">
        <v>2011</v>
      </c>
      <c r="B717" t="s">
        <v>34</v>
      </c>
      <c r="C717">
        <v>10910</v>
      </c>
      <c r="D717">
        <v>3296</v>
      </c>
      <c r="E717">
        <v>27</v>
      </c>
      <c r="F717" t="s">
        <v>54</v>
      </c>
      <c r="G717" t="s">
        <v>21</v>
      </c>
      <c r="H717">
        <v>60528</v>
      </c>
      <c r="I717">
        <v>54</v>
      </c>
      <c r="J717" t="s">
        <v>15</v>
      </c>
      <c r="K717">
        <v>249978</v>
      </c>
      <c r="L717" t="s">
        <v>22</v>
      </c>
    </row>
    <row r="718" spans="1:12" x14ac:dyDescent="0.3">
      <c r="A718">
        <v>2012</v>
      </c>
      <c r="B718" t="s">
        <v>34</v>
      </c>
      <c r="C718">
        <v>51355</v>
      </c>
      <c r="D718">
        <v>3550</v>
      </c>
      <c r="E718">
        <v>27</v>
      </c>
      <c r="F718" t="s">
        <v>54</v>
      </c>
      <c r="G718" t="s">
        <v>21</v>
      </c>
      <c r="H718">
        <v>61126</v>
      </c>
      <c r="I718">
        <v>54.5</v>
      </c>
      <c r="J718" t="s">
        <v>15</v>
      </c>
      <c r="K718">
        <v>637</v>
      </c>
      <c r="L718" t="s">
        <v>22</v>
      </c>
    </row>
    <row r="719" spans="1:12" x14ac:dyDescent="0.3">
      <c r="A719">
        <v>2013</v>
      </c>
      <c r="B719" t="s">
        <v>34</v>
      </c>
      <c r="C719">
        <v>160</v>
      </c>
      <c r="D719">
        <v>3550</v>
      </c>
      <c r="E719">
        <v>27</v>
      </c>
      <c r="F719" t="s">
        <v>54</v>
      </c>
      <c r="G719" t="s">
        <v>21</v>
      </c>
      <c r="H719">
        <v>623687</v>
      </c>
      <c r="I719">
        <v>56.6</v>
      </c>
      <c r="J719" t="s">
        <v>15</v>
      </c>
      <c r="K719">
        <v>43311</v>
      </c>
      <c r="L719" t="s">
        <v>22</v>
      </c>
    </row>
    <row r="720" spans="1:12" x14ac:dyDescent="0.3">
      <c r="A720">
        <v>2014</v>
      </c>
      <c r="B720" t="s">
        <v>34</v>
      </c>
      <c r="C720">
        <v>10912</v>
      </c>
      <c r="D720">
        <v>3550</v>
      </c>
      <c r="E720">
        <v>27</v>
      </c>
      <c r="F720" t="s">
        <v>54</v>
      </c>
      <c r="G720" t="s">
        <v>21</v>
      </c>
      <c r="H720">
        <v>63504</v>
      </c>
      <c r="I720">
        <v>55.5</v>
      </c>
      <c r="J720" t="s">
        <v>15</v>
      </c>
      <c r="K720">
        <v>24848</v>
      </c>
      <c r="L720" t="s">
        <v>22</v>
      </c>
    </row>
    <row r="721" spans="1:12" x14ac:dyDescent="0.3">
      <c r="A721">
        <v>2015</v>
      </c>
      <c r="B721" t="s">
        <v>34</v>
      </c>
      <c r="C721">
        <v>51353</v>
      </c>
      <c r="D721">
        <v>3654</v>
      </c>
      <c r="E721">
        <v>27.2</v>
      </c>
      <c r="F721" t="s">
        <v>54</v>
      </c>
      <c r="G721" t="s">
        <v>21</v>
      </c>
      <c r="H721">
        <v>63931</v>
      </c>
      <c r="I721">
        <v>58.5</v>
      </c>
      <c r="J721" t="s">
        <v>15</v>
      </c>
      <c r="K721">
        <v>761</v>
      </c>
      <c r="L721" t="s">
        <v>22</v>
      </c>
    </row>
    <row r="722" spans="1:12" x14ac:dyDescent="0.3">
      <c r="A722">
        <v>2016</v>
      </c>
      <c r="B722" t="s">
        <v>34</v>
      </c>
      <c r="C722">
        <v>1279</v>
      </c>
      <c r="D722">
        <v>3654</v>
      </c>
      <c r="E722">
        <v>27.2</v>
      </c>
      <c r="F722" t="s">
        <v>54</v>
      </c>
      <c r="G722" t="s">
        <v>21</v>
      </c>
      <c r="H722">
        <v>73730</v>
      </c>
      <c r="I722">
        <v>59.5</v>
      </c>
      <c r="J722" t="s">
        <v>15</v>
      </c>
      <c r="K722">
        <v>45608</v>
      </c>
      <c r="L722" t="s">
        <v>22</v>
      </c>
    </row>
    <row r="723" spans="1:12" x14ac:dyDescent="0.3">
      <c r="A723">
        <v>2017</v>
      </c>
      <c r="B723" t="s">
        <v>34</v>
      </c>
      <c r="C723">
        <v>13283</v>
      </c>
      <c r="D723">
        <v>3654</v>
      </c>
      <c r="E723">
        <v>27.2</v>
      </c>
      <c r="F723" t="s">
        <v>54</v>
      </c>
      <c r="G723" t="s">
        <v>21</v>
      </c>
      <c r="H723">
        <v>118416</v>
      </c>
      <c r="I723">
        <v>55</v>
      </c>
      <c r="J723" t="s">
        <v>15</v>
      </c>
      <c r="K723">
        <v>234581</v>
      </c>
      <c r="L723" t="s">
        <v>22</v>
      </c>
    </row>
    <row r="724" spans="1:12" x14ac:dyDescent="0.3">
      <c r="A724">
        <v>2018</v>
      </c>
      <c r="B724" t="s">
        <v>34</v>
      </c>
      <c r="C724">
        <v>52119</v>
      </c>
      <c r="D724">
        <v>233</v>
      </c>
      <c r="E724">
        <v>27.1</v>
      </c>
      <c r="F724" t="s">
        <v>54</v>
      </c>
      <c r="G724" t="s">
        <v>21</v>
      </c>
      <c r="H724">
        <v>130132</v>
      </c>
      <c r="I724">
        <v>53</v>
      </c>
      <c r="J724" t="s">
        <v>15</v>
      </c>
      <c r="K724">
        <v>646</v>
      </c>
      <c r="L724" t="s">
        <v>22</v>
      </c>
    </row>
    <row r="725" spans="1:12" x14ac:dyDescent="0.3">
      <c r="A725">
        <v>2004</v>
      </c>
      <c r="B725" t="s">
        <v>34</v>
      </c>
      <c r="C725">
        <v>725</v>
      </c>
      <c r="D725">
        <v>233</v>
      </c>
      <c r="E725">
        <v>27.1</v>
      </c>
      <c r="F725" t="s">
        <v>54</v>
      </c>
      <c r="G725" t="s">
        <v>26</v>
      </c>
      <c r="H725">
        <v>154889</v>
      </c>
      <c r="I725">
        <v>53.5</v>
      </c>
      <c r="J725" t="s">
        <v>15</v>
      </c>
      <c r="K725">
        <v>43562</v>
      </c>
      <c r="L725" t="s">
        <v>22</v>
      </c>
    </row>
    <row r="726" spans="1:12" x14ac:dyDescent="0.3">
      <c r="A726">
        <v>2005</v>
      </c>
      <c r="B726" t="s">
        <v>34</v>
      </c>
      <c r="C726">
        <v>12885</v>
      </c>
      <c r="D726">
        <v>233</v>
      </c>
      <c r="E726">
        <v>27.1</v>
      </c>
      <c r="F726" t="s">
        <v>54</v>
      </c>
      <c r="G726" t="s">
        <v>26</v>
      </c>
      <c r="H726">
        <v>171739</v>
      </c>
      <c r="I726">
        <v>52.5</v>
      </c>
      <c r="J726" t="s">
        <v>15</v>
      </c>
      <c r="K726">
        <v>200000</v>
      </c>
      <c r="L726" t="s">
        <v>22</v>
      </c>
    </row>
    <row r="727" spans="1:12" x14ac:dyDescent="0.3">
      <c r="A727">
        <v>2006</v>
      </c>
      <c r="B727" t="s">
        <v>34</v>
      </c>
      <c r="C727">
        <v>51179</v>
      </c>
      <c r="D727">
        <v>234</v>
      </c>
      <c r="E727">
        <v>26.8</v>
      </c>
      <c r="F727" t="s">
        <v>54</v>
      </c>
      <c r="G727" t="s">
        <v>26</v>
      </c>
      <c r="H727">
        <v>172475</v>
      </c>
      <c r="I727">
        <v>56</v>
      </c>
      <c r="J727" t="s">
        <v>15</v>
      </c>
      <c r="K727">
        <v>4847</v>
      </c>
      <c r="L727" t="s">
        <v>22</v>
      </c>
    </row>
    <row r="728" spans="1:12" x14ac:dyDescent="0.3">
      <c r="A728">
        <v>2007</v>
      </c>
      <c r="B728" t="s">
        <v>34</v>
      </c>
      <c r="C728">
        <v>468</v>
      </c>
      <c r="D728">
        <v>234</v>
      </c>
      <c r="E728">
        <v>26.8</v>
      </c>
      <c r="F728" t="s">
        <v>54</v>
      </c>
      <c r="G728" t="s">
        <v>26</v>
      </c>
      <c r="H728">
        <v>177939</v>
      </c>
      <c r="I728">
        <v>57</v>
      </c>
      <c r="J728" t="s">
        <v>15</v>
      </c>
      <c r="K728">
        <v>51239</v>
      </c>
      <c r="L728" t="s">
        <v>22</v>
      </c>
    </row>
    <row r="729" spans="1:12" x14ac:dyDescent="0.3">
      <c r="A729">
        <v>2008</v>
      </c>
      <c r="B729" t="s">
        <v>34</v>
      </c>
      <c r="C729">
        <v>11841</v>
      </c>
      <c r="D729">
        <v>234</v>
      </c>
      <c r="E729">
        <v>26.8</v>
      </c>
      <c r="F729" t="s">
        <v>54</v>
      </c>
      <c r="G729" t="s">
        <v>26</v>
      </c>
      <c r="H729">
        <v>313547</v>
      </c>
      <c r="I729">
        <v>57.5</v>
      </c>
      <c r="J729" t="s">
        <v>15</v>
      </c>
      <c r="K729">
        <v>216396</v>
      </c>
      <c r="L729" t="s">
        <v>22</v>
      </c>
    </row>
    <row r="730" spans="1:12" x14ac:dyDescent="0.3">
      <c r="A730">
        <v>2009</v>
      </c>
      <c r="B730" t="s">
        <v>34</v>
      </c>
      <c r="C730">
        <v>50975</v>
      </c>
      <c r="D730">
        <v>3105</v>
      </c>
      <c r="E730">
        <v>37</v>
      </c>
      <c r="F730" t="s">
        <v>54</v>
      </c>
      <c r="G730" t="s">
        <v>26</v>
      </c>
      <c r="H730">
        <v>2783</v>
      </c>
      <c r="I730">
        <v>57</v>
      </c>
      <c r="J730" t="s">
        <v>15</v>
      </c>
      <c r="K730">
        <v>2644</v>
      </c>
      <c r="L730" t="s">
        <v>22</v>
      </c>
    </row>
    <row r="731" spans="1:12" x14ac:dyDescent="0.3">
      <c r="A731">
        <v>2010</v>
      </c>
      <c r="B731" t="s">
        <v>34</v>
      </c>
      <c r="C731">
        <v>206</v>
      </c>
      <c r="D731">
        <v>3105</v>
      </c>
      <c r="E731">
        <v>37</v>
      </c>
      <c r="F731" t="s">
        <v>54</v>
      </c>
      <c r="G731" t="s">
        <v>26</v>
      </c>
      <c r="H731">
        <v>1533</v>
      </c>
      <c r="I731">
        <v>55</v>
      </c>
      <c r="J731" t="s">
        <v>15</v>
      </c>
      <c r="K731">
        <v>44235</v>
      </c>
      <c r="L731" t="s">
        <v>22</v>
      </c>
    </row>
    <row r="732" spans="1:12" x14ac:dyDescent="0.3">
      <c r="A732">
        <v>2011</v>
      </c>
      <c r="B732" t="s">
        <v>34</v>
      </c>
      <c r="C732">
        <v>10922</v>
      </c>
      <c r="D732">
        <v>3105</v>
      </c>
      <c r="E732">
        <v>37</v>
      </c>
      <c r="F732" t="s">
        <v>13</v>
      </c>
      <c r="G732" t="s">
        <v>26</v>
      </c>
      <c r="H732">
        <v>1647</v>
      </c>
      <c r="I732">
        <v>56</v>
      </c>
      <c r="J732" t="s">
        <v>15</v>
      </c>
      <c r="K732">
        <v>203317</v>
      </c>
      <c r="L732" t="s">
        <v>22</v>
      </c>
    </row>
    <row r="733" spans="1:12" x14ac:dyDescent="0.3">
      <c r="A733">
        <v>2012</v>
      </c>
      <c r="B733" t="s">
        <v>34</v>
      </c>
      <c r="C733">
        <v>51390</v>
      </c>
      <c r="D733">
        <v>236</v>
      </c>
      <c r="E733">
        <v>38</v>
      </c>
      <c r="F733" t="s">
        <v>13</v>
      </c>
      <c r="G733" t="s">
        <v>26</v>
      </c>
      <c r="H733">
        <v>975</v>
      </c>
      <c r="I733">
        <v>54</v>
      </c>
      <c r="J733" t="s">
        <v>15</v>
      </c>
      <c r="K733">
        <v>2134</v>
      </c>
      <c r="L733" t="s">
        <v>22</v>
      </c>
    </row>
    <row r="734" spans="1:12" x14ac:dyDescent="0.3">
      <c r="A734">
        <v>2013</v>
      </c>
      <c r="B734" t="s">
        <v>34</v>
      </c>
      <c r="C734">
        <v>177</v>
      </c>
      <c r="D734">
        <v>236</v>
      </c>
      <c r="E734">
        <v>38</v>
      </c>
      <c r="F734" t="s">
        <v>13</v>
      </c>
      <c r="G734" t="s">
        <v>26</v>
      </c>
      <c r="H734">
        <v>2</v>
      </c>
      <c r="I734">
        <v>58</v>
      </c>
      <c r="J734" t="s">
        <v>15</v>
      </c>
      <c r="K734">
        <v>45186</v>
      </c>
      <c r="L734" t="s">
        <v>22</v>
      </c>
    </row>
    <row r="735" spans="1:12" x14ac:dyDescent="0.3">
      <c r="A735">
        <v>2014</v>
      </c>
      <c r="B735" t="s">
        <v>34</v>
      </c>
      <c r="C735">
        <v>10723</v>
      </c>
      <c r="D735">
        <v>2903.1</v>
      </c>
      <c r="E735">
        <v>38</v>
      </c>
      <c r="F735" t="s">
        <v>13</v>
      </c>
      <c r="G735" t="s">
        <v>26</v>
      </c>
      <c r="H735">
        <v>836</v>
      </c>
      <c r="I735">
        <v>58</v>
      </c>
      <c r="J735" t="s">
        <v>15</v>
      </c>
      <c r="K735">
        <v>238542</v>
      </c>
      <c r="L735" t="s">
        <v>22</v>
      </c>
    </row>
    <row r="736" spans="1:12" x14ac:dyDescent="0.3">
      <c r="A736">
        <v>2015</v>
      </c>
      <c r="B736" t="s">
        <v>34</v>
      </c>
      <c r="C736">
        <v>51709</v>
      </c>
      <c r="D736">
        <v>2903.1</v>
      </c>
      <c r="E736">
        <v>39</v>
      </c>
      <c r="F736" t="s">
        <v>13</v>
      </c>
      <c r="G736" t="s">
        <v>26</v>
      </c>
      <c r="H736">
        <v>806</v>
      </c>
      <c r="I736">
        <v>59</v>
      </c>
      <c r="J736" t="s">
        <v>15</v>
      </c>
      <c r="K736">
        <v>1516</v>
      </c>
      <c r="L736" t="s">
        <v>22</v>
      </c>
    </row>
    <row r="737" spans="1:12" x14ac:dyDescent="0.3">
      <c r="A737">
        <v>2016</v>
      </c>
      <c r="B737" t="s">
        <v>12</v>
      </c>
      <c r="C737">
        <v>146</v>
      </c>
      <c r="D737">
        <v>2903.1</v>
      </c>
      <c r="E737">
        <v>39</v>
      </c>
      <c r="F737" t="s">
        <v>13</v>
      </c>
      <c r="G737" t="s">
        <v>26</v>
      </c>
      <c r="H737">
        <v>880</v>
      </c>
      <c r="I737">
        <v>50</v>
      </c>
      <c r="J737" t="s">
        <v>15</v>
      </c>
      <c r="K737">
        <v>57259</v>
      </c>
      <c r="L737" t="s">
        <v>22</v>
      </c>
    </row>
    <row r="738" spans="1:12" x14ac:dyDescent="0.3">
      <c r="A738">
        <v>2017</v>
      </c>
      <c r="B738" t="s">
        <v>12</v>
      </c>
      <c r="C738">
        <v>10910</v>
      </c>
      <c r="D738">
        <v>2996.6</v>
      </c>
      <c r="E738">
        <v>39</v>
      </c>
      <c r="F738" t="s">
        <v>13</v>
      </c>
      <c r="G738" t="s">
        <v>26</v>
      </c>
      <c r="H738">
        <v>770</v>
      </c>
      <c r="I738">
        <v>54</v>
      </c>
      <c r="J738" t="s">
        <v>15</v>
      </c>
      <c r="K738">
        <v>234779</v>
      </c>
      <c r="L738" t="s">
        <v>22</v>
      </c>
    </row>
    <row r="739" spans="1:12" x14ac:dyDescent="0.3">
      <c r="A739">
        <v>2018</v>
      </c>
      <c r="B739" t="s">
        <v>12</v>
      </c>
      <c r="C739">
        <v>51355</v>
      </c>
      <c r="D739">
        <v>2996.6</v>
      </c>
      <c r="E739">
        <v>40</v>
      </c>
      <c r="F739" t="s">
        <v>13</v>
      </c>
      <c r="G739" t="s">
        <v>26</v>
      </c>
      <c r="H739">
        <v>395</v>
      </c>
      <c r="I739">
        <v>53</v>
      </c>
      <c r="J739" t="s">
        <v>15</v>
      </c>
      <c r="K739">
        <v>1493</v>
      </c>
      <c r="L739" t="s">
        <v>22</v>
      </c>
    </row>
    <row r="740" spans="1:12" x14ac:dyDescent="0.3">
      <c r="A740">
        <v>2004</v>
      </c>
      <c r="B740" t="s">
        <v>12</v>
      </c>
      <c r="C740">
        <v>160</v>
      </c>
      <c r="D740">
        <v>2996.6</v>
      </c>
      <c r="E740">
        <v>40</v>
      </c>
      <c r="F740" t="s">
        <v>13</v>
      </c>
      <c r="G740" t="s">
        <v>26</v>
      </c>
      <c r="H740">
        <v>187</v>
      </c>
      <c r="I740">
        <v>52</v>
      </c>
      <c r="J740" t="s">
        <v>15</v>
      </c>
      <c r="K740">
        <v>64409</v>
      </c>
      <c r="L740" t="s">
        <v>22</v>
      </c>
    </row>
    <row r="741" spans="1:12" x14ac:dyDescent="0.3">
      <c r="A741">
        <v>2005</v>
      </c>
      <c r="B741" t="s">
        <v>12</v>
      </c>
      <c r="C741">
        <v>10912</v>
      </c>
      <c r="D741">
        <v>3522.8</v>
      </c>
      <c r="E741">
        <v>40</v>
      </c>
      <c r="F741" t="s">
        <v>13</v>
      </c>
      <c r="G741" t="s">
        <v>26</v>
      </c>
      <c r="H741">
        <v>187</v>
      </c>
      <c r="I741">
        <v>51</v>
      </c>
      <c r="J741" t="s">
        <v>15</v>
      </c>
      <c r="K741">
        <v>249978</v>
      </c>
      <c r="L741" t="s">
        <v>22</v>
      </c>
    </row>
    <row r="742" spans="1:12" x14ac:dyDescent="0.3">
      <c r="A742">
        <v>2006</v>
      </c>
      <c r="B742" t="s">
        <v>12</v>
      </c>
      <c r="C742">
        <v>51353</v>
      </c>
      <c r="D742">
        <v>3522.8</v>
      </c>
      <c r="E742">
        <v>41</v>
      </c>
      <c r="F742" t="s">
        <v>13</v>
      </c>
      <c r="G742" t="s">
        <v>26</v>
      </c>
      <c r="H742">
        <v>121</v>
      </c>
      <c r="I742">
        <v>57</v>
      </c>
      <c r="J742" t="s">
        <v>15</v>
      </c>
      <c r="K742">
        <v>637</v>
      </c>
      <c r="L742" t="s">
        <v>22</v>
      </c>
    </row>
    <row r="743" spans="1:12" x14ac:dyDescent="0.3">
      <c r="A743">
        <v>2007</v>
      </c>
      <c r="B743" t="s">
        <v>12</v>
      </c>
      <c r="C743">
        <v>142</v>
      </c>
      <c r="D743">
        <v>3522.8</v>
      </c>
      <c r="E743">
        <v>41</v>
      </c>
      <c r="F743" t="s">
        <v>13</v>
      </c>
      <c r="G743" t="s">
        <v>26</v>
      </c>
      <c r="H743">
        <v>103</v>
      </c>
      <c r="I743">
        <v>57</v>
      </c>
      <c r="J743" t="s">
        <v>15</v>
      </c>
      <c r="K743">
        <v>43311</v>
      </c>
      <c r="L743" t="s">
        <v>22</v>
      </c>
    </row>
    <row r="744" spans="1:12" x14ac:dyDescent="0.3">
      <c r="A744">
        <v>2008</v>
      </c>
      <c r="B744" t="s">
        <v>12</v>
      </c>
      <c r="C744">
        <v>10505</v>
      </c>
      <c r="D744">
        <v>2903.1</v>
      </c>
      <c r="E744">
        <v>41</v>
      </c>
      <c r="F744" t="s">
        <v>13</v>
      </c>
      <c r="G744" t="s">
        <v>26</v>
      </c>
      <c r="H744">
        <v>71</v>
      </c>
      <c r="I744">
        <v>60</v>
      </c>
      <c r="J744" t="s">
        <v>15</v>
      </c>
      <c r="K744">
        <v>24848</v>
      </c>
      <c r="L744" t="s">
        <v>22</v>
      </c>
    </row>
    <row r="745" spans="1:12" x14ac:dyDescent="0.3">
      <c r="A745">
        <v>2009</v>
      </c>
      <c r="B745" t="s">
        <v>12</v>
      </c>
      <c r="C745">
        <v>51040</v>
      </c>
      <c r="D745">
        <v>2903.1</v>
      </c>
      <c r="E745">
        <v>42</v>
      </c>
      <c r="F745" t="s">
        <v>13</v>
      </c>
      <c r="G745" t="s">
        <v>26</v>
      </c>
      <c r="H745">
        <v>3961</v>
      </c>
      <c r="I745">
        <v>57</v>
      </c>
      <c r="J745" t="s">
        <v>15</v>
      </c>
      <c r="K745">
        <v>761</v>
      </c>
      <c r="L745" t="s">
        <v>22</v>
      </c>
    </row>
    <row r="746" spans="1:12" x14ac:dyDescent="0.3">
      <c r="A746">
        <v>2010</v>
      </c>
      <c r="B746" t="s">
        <v>12</v>
      </c>
      <c r="C746">
        <v>154</v>
      </c>
      <c r="D746">
        <v>2903.1</v>
      </c>
      <c r="E746">
        <v>42</v>
      </c>
      <c r="F746" t="s">
        <v>13</v>
      </c>
      <c r="G746" t="s">
        <v>26</v>
      </c>
      <c r="H746">
        <v>4247</v>
      </c>
      <c r="I746">
        <v>57</v>
      </c>
      <c r="J746" t="s">
        <v>15</v>
      </c>
      <c r="K746">
        <v>45608</v>
      </c>
      <c r="L746" t="s">
        <v>22</v>
      </c>
    </row>
    <row r="747" spans="1:12" x14ac:dyDescent="0.3">
      <c r="A747">
        <v>2011</v>
      </c>
      <c r="B747" t="s">
        <v>12</v>
      </c>
      <c r="C747">
        <v>10318</v>
      </c>
      <c r="D747">
        <v>2996.6</v>
      </c>
      <c r="E747">
        <v>42</v>
      </c>
      <c r="F747" t="s">
        <v>13</v>
      </c>
      <c r="G747" t="s">
        <v>26</v>
      </c>
      <c r="H747">
        <v>3290</v>
      </c>
      <c r="I747">
        <v>54</v>
      </c>
      <c r="J747" t="s">
        <v>15</v>
      </c>
      <c r="K747">
        <v>234581</v>
      </c>
      <c r="L747" t="s">
        <v>22</v>
      </c>
    </row>
    <row r="748" spans="1:12" x14ac:dyDescent="0.3">
      <c r="A748">
        <v>2012</v>
      </c>
      <c r="B748" t="s">
        <v>12</v>
      </c>
      <c r="C748">
        <v>48083</v>
      </c>
      <c r="D748">
        <v>2996.6</v>
      </c>
      <c r="E748">
        <v>43</v>
      </c>
      <c r="F748" t="s">
        <v>13</v>
      </c>
      <c r="G748" t="s">
        <v>26</v>
      </c>
      <c r="H748">
        <v>3138</v>
      </c>
      <c r="I748">
        <v>54.5</v>
      </c>
      <c r="J748" t="s">
        <v>15</v>
      </c>
      <c r="K748">
        <v>646</v>
      </c>
      <c r="L748" t="s">
        <v>22</v>
      </c>
    </row>
    <row r="749" spans="1:12" x14ac:dyDescent="0.3">
      <c r="A749">
        <v>2013</v>
      </c>
      <c r="B749" t="s">
        <v>12</v>
      </c>
      <c r="C749">
        <v>143</v>
      </c>
      <c r="D749">
        <v>2996.6</v>
      </c>
      <c r="E749">
        <v>43</v>
      </c>
      <c r="F749" t="s">
        <v>13</v>
      </c>
      <c r="G749" t="s">
        <v>26</v>
      </c>
      <c r="H749">
        <v>3423</v>
      </c>
      <c r="I749">
        <v>56.6</v>
      </c>
      <c r="J749" t="s">
        <v>15</v>
      </c>
      <c r="K749">
        <v>43562</v>
      </c>
      <c r="L749" t="s">
        <v>22</v>
      </c>
    </row>
    <row r="750" spans="1:12" x14ac:dyDescent="0.3">
      <c r="A750">
        <v>2014</v>
      </c>
      <c r="B750" t="s">
        <v>12</v>
      </c>
      <c r="C750">
        <v>9283</v>
      </c>
      <c r="D750">
        <v>3522.8</v>
      </c>
      <c r="E750">
        <v>128</v>
      </c>
      <c r="F750" t="s">
        <v>13</v>
      </c>
      <c r="G750" t="s">
        <v>26</v>
      </c>
      <c r="H750">
        <v>3899</v>
      </c>
      <c r="I750">
        <v>55.5</v>
      </c>
      <c r="J750" t="s">
        <v>15</v>
      </c>
      <c r="K750">
        <v>200000</v>
      </c>
      <c r="L750" t="s">
        <v>22</v>
      </c>
    </row>
    <row r="751" spans="1:12" x14ac:dyDescent="0.3">
      <c r="A751">
        <v>2015</v>
      </c>
      <c r="B751" t="s">
        <v>12</v>
      </c>
      <c r="C751">
        <v>47200</v>
      </c>
      <c r="D751">
        <v>3522.8</v>
      </c>
      <c r="E751">
        <v>129</v>
      </c>
      <c r="F751" t="s">
        <v>13</v>
      </c>
      <c r="G751" t="s">
        <v>26</v>
      </c>
      <c r="H751">
        <v>4015</v>
      </c>
      <c r="I751">
        <v>58.5</v>
      </c>
      <c r="J751" t="s">
        <v>15</v>
      </c>
      <c r="K751">
        <v>4847</v>
      </c>
      <c r="L751" t="s">
        <v>22</v>
      </c>
    </row>
    <row r="752" spans="1:12" x14ac:dyDescent="0.3">
      <c r="A752">
        <v>2016</v>
      </c>
      <c r="B752" t="s">
        <v>12</v>
      </c>
      <c r="C752">
        <v>158</v>
      </c>
      <c r="D752">
        <v>3522.8</v>
      </c>
      <c r="E752">
        <v>130</v>
      </c>
      <c r="F752" t="s">
        <v>13</v>
      </c>
      <c r="G752" t="s">
        <v>26</v>
      </c>
      <c r="H752">
        <v>4279</v>
      </c>
      <c r="I752">
        <v>59.5</v>
      </c>
      <c r="J752" t="s">
        <v>15</v>
      </c>
      <c r="K752">
        <v>51239</v>
      </c>
      <c r="L752" t="s">
        <v>22</v>
      </c>
    </row>
    <row r="753" spans="1:12" x14ac:dyDescent="0.3">
      <c r="A753">
        <v>2017</v>
      </c>
      <c r="B753" t="s">
        <v>12</v>
      </c>
      <c r="C753">
        <v>8982</v>
      </c>
      <c r="D753">
        <v>3729.8</v>
      </c>
      <c r="E753">
        <v>131</v>
      </c>
      <c r="F753" t="s">
        <v>13</v>
      </c>
      <c r="G753" t="s">
        <v>26</v>
      </c>
      <c r="H753">
        <v>4167</v>
      </c>
      <c r="I753">
        <v>55</v>
      </c>
      <c r="J753" t="s">
        <v>15</v>
      </c>
      <c r="K753">
        <v>216396</v>
      </c>
      <c r="L753" t="s">
        <v>22</v>
      </c>
    </row>
    <row r="754" spans="1:12" x14ac:dyDescent="0.3">
      <c r="A754">
        <v>2018</v>
      </c>
      <c r="B754" t="s">
        <v>12</v>
      </c>
      <c r="C754">
        <v>46990</v>
      </c>
      <c r="D754">
        <v>3729.8</v>
      </c>
      <c r="E754">
        <v>132</v>
      </c>
      <c r="F754" t="s">
        <v>13</v>
      </c>
      <c r="G754" t="s">
        <v>26</v>
      </c>
      <c r="H754">
        <v>4479</v>
      </c>
      <c r="I754">
        <v>53</v>
      </c>
      <c r="J754" t="s">
        <v>15</v>
      </c>
      <c r="K754">
        <v>2644</v>
      </c>
      <c r="L754" t="s">
        <v>22</v>
      </c>
    </row>
    <row r="755" spans="1:12" x14ac:dyDescent="0.3">
      <c r="A755">
        <v>2004</v>
      </c>
      <c r="B755" t="s">
        <v>12</v>
      </c>
      <c r="C755">
        <v>103</v>
      </c>
      <c r="D755">
        <v>3729.8</v>
      </c>
      <c r="E755">
        <v>133</v>
      </c>
      <c r="F755" t="s">
        <v>13</v>
      </c>
      <c r="G755" t="s">
        <v>26</v>
      </c>
      <c r="H755">
        <v>3699</v>
      </c>
      <c r="I755">
        <v>53.5</v>
      </c>
      <c r="J755" t="s">
        <v>15</v>
      </c>
      <c r="K755">
        <v>44235</v>
      </c>
      <c r="L755" t="s">
        <v>22</v>
      </c>
    </row>
    <row r="756" spans="1:12" x14ac:dyDescent="0.3">
      <c r="A756">
        <v>2005</v>
      </c>
      <c r="B756" t="s">
        <v>12</v>
      </c>
      <c r="C756">
        <v>8239</v>
      </c>
      <c r="D756">
        <v>2746.2</v>
      </c>
      <c r="E756">
        <v>134</v>
      </c>
      <c r="F756" t="s">
        <v>13</v>
      </c>
      <c r="G756" t="s">
        <v>26</v>
      </c>
      <c r="H756">
        <v>4904</v>
      </c>
      <c r="I756">
        <v>52.5</v>
      </c>
      <c r="J756" t="s">
        <v>15</v>
      </c>
      <c r="K756">
        <v>203317</v>
      </c>
      <c r="L756" t="s">
        <v>22</v>
      </c>
    </row>
    <row r="757" spans="1:12" x14ac:dyDescent="0.3">
      <c r="A757">
        <v>2006</v>
      </c>
      <c r="B757" t="s">
        <v>12</v>
      </c>
      <c r="C757">
        <v>44563</v>
      </c>
      <c r="D757">
        <v>2746.2</v>
      </c>
      <c r="E757">
        <v>135</v>
      </c>
      <c r="F757" t="s">
        <v>13</v>
      </c>
      <c r="G757" t="s">
        <v>26</v>
      </c>
      <c r="H757">
        <v>2821</v>
      </c>
      <c r="I757">
        <v>56</v>
      </c>
      <c r="J757" t="s">
        <v>15</v>
      </c>
      <c r="K757">
        <v>2134</v>
      </c>
      <c r="L757" t="s">
        <v>22</v>
      </c>
    </row>
    <row r="758" spans="1:12" x14ac:dyDescent="0.3">
      <c r="A758">
        <v>2007</v>
      </c>
      <c r="B758" t="s">
        <v>12</v>
      </c>
      <c r="C758">
        <v>96</v>
      </c>
      <c r="D758">
        <v>2746.2</v>
      </c>
      <c r="E758">
        <v>136</v>
      </c>
      <c r="F758" t="s">
        <v>13</v>
      </c>
      <c r="G758" t="s">
        <v>26</v>
      </c>
      <c r="H758">
        <v>3472</v>
      </c>
      <c r="I758">
        <v>57</v>
      </c>
      <c r="J758" t="s">
        <v>15</v>
      </c>
      <c r="K758">
        <v>45186</v>
      </c>
      <c r="L758" t="s">
        <v>22</v>
      </c>
    </row>
    <row r="759" spans="1:12" x14ac:dyDescent="0.3">
      <c r="A759">
        <v>2008</v>
      </c>
      <c r="B759" t="s">
        <v>12</v>
      </c>
      <c r="C759">
        <v>6949</v>
      </c>
      <c r="D759">
        <v>3360</v>
      </c>
      <c r="E759">
        <v>137</v>
      </c>
      <c r="F759" t="s">
        <v>13</v>
      </c>
      <c r="G759" t="s">
        <v>26</v>
      </c>
      <c r="H759">
        <v>3647</v>
      </c>
      <c r="I759">
        <v>57.5</v>
      </c>
      <c r="J759" t="s">
        <v>15</v>
      </c>
      <c r="K759">
        <v>238542</v>
      </c>
      <c r="L759" t="s">
        <v>22</v>
      </c>
    </row>
    <row r="760" spans="1:12" x14ac:dyDescent="0.3">
      <c r="A760">
        <v>2009</v>
      </c>
      <c r="B760" t="s">
        <v>12</v>
      </c>
      <c r="C760">
        <v>44663</v>
      </c>
      <c r="D760">
        <v>3360</v>
      </c>
      <c r="E760">
        <v>138</v>
      </c>
      <c r="F760" t="s">
        <v>13</v>
      </c>
      <c r="G760" t="s">
        <v>26</v>
      </c>
      <c r="H760">
        <v>393</v>
      </c>
      <c r="I760">
        <v>57</v>
      </c>
      <c r="J760" t="s">
        <v>15</v>
      </c>
      <c r="K760">
        <v>1516</v>
      </c>
      <c r="L760" t="s">
        <v>22</v>
      </c>
    </row>
    <row r="761" spans="1:12" x14ac:dyDescent="0.3">
      <c r="A761">
        <v>2010</v>
      </c>
      <c r="B761" t="s">
        <v>12</v>
      </c>
      <c r="C761">
        <v>110</v>
      </c>
      <c r="D761">
        <v>3360</v>
      </c>
      <c r="E761">
        <v>139</v>
      </c>
      <c r="F761" t="s">
        <v>13</v>
      </c>
      <c r="G761" t="s">
        <v>26</v>
      </c>
      <c r="H761">
        <v>167</v>
      </c>
      <c r="I761">
        <v>55</v>
      </c>
      <c r="J761" t="s">
        <v>15</v>
      </c>
      <c r="K761">
        <v>200000</v>
      </c>
      <c r="L761" t="s">
        <v>22</v>
      </c>
    </row>
    <row r="762" spans="1:12" x14ac:dyDescent="0.3">
      <c r="A762">
        <v>2011</v>
      </c>
      <c r="B762" t="s">
        <v>12</v>
      </c>
      <c r="C762">
        <v>6824</v>
      </c>
      <c r="D762">
        <v>3605.4</v>
      </c>
      <c r="E762">
        <v>140</v>
      </c>
      <c r="F762" t="s">
        <v>27</v>
      </c>
      <c r="G762" t="s">
        <v>26</v>
      </c>
      <c r="H762">
        <v>71</v>
      </c>
      <c r="I762">
        <v>56</v>
      </c>
      <c r="J762" t="s">
        <v>15</v>
      </c>
      <c r="K762">
        <v>4847</v>
      </c>
      <c r="L762" t="s">
        <v>22</v>
      </c>
    </row>
    <row r="763" spans="1:12" x14ac:dyDescent="0.3">
      <c r="A763">
        <v>2012</v>
      </c>
      <c r="B763" t="s">
        <v>12</v>
      </c>
      <c r="C763">
        <v>43013</v>
      </c>
      <c r="D763">
        <v>3605.4</v>
      </c>
      <c r="E763">
        <v>141</v>
      </c>
      <c r="F763" t="s">
        <v>27</v>
      </c>
      <c r="G763" t="s">
        <v>26</v>
      </c>
      <c r="H763">
        <v>52</v>
      </c>
      <c r="I763">
        <v>54</v>
      </c>
      <c r="J763" t="s">
        <v>15</v>
      </c>
      <c r="K763">
        <v>51239</v>
      </c>
      <c r="L763" t="s">
        <v>22</v>
      </c>
    </row>
    <row r="764" spans="1:12" x14ac:dyDescent="0.3">
      <c r="A764">
        <v>2013</v>
      </c>
      <c r="B764" t="s">
        <v>12</v>
      </c>
      <c r="C764">
        <v>95</v>
      </c>
      <c r="D764">
        <v>3605.4</v>
      </c>
      <c r="E764">
        <v>142</v>
      </c>
      <c r="F764" t="s">
        <v>27</v>
      </c>
      <c r="G764" t="s">
        <v>26</v>
      </c>
      <c r="H764">
        <v>12</v>
      </c>
      <c r="I764">
        <v>58</v>
      </c>
      <c r="J764" t="s">
        <v>15</v>
      </c>
      <c r="K764">
        <v>216396</v>
      </c>
      <c r="L764" t="s">
        <v>22</v>
      </c>
    </row>
    <row r="765" spans="1:12" x14ac:dyDescent="0.3">
      <c r="A765">
        <v>2014</v>
      </c>
      <c r="B765" t="s">
        <v>12</v>
      </c>
      <c r="C765">
        <v>6441</v>
      </c>
      <c r="D765">
        <v>3512.4</v>
      </c>
      <c r="E765">
        <v>143</v>
      </c>
      <c r="F765" t="s">
        <v>27</v>
      </c>
      <c r="G765" t="s">
        <v>26</v>
      </c>
      <c r="H765">
        <v>51</v>
      </c>
      <c r="I765">
        <v>58</v>
      </c>
      <c r="J765" t="s">
        <v>15</v>
      </c>
      <c r="K765">
        <v>2644</v>
      </c>
      <c r="L765" t="s">
        <v>22</v>
      </c>
    </row>
    <row r="766" spans="1:12" x14ac:dyDescent="0.3">
      <c r="A766">
        <v>2015</v>
      </c>
      <c r="B766" t="s">
        <v>12</v>
      </c>
      <c r="C766">
        <v>4012</v>
      </c>
      <c r="D766">
        <v>3512.4</v>
      </c>
      <c r="E766">
        <v>144</v>
      </c>
      <c r="F766" t="s">
        <v>27</v>
      </c>
      <c r="G766" t="s">
        <v>26</v>
      </c>
      <c r="H766">
        <v>61</v>
      </c>
      <c r="I766">
        <v>59</v>
      </c>
      <c r="J766" t="s">
        <v>15</v>
      </c>
      <c r="K766">
        <v>44235</v>
      </c>
      <c r="L766" t="s">
        <v>22</v>
      </c>
    </row>
    <row r="767" spans="1:12" x14ac:dyDescent="0.3">
      <c r="A767">
        <v>2016</v>
      </c>
      <c r="B767" t="s">
        <v>12</v>
      </c>
      <c r="C767">
        <v>4877</v>
      </c>
      <c r="D767">
        <v>3512.4</v>
      </c>
      <c r="E767">
        <v>27</v>
      </c>
      <c r="F767" t="s">
        <v>27</v>
      </c>
      <c r="G767" t="s">
        <v>26</v>
      </c>
      <c r="H767">
        <v>67</v>
      </c>
      <c r="I767">
        <v>50</v>
      </c>
      <c r="J767" t="s">
        <v>15</v>
      </c>
      <c r="K767">
        <v>203317</v>
      </c>
      <c r="L767" t="s">
        <v>22</v>
      </c>
    </row>
    <row r="768" spans="1:12" x14ac:dyDescent="0.3">
      <c r="A768">
        <v>2017</v>
      </c>
      <c r="B768" t="s">
        <v>12</v>
      </c>
      <c r="C768">
        <v>4930</v>
      </c>
      <c r="D768">
        <v>3296</v>
      </c>
      <c r="E768">
        <v>27</v>
      </c>
      <c r="F768" t="s">
        <v>27</v>
      </c>
      <c r="G768" t="s">
        <v>26</v>
      </c>
      <c r="H768">
        <v>62</v>
      </c>
      <c r="I768">
        <v>54</v>
      </c>
      <c r="J768" t="s">
        <v>15</v>
      </c>
      <c r="K768">
        <v>2134</v>
      </c>
      <c r="L768" t="s">
        <v>22</v>
      </c>
    </row>
    <row r="769" spans="1:12" x14ac:dyDescent="0.3">
      <c r="A769">
        <v>2018</v>
      </c>
      <c r="B769" t="s">
        <v>12</v>
      </c>
      <c r="C769">
        <v>4954</v>
      </c>
      <c r="D769">
        <v>3296</v>
      </c>
      <c r="E769">
        <v>27</v>
      </c>
      <c r="F769" t="s">
        <v>27</v>
      </c>
      <c r="G769" t="s">
        <v>14</v>
      </c>
      <c r="H769">
        <v>32</v>
      </c>
      <c r="I769">
        <v>53</v>
      </c>
      <c r="J769" t="s">
        <v>28</v>
      </c>
      <c r="K769">
        <v>45186</v>
      </c>
      <c r="L769" t="s">
        <v>22</v>
      </c>
    </row>
    <row r="770" spans="1:12" x14ac:dyDescent="0.3">
      <c r="A770">
        <v>2004</v>
      </c>
      <c r="B770" t="s">
        <v>12</v>
      </c>
      <c r="C770">
        <v>5019</v>
      </c>
      <c r="D770">
        <v>3296</v>
      </c>
      <c r="E770">
        <v>27</v>
      </c>
      <c r="F770" t="s">
        <v>27</v>
      </c>
      <c r="G770" t="s">
        <v>14</v>
      </c>
      <c r="H770">
        <v>22</v>
      </c>
      <c r="I770">
        <v>52</v>
      </c>
      <c r="J770" t="s">
        <v>28</v>
      </c>
      <c r="K770">
        <v>238542</v>
      </c>
      <c r="L770" t="s">
        <v>22</v>
      </c>
    </row>
    <row r="771" spans="1:12" x14ac:dyDescent="0.3">
      <c r="A771">
        <v>2005</v>
      </c>
      <c r="B771" t="s">
        <v>12</v>
      </c>
      <c r="C771">
        <v>5127</v>
      </c>
      <c r="D771">
        <v>3550</v>
      </c>
      <c r="E771">
        <v>27</v>
      </c>
      <c r="F771" t="s">
        <v>27</v>
      </c>
      <c r="G771" t="s">
        <v>14</v>
      </c>
      <c r="H771">
        <v>25</v>
      </c>
      <c r="I771">
        <v>51</v>
      </c>
      <c r="J771" t="s">
        <v>28</v>
      </c>
      <c r="K771">
        <v>1516</v>
      </c>
      <c r="L771" t="s">
        <v>22</v>
      </c>
    </row>
    <row r="772" spans="1:12" x14ac:dyDescent="0.3">
      <c r="A772">
        <v>2006</v>
      </c>
      <c r="B772" t="s">
        <v>12</v>
      </c>
      <c r="C772">
        <v>5174</v>
      </c>
      <c r="D772">
        <v>3550</v>
      </c>
      <c r="E772">
        <v>27</v>
      </c>
      <c r="F772" t="s">
        <v>27</v>
      </c>
      <c r="G772" t="s">
        <v>14</v>
      </c>
      <c r="H772">
        <v>4</v>
      </c>
      <c r="I772">
        <v>57</v>
      </c>
      <c r="J772" t="s">
        <v>28</v>
      </c>
      <c r="K772">
        <v>57259</v>
      </c>
      <c r="L772" t="s">
        <v>22</v>
      </c>
    </row>
    <row r="773" spans="1:12" x14ac:dyDescent="0.3">
      <c r="A773">
        <v>2007</v>
      </c>
      <c r="B773" t="s">
        <v>12</v>
      </c>
      <c r="C773">
        <v>5294</v>
      </c>
      <c r="D773">
        <v>3550</v>
      </c>
      <c r="E773">
        <v>27.2</v>
      </c>
      <c r="F773" t="s">
        <v>27</v>
      </c>
      <c r="G773" t="s">
        <v>14</v>
      </c>
      <c r="H773">
        <v>9</v>
      </c>
      <c r="I773">
        <v>57</v>
      </c>
      <c r="J773" t="s">
        <v>28</v>
      </c>
      <c r="K773">
        <v>234779</v>
      </c>
      <c r="L773" t="s">
        <v>22</v>
      </c>
    </row>
    <row r="774" spans="1:12" x14ac:dyDescent="0.3">
      <c r="A774">
        <v>2008</v>
      </c>
      <c r="B774" t="s">
        <v>12</v>
      </c>
      <c r="C774">
        <v>5474</v>
      </c>
      <c r="D774">
        <v>3654</v>
      </c>
      <c r="E774">
        <v>27.2</v>
      </c>
      <c r="F774" t="s">
        <v>27</v>
      </c>
      <c r="G774" t="s">
        <v>14</v>
      </c>
      <c r="H774">
        <v>12</v>
      </c>
      <c r="I774">
        <v>60</v>
      </c>
      <c r="J774" t="s">
        <v>28</v>
      </c>
      <c r="K774">
        <v>1493</v>
      </c>
      <c r="L774" t="s">
        <v>22</v>
      </c>
    </row>
    <row r="775" spans="1:12" x14ac:dyDescent="0.3">
      <c r="A775">
        <v>2009</v>
      </c>
      <c r="B775" t="s">
        <v>12</v>
      </c>
      <c r="C775">
        <v>5864</v>
      </c>
      <c r="D775">
        <v>3654</v>
      </c>
      <c r="E775">
        <v>27.2</v>
      </c>
      <c r="F775" t="s">
        <v>27</v>
      </c>
      <c r="G775" t="s">
        <v>14</v>
      </c>
      <c r="H775">
        <v>2089</v>
      </c>
      <c r="I775">
        <v>57</v>
      </c>
      <c r="J775" t="s">
        <v>29</v>
      </c>
      <c r="K775">
        <v>64409</v>
      </c>
      <c r="L775" t="s">
        <v>22</v>
      </c>
    </row>
    <row r="776" spans="1:12" x14ac:dyDescent="0.3">
      <c r="A776">
        <v>2010</v>
      </c>
      <c r="B776" t="s">
        <v>12</v>
      </c>
      <c r="C776">
        <v>7028</v>
      </c>
      <c r="D776">
        <v>3654</v>
      </c>
      <c r="E776">
        <v>27</v>
      </c>
      <c r="F776" t="s">
        <v>27</v>
      </c>
      <c r="G776" t="s">
        <v>14</v>
      </c>
      <c r="H776">
        <v>2810</v>
      </c>
      <c r="I776">
        <v>57</v>
      </c>
      <c r="J776" t="s">
        <v>29</v>
      </c>
      <c r="K776">
        <v>249978</v>
      </c>
      <c r="L776" t="s">
        <v>22</v>
      </c>
    </row>
    <row r="777" spans="1:12" x14ac:dyDescent="0.3">
      <c r="A777">
        <v>2011</v>
      </c>
      <c r="B777" t="s">
        <v>12</v>
      </c>
      <c r="C777">
        <v>7403</v>
      </c>
      <c r="D777">
        <v>233</v>
      </c>
      <c r="E777">
        <v>27</v>
      </c>
      <c r="F777" t="s">
        <v>27</v>
      </c>
      <c r="G777" t="s">
        <v>14</v>
      </c>
      <c r="H777">
        <v>841</v>
      </c>
      <c r="I777">
        <v>54</v>
      </c>
      <c r="J777" t="s">
        <v>29</v>
      </c>
      <c r="K777">
        <v>637</v>
      </c>
      <c r="L777" t="s">
        <v>22</v>
      </c>
    </row>
    <row r="778" spans="1:12" x14ac:dyDescent="0.3">
      <c r="A778">
        <v>2012</v>
      </c>
      <c r="B778" t="s">
        <v>12</v>
      </c>
      <c r="C778">
        <v>7501</v>
      </c>
      <c r="D778">
        <v>233</v>
      </c>
      <c r="E778">
        <v>27</v>
      </c>
      <c r="F778" t="s">
        <v>27</v>
      </c>
      <c r="G778" t="s">
        <v>14</v>
      </c>
      <c r="H778">
        <v>3550</v>
      </c>
      <c r="I778">
        <v>54.5</v>
      </c>
      <c r="J778" t="s">
        <v>29</v>
      </c>
      <c r="K778">
        <v>43311</v>
      </c>
      <c r="L778" t="s">
        <v>22</v>
      </c>
    </row>
    <row r="779" spans="1:12" x14ac:dyDescent="0.3">
      <c r="A779">
        <v>2013</v>
      </c>
      <c r="B779" t="s">
        <v>12</v>
      </c>
      <c r="C779">
        <v>7714</v>
      </c>
      <c r="D779">
        <v>233</v>
      </c>
      <c r="E779">
        <v>27</v>
      </c>
      <c r="F779" t="s">
        <v>27</v>
      </c>
      <c r="G779" t="s">
        <v>14</v>
      </c>
      <c r="H779">
        <v>109</v>
      </c>
      <c r="I779">
        <v>56.6</v>
      </c>
      <c r="J779" t="s">
        <v>29</v>
      </c>
      <c r="K779">
        <v>24848</v>
      </c>
      <c r="L779" t="s">
        <v>22</v>
      </c>
    </row>
    <row r="780" spans="1:12" x14ac:dyDescent="0.3">
      <c r="A780">
        <v>2014</v>
      </c>
      <c r="B780" t="s">
        <v>12</v>
      </c>
      <c r="C780">
        <v>7856</v>
      </c>
      <c r="D780">
        <v>234</v>
      </c>
      <c r="E780">
        <v>27</v>
      </c>
      <c r="F780" t="s">
        <v>27</v>
      </c>
      <c r="G780" t="s">
        <v>14</v>
      </c>
      <c r="H780">
        <v>3368</v>
      </c>
      <c r="I780">
        <v>55.5</v>
      </c>
      <c r="J780" t="s">
        <v>29</v>
      </c>
      <c r="K780">
        <v>761</v>
      </c>
      <c r="L780" t="s">
        <v>22</v>
      </c>
    </row>
    <row r="781" spans="1:12" x14ac:dyDescent="0.3">
      <c r="A781">
        <v>2015</v>
      </c>
      <c r="B781" t="s">
        <v>12</v>
      </c>
      <c r="C781">
        <v>32</v>
      </c>
      <c r="D781">
        <v>234</v>
      </c>
      <c r="E781">
        <v>27</v>
      </c>
      <c r="F781" t="s">
        <v>27</v>
      </c>
      <c r="G781" t="s">
        <v>14</v>
      </c>
      <c r="H781">
        <v>3671</v>
      </c>
      <c r="I781">
        <v>58.5</v>
      </c>
      <c r="J781" t="s">
        <v>29</v>
      </c>
      <c r="K781">
        <v>45608</v>
      </c>
      <c r="L781" t="s">
        <v>22</v>
      </c>
    </row>
    <row r="782" spans="1:12" x14ac:dyDescent="0.3">
      <c r="A782">
        <v>2016</v>
      </c>
      <c r="B782" t="s">
        <v>12</v>
      </c>
      <c r="C782">
        <v>1</v>
      </c>
      <c r="D782">
        <v>234</v>
      </c>
      <c r="E782">
        <v>27.2</v>
      </c>
      <c r="F782" t="s">
        <v>27</v>
      </c>
      <c r="G782" t="s">
        <v>14</v>
      </c>
      <c r="H782">
        <v>2404</v>
      </c>
      <c r="I782">
        <v>59.5</v>
      </c>
      <c r="J782" t="s">
        <v>29</v>
      </c>
      <c r="K782">
        <v>234581</v>
      </c>
      <c r="L782" t="s">
        <v>22</v>
      </c>
    </row>
    <row r="783" spans="1:12" x14ac:dyDescent="0.3">
      <c r="A783">
        <v>2017</v>
      </c>
      <c r="B783" t="s">
        <v>12</v>
      </c>
      <c r="C783">
        <v>30</v>
      </c>
      <c r="D783">
        <v>3105</v>
      </c>
      <c r="E783">
        <v>27.2</v>
      </c>
      <c r="F783" t="s">
        <v>27</v>
      </c>
      <c r="G783" t="s">
        <v>14</v>
      </c>
      <c r="H783">
        <v>2805</v>
      </c>
      <c r="I783">
        <v>55</v>
      </c>
      <c r="J783" t="s">
        <v>29</v>
      </c>
      <c r="K783">
        <v>646</v>
      </c>
      <c r="L783" t="s">
        <v>22</v>
      </c>
    </row>
    <row r="784" spans="1:12" x14ac:dyDescent="0.3">
      <c r="A784">
        <v>2018</v>
      </c>
      <c r="B784" t="s">
        <v>12</v>
      </c>
      <c r="C784">
        <v>6</v>
      </c>
      <c r="D784">
        <v>3105</v>
      </c>
      <c r="E784">
        <v>27.2</v>
      </c>
      <c r="F784" t="s">
        <v>27</v>
      </c>
      <c r="G784" t="s">
        <v>14</v>
      </c>
      <c r="H784">
        <v>2331</v>
      </c>
      <c r="I784">
        <v>53</v>
      </c>
      <c r="J784" t="s">
        <v>29</v>
      </c>
      <c r="K784">
        <v>43562</v>
      </c>
      <c r="L784" t="s">
        <v>22</v>
      </c>
    </row>
    <row r="785" spans="1:12" x14ac:dyDescent="0.3">
      <c r="A785">
        <v>2004</v>
      </c>
      <c r="B785" t="s">
        <v>12</v>
      </c>
      <c r="C785">
        <v>15</v>
      </c>
      <c r="D785">
        <v>3105</v>
      </c>
      <c r="E785">
        <v>27.1</v>
      </c>
      <c r="F785" t="s">
        <v>27</v>
      </c>
      <c r="G785" t="s">
        <v>14</v>
      </c>
      <c r="H785">
        <v>2088</v>
      </c>
      <c r="I785">
        <v>53.5</v>
      </c>
      <c r="J785" t="s">
        <v>29</v>
      </c>
      <c r="K785">
        <v>200000</v>
      </c>
      <c r="L785" t="s">
        <v>22</v>
      </c>
    </row>
    <row r="786" spans="1:12" x14ac:dyDescent="0.3">
      <c r="A786">
        <v>2005</v>
      </c>
      <c r="B786" t="s">
        <v>12</v>
      </c>
      <c r="C786">
        <v>4</v>
      </c>
      <c r="D786">
        <v>236</v>
      </c>
      <c r="E786">
        <v>27.1</v>
      </c>
      <c r="F786" t="s">
        <v>27</v>
      </c>
      <c r="G786" t="s">
        <v>14</v>
      </c>
      <c r="H786">
        <v>2628</v>
      </c>
      <c r="I786">
        <v>52.5</v>
      </c>
      <c r="J786" t="s">
        <v>29</v>
      </c>
      <c r="K786">
        <v>4847</v>
      </c>
      <c r="L786" t="s">
        <v>22</v>
      </c>
    </row>
    <row r="787" spans="1:12" x14ac:dyDescent="0.3">
      <c r="A787">
        <v>2006</v>
      </c>
      <c r="B787" t="s">
        <v>12</v>
      </c>
      <c r="C787">
        <v>39</v>
      </c>
      <c r="D787">
        <v>236</v>
      </c>
      <c r="E787">
        <v>27.1</v>
      </c>
      <c r="F787" t="s">
        <v>27</v>
      </c>
      <c r="G787" t="s">
        <v>14</v>
      </c>
      <c r="H787">
        <v>1939</v>
      </c>
      <c r="I787">
        <v>56</v>
      </c>
      <c r="J787" t="s">
        <v>29</v>
      </c>
      <c r="K787">
        <v>51239</v>
      </c>
      <c r="L787" t="s">
        <v>22</v>
      </c>
    </row>
    <row r="788" spans="1:12" x14ac:dyDescent="0.3">
      <c r="A788">
        <v>2007</v>
      </c>
      <c r="B788" t="s">
        <v>12</v>
      </c>
      <c r="C788">
        <v>6</v>
      </c>
      <c r="D788">
        <v>2903.1</v>
      </c>
      <c r="E788">
        <v>26.8</v>
      </c>
      <c r="F788" t="s">
        <v>27</v>
      </c>
      <c r="G788" t="s">
        <v>14</v>
      </c>
      <c r="H788">
        <v>1871</v>
      </c>
      <c r="I788">
        <v>57</v>
      </c>
      <c r="J788" t="s">
        <v>29</v>
      </c>
      <c r="K788">
        <v>216396</v>
      </c>
      <c r="L788" t="s">
        <v>22</v>
      </c>
    </row>
    <row r="789" spans="1:12" x14ac:dyDescent="0.3">
      <c r="A789">
        <v>2008</v>
      </c>
      <c r="B789" t="s">
        <v>12</v>
      </c>
      <c r="C789">
        <v>12</v>
      </c>
      <c r="D789">
        <v>2903.1</v>
      </c>
      <c r="E789">
        <v>26.8</v>
      </c>
      <c r="F789" t="s">
        <v>27</v>
      </c>
      <c r="G789" t="s">
        <v>14</v>
      </c>
      <c r="H789">
        <v>1868</v>
      </c>
      <c r="I789">
        <v>57.5</v>
      </c>
      <c r="J789" t="s">
        <v>29</v>
      </c>
      <c r="K789">
        <v>2644</v>
      </c>
      <c r="L789" t="s">
        <v>22</v>
      </c>
    </row>
    <row r="790" spans="1:12" x14ac:dyDescent="0.3">
      <c r="A790">
        <v>2009</v>
      </c>
      <c r="B790" t="s">
        <v>12</v>
      </c>
      <c r="C790">
        <v>3</v>
      </c>
      <c r="D790">
        <v>2903.1</v>
      </c>
      <c r="E790">
        <v>26.8</v>
      </c>
      <c r="F790" t="s">
        <v>27</v>
      </c>
      <c r="G790" t="s">
        <v>14</v>
      </c>
      <c r="H790">
        <v>127919</v>
      </c>
      <c r="I790">
        <v>57</v>
      </c>
      <c r="J790" t="s">
        <v>30</v>
      </c>
      <c r="K790">
        <v>44235</v>
      </c>
      <c r="L790" t="s">
        <v>22</v>
      </c>
    </row>
    <row r="791" spans="1:12" x14ac:dyDescent="0.3">
      <c r="A791">
        <v>2010</v>
      </c>
      <c r="B791" t="s">
        <v>12</v>
      </c>
      <c r="C791">
        <v>17</v>
      </c>
      <c r="D791">
        <v>2996.6</v>
      </c>
      <c r="E791">
        <v>37</v>
      </c>
      <c r="F791" t="s">
        <v>36</v>
      </c>
      <c r="G791" t="s">
        <v>14</v>
      </c>
      <c r="H791">
        <v>75340</v>
      </c>
      <c r="I791">
        <v>55</v>
      </c>
      <c r="J791" t="s">
        <v>30</v>
      </c>
      <c r="K791">
        <v>203317</v>
      </c>
      <c r="L791" t="s">
        <v>22</v>
      </c>
    </row>
    <row r="792" spans="1:12" x14ac:dyDescent="0.3">
      <c r="A792">
        <v>2011</v>
      </c>
      <c r="B792" t="s">
        <v>12</v>
      </c>
      <c r="C792">
        <v>3</v>
      </c>
      <c r="D792">
        <v>2996.6</v>
      </c>
      <c r="E792">
        <v>37</v>
      </c>
      <c r="F792" t="s">
        <v>36</v>
      </c>
      <c r="G792" t="s">
        <v>14</v>
      </c>
      <c r="H792">
        <v>29170</v>
      </c>
      <c r="I792">
        <v>56</v>
      </c>
      <c r="J792" t="s">
        <v>30</v>
      </c>
      <c r="K792">
        <v>2134</v>
      </c>
      <c r="L792" t="s">
        <v>22</v>
      </c>
    </row>
    <row r="793" spans="1:12" x14ac:dyDescent="0.3">
      <c r="A793">
        <v>2012</v>
      </c>
      <c r="B793" t="s">
        <v>12</v>
      </c>
      <c r="C793">
        <v>9</v>
      </c>
      <c r="D793">
        <v>2996.6</v>
      </c>
      <c r="E793">
        <v>37</v>
      </c>
      <c r="F793" t="s">
        <v>36</v>
      </c>
      <c r="G793" t="s">
        <v>14</v>
      </c>
      <c r="H793">
        <v>1901</v>
      </c>
      <c r="I793">
        <v>54</v>
      </c>
      <c r="J793" t="s">
        <v>30</v>
      </c>
      <c r="K793">
        <v>45186</v>
      </c>
      <c r="L793" t="s">
        <v>22</v>
      </c>
    </row>
    <row r="794" spans="1:12" x14ac:dyDescent="0.3">
      <c r="A794">
        <v>2013</v>
      </c>
      <c r="B794" t="s">
        <v>12</v>
      </c>
      <c r="C794">
        <v>21</v>
      </c>
      <c r="D794">
        <v>3522.8</v>
      </c>
      <c r="E794">
        <v>38</v>
      </c>
      <c r="F794" t="s">
        <v>36</v>
      </c>
      <c r="G794" t="s">
        <v>14</v>
      </c>
      <c r="H794">
        <v>972</v>
      </c>
      <c r="I794">
        <v>58</v>
      </c>
      <c r="J794" t="s">
        <v>30</v>
      </c>
      <c r="K794">
        <v>238542</v>
      </c>
      <c r="L794" t="s">
        <v>22</v>
      </c>
    </row>
    <row r="795" spans="1:12" x14ac:dyDescent="0.3">
      <c r="A795">
        <v>2014</v>
      </c>
      <c r="B795" t="s">
        <v>12</v>
      </c>
      <c r="C795">
        <v>11</v>
      </c>
      <c r="D795">
        <v>3522.8</v>
      </c>
      <c r="E795">
        <v>38</v>
      </c>
      <c r="F795" t="s">
        <v>36</v>
      </c>
      <c r="G795" t="s">
        <v>14</v>
      </c>
      <c r="H795">
        <v>874</v>
      </c>
      <c r="I795">
        <v>58</v>
      </c>
      <c r="J795" t="s">
        <v>30</v>
      </c>
      <c r="K795">
        <v>1516</v>
      </c>
      <c r="L795" t="s">
        <v>22</v>
      </c>
    </row>
    <row r="796" spans="1:12" x14ac:dyDescent="0.3">
      <c r="A796">
        <v>2015</v>
      </c>
      <c r="B796" t="s">
        <v>12</v>
      </c>
      <c r="C796">
        <v>4</v>
      </c>
      <c r="D796">
        <v>3522.8</v>
      </c>
      <c r="E796">
        <v>38</v>
      </c>
      <c r="F796" t="s">
        <v>50</v>
      </c>
      <c r="G796" t="s">
        <v>14</v>
      </c>
      <c r="H796">
        <v>592</v>
      </c>
      <c r="I796">
        <v>59</v>
      </c>
      <c r="J796" t="s">
        <v>30</v>
      </c>
      <c r="K796">
        <v>57259</v>
      </c>
      <c r="L796" t="s">
        <v>22</v>
      </c>
    </row>
    <row r="797" spans="1:12" x14ac:dyDescent="0.3">
      <c r="A797">
        <v>2016</v>
      </c>
      <c r="B797" t="s">
        <v>12</v>
      </c>
      <c r="C797">
        <v>15</v>
      </c>
      <c r="D797">
        <v>2903.1</v>
      </c>
      <c r="E797">
        <v>39</v>
      </c>
      <c r="F797" t="s">
        <v>50</v>
      </c>
      <c r="G797" t="s">
        <v>14</v>
      </c>
      <c r="H797">
        <v>864</v>
      </c>
      <c r="I797">
        <v>50</v>
      </c>
      <c r="J797" t="s">
        <v>30</v>
      </c>
      <c r="K797">
        <v>234779</v>
      </c>
      <c r="L797" t="s">
        <v>22</v>
      </c>
    </row>
    <row r="798" spans="1:12" x14ac:dyDescent="0.3">
      <c r="A798">
        <v>2017</v>
      </c>
      <c r="B798" t="s">
        <v>12</v>
      </c>
      <c r="C798">
        <v>8</v>
      </c>
      <c r="D798">
        <v>2903.1</v>
      </c>
      <c r="E798">
        <v>39</v>
      </c>
      <c r="F798" t="s">
        <v>50</v>
      </c>
      <c r="G798" t="s">
        <v>14</v>
      </c>
      <c r="H798">
        <v>5373</v>
      </c>
      <c r="I798">
        <v>54</v>
      </c>
      <c r="J798" t="s">
        <v>30</v>
      </c>
      <c r="K798">
        <v>1493</v>
      </c>
      <c r="L798" t="s">
        <v>22</v>
      </c>
    </row>
    <row r="799" spans="1:12" x14ac:dyDescent="0.3">
      <c r="A799">
        <v>2018</v>
      </c>
      <c r="B799" t="s">
        <v>12</v>
      </c>
      <c r="C799">
        <v>29</v>
      </c>
      <c r="D799">
        <v>2903.1</v>
      </c>
      <c r="E799">
        <v>39</v>
      </c>
      <c r="F799" t="s">
        <v>50</v>
      </c>
      <c r="G799" t="s">
        <v>14</v>
      </c>
      <c r="H799">
        <v>6589</v>
      </c>
      <c r="I799">
        <v>53</v>
      </c>
      <c r="J799" t="s">
        <v>30</v>
      </c>
      <c r="K799">
        <v>64409</v>
      </c>
      <c r="L799" t="s">
        <v>22</v>
      </c>
    </row>
    <row r="800" spans="1:12" x14ac:dyDescent="0.3">
      <c r="A800">
        <v>2004</v>
      </c>
      <c r="B800" t="s">
        <v>12</v>
      </c>
      <c r="C800">
        <v>1</v>
      </c>
      <c r="D800">
        <v>2996.6</v>
      </c>
      <c r="E800">
        <v>40</v>
      </c>
      <c r="F800" t="s">
        <v>50</v>
      </c>
      <c r="G800" t="s">
        <v>14</v>
      </c>
      <c r="H800">
        <v>5107</v>
      </c>
      <c r="I800">
        <v>52</v>
      </c>
      <c r="J800" t="s">
        <v>30</v>
      </c>
      <c r="K800">
        <v>249978</v>
      </c>
      <c r="L800" t="s">
        <v>22</v>
      </c>
    </row>
    <row r="801" spans="1:12" x14ac:dyDescent="0.3">
      <c r="A801">
        <v>2005</v>
      </c>
      <c r="B801" t="s">
        <v>12</v>
      </c>
      <c r="C801">
        <v>13736</v>
      </c>
      <c r="D801">
        <v>2996.6</v>
      </c>
      <c r="E801">
        <v>40</v>
      </c>
      <c r="F801" t="s">
        <v>50</v>
      </c>
      <c r="G801" t="s">
        <v>14</v>
      </c>
      <c r="H801">
        <v>5518</v>
      </c>
      <c r="I801">
        <v>51</v>
      </c>
      <c r="J801" t="s">
        <v>30</v>
      </c>
      <c r="K801">
        <v>637</v>
      </c>
      <c r="L801" t="s">
        <v>22</v>
      </c>
    </row>
    <row r="802" spans="1:12" x14ac:dyDescent="0.3">
      <c r="A802">
        <v>2006</v>
      </c>
      <c r="B802" t="s">
        <v>12</v>
      </c>
      <c r="C802">
        <v>14003</v>
      </c>
      <c r="D802">
        <v>2996.6</v>
      </c>
      <c r="E802">
        <v>40</v>
      </c>
      <c r="F802" t="s">
        <v>45</v>
      </c>
      <c r="G802" t="s">
        <v>14</v>
      </c>
      <c r="H802">
        <v>4912</v>
      </c>
      <c r="I802">
        <v>57</v>
      </c>
      <c r="J802" t="s">
        <v>30</v>
      </c>
      <c r="K802">
        <v>43311</v>
      </c>
      <c r="L802" t="s">
        <v>22</v>
      </c>
    </row>
    <row r="803" spans="1:12" x14ac:dyDescent="0.3">
      <c r="A803">
        <v>2007</v>
      </c>
      <c r="B803" t="s">
        <v>12</v>
      </c>
      <c r="C803">
        <v>14179</v>
      </c>
      <c r="D803">
        <v>3522.8</v>
      </c>
      <c r="E803">
        <v>41</v>
      </c>
      <c r="F803" t="s">
        <v>45</v>
      </c>
      <c r="G803" t="s">
        <v>14</v>
      </c>
      <c r="H803">
        <v>3830</v>
      </c>
      <c r="I803">
        <v>57</v>
      </c>
      <c r="J803" t="s">
        <v>30</v>
      </c>
      <c r="K803">
        <v>24848</v>
      </c>
      <c r="L803" t="s">
        <v>22</v>
      </c>
    </row>
    <row r="804" spans="1:12" x14ac:dyDescent="0.3">
      <c r="A804">
        <v>2008</v>
      </c>
      <c r="B804" t="s">
        <v>12</v>
      </c>
      <c r="C804">
        <v>14319</v>
      </c>
      <c r="D804">
        <v>3522.8</v>
      </c>
      <c r="E804">
        <v>41</v>
      </c>
      <c r="F804" t="s">
        <v>45</v>
      </c>
      <c r="G804" t="s">
        <v>14</v>
      </c>
      <c r="H804">
        <v>4</v>
      </c>
      <c r="I804">
        <v>60</v>
      </c>
      <c r="J804" t="s">
        <v>30</v>
      </c>
      <c r="K804">
        <v>761</v>
      </c>
      <c r="L804" t="s">
        <v>22</v>
      </c>
    </row>
    <row r="805" spans="1:12" x14ac:dyDescent="0.3">
      <c r="A805">
        <v>2009</v>
      </c>
      <c r="B805" t="s">
        <v>12</v>
      </c>
      <c r="C805">
        <v>14464</v>
      </c>
      <c r="D805">
        <v>3522.8</v>
      </c>
      <c r="E805">
        <v>41</v>
      </c>
      <c r="F805" t="s">
        <v>45</v>
      </c>
      <c r="G805" t="s">
        <v>14</v>
      </c>
      <c r="H805">
        <v>9</v>
      </c>
      <c r="I805">
        <v>57</v>
      </c>
      <c r="J805" t="s">
        <v>32</v>
      </c>
      <c r="K805">
        <v>45608</v>
      </c>
      <c r="L805" t="s">
        <v>22</v>
      </c>
    </row>
    <row r="806" spans="1:12" x14ac:dyDescent="0.3">
      <c r="A806">
        <v>2010</v>
      </c>
      <c r="B806" t="s">
        <v>12</v>
      </c>
      <c r="C806">
        <v>14876</v>
      </c>
      <c r="D806">
        <v>3729.8</v>
      </c>
      <c r="E806">
        <v>42</v>
      </c>
      <c r="F806" t="s">
        <v>45</v>
      </c>
      <c r="G806" t="s">
        <v>14</v>
      </c>
      <c r="H806">
        <v>12</v>
      </c>
      <c r="I806">
        <v>57</v>
      </c>
      <c r="J806" t="s">
        <v>32</v>
      </c>
      <c r="K806">
        <v>234581</v>
      </c>
      <c r="L806" t="s">
        <v>22</v>
      </c>
    </row>
    <row r="807" spans="1:12" x14ac:dyDescent="0.3">
      <c r="A807">
        <v>2011</v>
      </c>
      <c r="B807" t="s">
        <v>12</v>
      </c>
      <c r="C807">
        <v>14976</v>
      </c>
      <c r="D807">
        <v>3729.8</v>
      </c>
      <c r="E807">
        <v>42</v>
      </c>
      <c r="F807" t="s">
        <v>45</v>
      </c>
      <c r="G807" t="s">
        <v>14</v>
      </c>
      <c r="H807">
        <v>2089</v>
      </c>
      <c r="I807">
        <v>54</v>
      </c>
      <c r="J807" t="s">
        <v>32</v>
      </c>
      <c r="K807">
        <v>646</v>
      </c>
      <c r="L807" t="s">
        <v>22</v>
      </c>
    </row>
    <row r="808" spans="1:12" x14ac:dyDescent="0.3">
      <c r="A808">
        <v>2012</v>
      </c>
      <c r="B808" t="s">
        <v>12</v>
      </c>
      <c r="C808">
        <v>15009</v>
      </c>
      <c r="D808">
        <v>3729.8</v>
      </c>
      <c r="E808">
        <v>42</v>
      </c>
      <c r="F808" t="s">
        <v>45</v>
      </c>
      <c r="G808" t="s">
        <v>14</v>
      </c>
      <c r="H808">
        <v>2810</v>
      </c>
      <c r="I808">
        <v>54.5</v>
      </c>
      <c r="J808" t="s">
        <v>32</v>
      </c>
      <c r="K808">
        <v>43562</v>
      </c>
      <c r="L808" t="s">
        <v>22</v>
      </c>
    </row>
    <row r="809" spans="1:12" x14ac:dyDescent="0.3">
      <c r="A809">
        <v>2013</v>
      </c>
      <c r="B809" t="s">
        <v>12</v>
      </c>
      <c r="C809">
        <v>15114</v>
      </c>
      <c r="D809">
        <v>2746.2</v>
      </c>
      <c r="E809">
        <v>43</v>
      </c>
      <c r="F809" t="s">
        <v>45</v>
      </c>
      <c r="G809" t="s">
        <v>14</v>
      </c>
      <c r="H809">
        <v>841</v>
      </c>
      <c r="I809">
        <v>56.6</v>
      </c>
      <c r="J809" t="s">
        <v>32</v>
      </c>
      <c r="K809">
        <v>200000</v>
      </c>
      <c r="L809" t="s">
        <v>22</v>
      </c>
    </row>
    <row r="810" spans="1:12" x14ac:dyDescent="0.3">
      <c r="A810">
        <v>2014</v>
      </c>
      <c r="B810" t="s">
        <v>12</v>
      </c>
      <c r="C810">
        <v>16224</v>
      </c>
      <c r="D810">
        <v>2746.2</v>
      </c>
      <c r="E810">
        <v>43</v>
      </c>
      <c r="F810" t="s">
        <v>45</v>
      </c>
      <c r="G810" t="s">
        <v>14</v>
      </c>
      <c r="H810">
        <v>3550</v>
      </c>
      <c r="I810">
        <v>55.5</v>
      </c>
      <c r="J810" t="s">
        <v>32</v>
      </c>
      <c r="K810">
        <v>4847</v>
      </c>
      <c r="L810" t="s">
        <v>22</v>
      </c>
    </row>
    <row r="811" spans="1:12" x14ac:dyDescent="0.3">
      <c r="A811">
        <v>2015</v>
      </c>
      <c r="B811" t="s">
        <v>12</v>
      </c>
      <c r="C811">
        <v>17095</v>
      </c>
      <c r="D811">
        <v>2746.2</v>
      </c>
      <c r="E811">
        <v>27</v>
      </c>
      <c r="F811" t="s">
        <v>45</v>
      </c>
      <c r="G811" t="s">
        <v>14</v>
      </c>
      <c r="H811">
        <v>109</v>
      </c>
      <c r="I811">
        <v>58.5</v>
      </c>
      <c r="J811" t="s">
        <v>32</v>
      </c>
      <c r="K811">
        <v>51239</v>
      </c>
      <c r="L811" t="s">
        <v>22</v>
      </c>
    </row>
    <row r="812" spans="1:12" x14ac:dyDescent="0.3">
      <c r="A812">
        <v>2016</v>
      </c>
      <c r="B812" t="s">
        <v>12</v>
      </c>
      <c r="C812">
        <v>17512</v>
      </c>
      <c r="D812">
        <v>3360</v>
      </c>
      <c r="E812">
        <v>27</v>
      </c>
      <c r="F812" t="s">
        <v>45</v>
      </c>
      <c r="G812" t="s">
        <v>14</v>
      </c>
      <c r="H812">
        <v>3368</v>
      </c>
      <c r="I812">
        <v>59.5</v>
      </c>
      <c r="J812" t="s">
        <v>32</v>
      </c>
      <c r="K812">
        <v>216396</v>
      </c>
      <c r="L812" t="s">
        <v>22</v>
      </c>
    </row>
    <row r="813" spans="1:12" x14ac:dyDescent="0.3">
      <c r="A813">
        <v>2017</v>
      </c>
      <c r="B813" t="s">
        <v>12</v>
      </c>
      <c r="C813">
        <v>17587</v>
      </c>
      <c r="D813">
        <v>3360</v>
      </c>
      <c r="E813">
        <v>27</v>
      </c>
      <c r="F813" t="s">
        <v>45</v>
      </c>
      <c r="G813" t="s">
        <v>21</v>
      </c>
      <c r="H813">
        <v>3671</v>
      </c>
      <c r="I813">
        <v>55</v>
      </c>
      <c r="J813" t="s">
        <v>32</v>
      </c>
      <c r="K813">
        <v>2644</v>
      </c>
      <c r="L813" t="s">
        <v>22</v>
      </c>
    </row>
    <row r="814" spans="1:12" x14ac:dyDescent="0.3">
      <c r="A814">
        <v>2018</v>
      </c>
      <c r="B814" t="s">
        <v>12</v>
      </c>
      <c r="C814">
        <v>17771</v>
      </c>
      <c r="D814">
        <v>3360</v>
      </c>
      <c r="E814">
        <v>27</v>
      </c>
      <c r="F814" t="s">
        <v>45</v>
      </c>
      <c r="G814" t="s">
        <v>21</v>
      </c>
      <c r="H814">
        <v>2404</v>
      </c>
      <c r="I814">
        <v>53</v>
      </c>
      <c r="J814" t="s">
        <v>32</v>
      </c>
      <c r="K814">
        <v>44235</v>
      </c>
      <c r="L814" t="s">
        <v>22</v>
      </c>
    </row>
    <row r="815" spans="1:12" x14ac:dyDescent="0.3">
      <c r="A815">
        <v>2004</v>
      </c>
      <c r="B815" t="s">
        <v>12</v>
      </c>
      <c r="C815">
        <v>17825</v>
      </c>
      <c r="D815">
        <v>3605.4</v>
      </c>
      <c r="E815">
        <v>27</v>
      </c>
      <c r="F815" t="s">
        <v>45</v>
      </c>
      <c r="G815" t="s">
        <v>21</v>
      </c>
      <c r="H815">
        <v>2805</v>
      </c>
      <c r="I815">
        <v>53.5</v>
      </c>
      <c r="J815" t="s">
        <v>32</v>
      </c>
      <c r="K815">
        <v>203317</v>
      </c>
      <c r="L815" t="s">
        <v>22</v>
      </c>
    </row>
    <row r="816" spans="1:12" x14ac:dyDescent="0.3">
      <c r="A816">
        <v>2005</v>
      </c>
      <c r="B816" t="s">
        <v>12</v>
      </c>
      <c r="C816">
        <v>3147</v>
      </c>
      <c r="D816">
        <v>3605.4</v>
      </c>
      <c r="E816">
        <v>27</v>
      </c>
      <c r="F816" t="s">
        <v>45</v>
      </c>
      <c r="G816" t="s">
        <v>21</v>
      </c>
      <c r="H816">
        <v>2331</v>
      </c>
      <c r="I816">
        <v>52.5</v>
      </c>
      <c r="J816" t="s">
        <v>32</v>
      </c>
      <c r="K816">
        <v>2134</v>
      </c>
      <c r="L816" t="s">
        <v>22</v>
      </c>
    </row>
    <row r="817" spans="1:12" x14ac:dyDescent="0.3">
      <c r="A817">
        <v>2006</v>
      </c>
      <c r="B817" t="s">
        <v>12</v>
      </c>
      <c r="C817">
        <v>2578</v>
      </c>
      <c r="D817">
        <v>3605.4</v>
      </c>
      <c r="E817">
        <v>27.2</v>
      </c>
      <c r="F817" t="s">
        <v>45</v>
      </c>
      <c r="G817" t="s">
        <v>21</v>
      </c>
      <c r="H817">
        <v>2088</v>
      </c>
      <c r="I817">
        <v>56</v>
      </c>
      <c r="J817" t="s">
        <v>32</v>
      </c>
      <c r="K817">
        <v>45186</v>
      </c>
      <c r="L817" t="s">
        <v>22</v>
      </c>
    </row>
    <row r="818" spans="1:12" x14ac:dyDescent="0.3">
      <c r="A818">
        <v>2007</v>
      </c>
      <c r="B818" t="s">
        <v>12</v>
      </c>
      <c r="C818">
        <v>1591</v>
      </c>
      <c r="D818">
        <v>3512.4</v>
      </c>
      <c r="E818">
        <v>27.2</v>
      </c>
      <c r="F818" t="s">
        <v>45</v>
      </c>
      <c r="G818" t="s">
        <v>21</v>
      </c>
      <c r="H818">
        <v>2628</v>
      </c>
      <c r="I818">
        <v>57</v>
      </c>
      <c r="J818" t="s">
        <v>32</v>
      </c>
      <c r="K818">
        <v>238542</v>
      </c>
      <c r="L818" t="s">
        <v>22</v>
      </c>
    </row>
    <row r="819" spans="1:12" x14ac:dyDescent="0.3">
      <c r="A819">
        <v>2008</v>
      </c>
      <c r="B819" t="s">
        <v>12</v>
      </c>
      <c r="C819">
        <v>1298</v>
      </c>
      <c r="D819">
        <v>3512.4</v>
      </c>
      <c r="E819">
        <v>27.2</v>
      </c>
      <c r="F819" t="s">
        <v>45</v>
      </c>
      <c r="G819" t="s">
        <v>21</v>
      </c>
      <c r="H819">
        <v>1939</v>
      </c>
      <c r="I819">
        <v>57.5</v>
      </c>
      <c r="J819" t="s">
        <v>32</v>
      </c>
      <c r="K819">
        <v>1516</v>
      </c>
      <c r="L819" t="s">
        <v>22</v>
      </c>
    </row>
    <row r="820" spans="1:12" x14ac:dyDescent="0.3">
      <c r="A820">
        <v>2009</v>
      </c>
      <c r="B820" t="s">
        <v>17</v>
      </c>
      <c r="C820">
        <v>4</v>
      </c>
      <c r="D820">
        <v>3512.4</v>
      </c>
      <c r="E820">
        <v>27</v>
      </c>
      <c r="F820" t="s">
        <v>45</v>
      </c>
      <c r="G820" t="s">
        <v>21</v>
      </c>
      <c r="H820">
        <v>1871</v>
      </c>
      <c r="I820">
        <v>57</v>
      </c>
      <c r="J820" t="s">
        <v>33</v>
      </c>
      <c r="K820">
        <v>200000</v>
      </c>
      <c r="L820" t="s">
        <v>22</v>
      </c>
    </row>
    <row r="821" spans="1:12" x14ac:dyDescent="0.3">
      <c r="A821">
        <v>2010</v>
      </c>
      <c r="B821" t="s">
        <v>17</v>
      </c>
      <c r="C821">
        <v>1122</v>
      </c>
      <c r="D821">
        <v>3296</v>
      </c>
      <c r="E821">
        <v>27</v>
      </c>
      <c r="F821" t="s">
        <v>45</v>
      </c>
      <c r="G821" t="s">
        <v>21</v>
      </c>
      <c r="H821">
        <v>1868</v>
      </c>
      <c r="I821">
        <v>55</v>
      </c>
      <c r="J821" t="s">
        <v>33</v>
      </c>
      <c r="K821">
        <v>4847</v>
      </c>
      <c r="L821" t="s">
        <v>22</v>
      </c>
    </row>
    <row r="822" spans="1:12" x14ac:dyDescent="0.3">
      <c r="A822">
        <v>2011</v>
      </c>
      <c r="B822" t="s">
        <v>17</v>
      </c>
      <c r="C822">
        <v>917</v>
      </c>
      <c r="D822">
        <v>3296</v>
      </c>
      <c r="E822">
        <v>27</v>
      </c>
      <c r="F822" t="s">
        <v>45</v>
      </c>
      <c r="G822" t="s">
        <v>21</v>
      </c>
      <c r="H822">
        <v>127919</v>
      </c>
      <c r="I822">
        <v>56</v>
      </c>
      <c r="J822" t="s">
        <v>33</v>
      </c>
      <c r="K822">
        <v>51239</v>
      </c>
      <c r="L822" t="s">
        <v>22</v>
      </c>
    </row>
    <row r="823" spans="1:12" x14ac:dyDescent="0.3">
      <c r="A823">
        <v>2012</v>
      </c>
      <c r="B823" t="s">
        <v>17</v>
      </c>
      <c r="C823">
        <v>819</v>
      </c>
      <c r="D823">
        <v>3296</v>
      </c>
      <c r="E823">
        <v>27</v>
      </c>
      <c r="F823" t="s">
        <v>45</v>
      </c>
      <c r="G823" t="s">
        <v>21</v>
      </c>
      <c r="H823">
        <v>75340</v>
      </c>
      <c r="I823">
        <v>54</v>
      </c>
      <c r="J823" t="s">
        <v>33</v>
      </c>
      <c r="K823">
        <v>216396</v>
      </c>
      <c r="L823" t="s">
        <v>22</v>
      </c>
    </row>
    <row r="824" spans="1:12" x14ac:dyDescent="0.3">
      <c r="A824">
        <v>2013</v>
      </c>
      <c r="B824" t="s">
        <v>17</v>
      </c>
      <c r="C824">
        <v>619</v>
      </c>
      <c r="D824">
        <v>3550</v>
      </c>
      <c r="E824">
        <v>27</v>
      </c>
      <c r="F824" t="s">
        <v>45</v>
      </c>
      <c r="G824" t="s">
        <v>21</v>
      </c>
      <c r="H824">
        <v>29170</v>
      </c>
      <c r="I824">
        <v>58</v>
      </c>
      <c r="J824" t="s">
        <v>33</v>
      </c>
      <c r="K824">
        <v>2644</v>
      </c>
      <c r="L824" t="s">
        <v>22</v>
      </c>
    </row>
    <row r="825" spans="1:12" x14ac:dyDescent="0.3">
      <c r="A825">
        <v>2014</v>
      </c>
      <c r="B825" t="s">
        <v>17</v>
      </c>
      <c r="C825">
        <v>391</v>
      </c>
      <c r="D825">
        <v>3550</v>
      </c>
      <c r="E825">
        <v>27</v>
      </c>
      <c r="F825" t="s">
        <v>45</v>
      </c>
      <c r="G825" t="s">
        <v>21</v>
      </c>
      <c r="H825">
        <v>1901</v>
      </c>
      <c r="I825">
        <v>58</v>
      </c>
      <c r="J825" t="s">
        <v>33</v>
      </c>
      <c r="K825">
        <v>44235</v>
      </c>
      <c r="L825" t="s">
        <v>22</v>
      </c>
    </row>
    <row r="826" spans="1:12" x14ac:dyDescent="0.3">
      <c r="A826">
        <v>2015</v>
      </c>
      <c r="B826" t="s">
        <v>17</v>
      </c>
      <c r="C826">
        <v>211</v>
      </c>
      <c r="D826">
        <v>3550</v>
      </c>
      <c r="E826">
        <v>27.2</v>
      </c>
      <c r="F826" t="s">
        <v>45</v>
      </c>
      <c r="G826" t="s">
        <v>21</v>
      </c>
      <c r="H826">
        <v>972</v>
      </c>
      <c r="I826">
        <v>59</v>
      </c>
      <c r="J826" t="s">
        <v>33</v>
      </c>
      <c r="K826">
        <v>203317</v>
      </c>
      <c r="L826" t="s">
        <v>22</v>
      </c>
    </row>
    <row r="827" spans="1:12" x14ac:dyDescent="0.3">
      <c r="A827">
        <v>2016</v>
      </c>
      <c r="B827" t="s">
        <v>17</v>
      </c>
      <c r="C827">
        <v>153</v>
      </c>
      <c r="D827">
        <v>3654</v>
      </c>
      <c r="E827">
        <v>27.2</v>
      </c>
      <c r="F827" t="s">
        <v>45</v>
      </c>
      <c r="G827" t="s">
        <v>21</v>
      </c>
      <c r="H827">
        <v>874</v>
      </c>
      <c r="I827">
        <v>50</v>
      </c>
      <c r="J827" t="s">
        <v>33</v>
      </c>
      <c r="K827">
        <v>2134</v>
      </c>
      <c r="L827" t="s">
        <v>22</v>
      </c>
    </row>
    <row r="828" spans="1:12" x14ac:dyDescent="0.3">
      <c r="A828">
        <v>2017</v>
      </c>
      <c r="B828" t="s">
        <v>17</v>
      </c>
      <c r="C828">
        <v>111</v>
      </c>
      <c r="D828">
        <v>3654</v>
      </c>
      <c r="E828">
        <v>27.2</v>
      </c>
      <c r="F828" t="s">
        <v>45</v>
      </c>
      <c r="G828" t="s">
        <v>21</v>
      </c>
      <c r="H828">
        <v>592</v>
      </c>
      <c r="I828">
        <v>54</v>
      </c>
      <c r="J828" t="s">
        <v>33</v>
      </c>
      <c r="K828">
        <v>45186</v>
      </c>
      <c r="L828" t="s">
        <v>22</v>
      </c>
    </row>
    <row r="829" spans="1:12" x14ac:dyDescent="0.3">
      <c r="A829">
        <v>2018</v>
      </c>
      <c r="B829" t="s">
        <v>17</v>
      </c>
      <c r="C829">
        <v>76</v>
      </c>
      <c r="D829">
        <v>3654</v>
      </c>
      <c r="E829">
        <v>27.1</v>
      </c>
      <c r="F829" t="s">
        <v>45</v>
      </c>
      <c r="G829" t="s">
        <v>21</v>
      </c>
      <c r="H829">
        <v>864</v>
      </c>
      <c r="I829">
        <v>53</v>
      </c>
      <c r="J829" t="s">
        <v>33</v>
      </c>
      <c r="K829">
        <v>238542</v>
      </c>
      <c r="L829" t="s">
        <v>22</v>
      </c>
    </row>
    <row r="830" spans="1:12" x14ac:dyDescent="0.3">
      <c r="A830">
        <v>2019</v>
      </c>
      <c r="B830" t="s">
        <v>17</v>
      </c>
      <c r="C830">
        <v>53</v>
      </c>
      <c r="D830">
        <v>233</v>
      </c>
      <c r="E830">
        <v>27.1</v>
      </c>
      <c r="F830" t="s">
        <v>45</v>
      </c>
      <c r="G830" t="s">
        <v>21</v>
      </c>
      <c r="H830">
        <v>5373</v>
      </c>
      <c r="I830">
        <v>52</v>
      </c>
      <c r="J830" t="s">
        <v>33</v>
      </c>
      <c r="K830">
        <v>1516</v>
      </c>
      <c r="L830" t="s">
        <v>22</v>
      </c>
    </row>
    <row r="831" spans="1:12" x14ac:dyDescent="0.3">
      <c r="A831">
        <v>2004</v>
      </c>
      <c r="B831" t="s">
        <v>17</v>
      </c>
      <c r="C831">
        <v>2688</v>
      </c>
      <c r="D831">
        <v>233</v>
      </c>
      <c r="E831">
        <v>27.1</v>
      </c>
      <c r="F831" t="s">
        <v>45</v>
      </c>
      <c r="G831" t="s">
        <v>21</v>
      </c>
      <c r="H831">
        <v>6589</v>
      </c>
      <c r="I831">
        <v>51</v>
      </c>
      <c r="J831" t="s">
        <v>33</v>
      </c>
      <c r="K831">
        <v>57259</v>
      </c>
      <c r="L831" t="s">
        <v>22</v>
      </c>
    </row>
    <row r="832" spans="1:12" x14ac:dyDescent="0.3">
      <c r="A832">
        <v>2005</v>
      </c>
      <c r="B832" t="s">
        <v>17</v>
      </c>
      <c r="C832">
        <v>2311</v>
      </c>
      <c r="D832">
        <v>233</v>
      </c>
      <c r="E832">
        <v>26.8</v>
      </c>
      <c r="F832" t="s">
        <v>45</v>
      </c>
      <c r="G832" t="s">
        <v>21</v>
      </c>
      <c r="H832">
        <v>5107</v>
      </c>
      <c r="I832">
        <v>57</v>
      </c>
      <c r="J832" t="s">
        <v>33</v>
      </c>
      <c r="K832">
        <v>234779</v>
      </c>
      <c r="L832" t="s">
        <v>22</v>
      </c>
    </row>
    <row r="833" spans="1:12" x14ac:dyDescent="0.3">
      <c r="A833">
        <v>2006</v>
      </c>
      <c r="B833" t="s">
        <v>17</v>
      </c>
      <c r="C833">
        <v>2188</v>
      </c>
      <c r="D833">
        <v>234</v>
      </c>
      <c r="E833">
        <v>26.8</v>
      </c>
      <c r="F833" t="s">
        <v>45</v>
      </c>
      <c r="G833" t="s">
        <v>21</v>
      </c>
      <c r="H833">
        <v>5518</v>
      </c>
      <c r="I833">
        <v>57</v>
      </c>
      <c r="J833" t="s">
        <v>33</v>
      </c>
      <c r="K833">
        <v>1493</v>
      </c>
      <c r="L833" t="s">
        <v>22</v>
      </c>
    </row>
    <row r="834" spans="1:12" x14ac:dyDescent="0.3">
      <c r="A834">
        <v>2007</v>
      </c>
      <c r="B834" t="s">
        <v>17</v>
      </c>
      <c r="C834">
        <v>1998</v>
      </c>
      <c r="D834">
        <v>234</v>
      </c>
      <c r="E834">
        <v>26.8</v>
      </c>
      <c r="F834" t="s">
        <v>45</v>
      </c>
      <c r="G834" t="s">
        <v>21</v>
      </c>
      <c r="H834">
        <v>4912</v>
      </c>
      <c r="I834">
        <v>60</v>
      </c>
      <c r="J834" t="s">
        <v>33</v>
      </c>
      <c r="K834">
        <v>64409</v>
      </c>
      <c r="L834" t="s">
        <v>22</v>
      </c>
    </row>
    <row r="835" spans="1:12" x14ac:dyDescent="0.3">
      <c r="A835">
        <v>2008</v>
      </c>
      <c r="B835" t="s">
        <v>17</v>
      </c>
      <c r="C835">
        <v>2006</v>
      </c>
      <c r="D835">
        <v>234</v>
      </c>
      <c r="E835">
        <v>37</v>
      </c>
      <c r="F835" t="s">
        <v>45</v>
      </c>
      <c r="G835" t="s">
        <v>21</v>
      </c>
      <c r="H835">
        <v>3830</v>
      </c>
      <c r="I835">
        <v>57</v>
      </c>
      <c r="J835" t="s">
        <v>35</v>
      </c>
      <c r="K835">
        <v>249978</v>
      </c>
      <c r="L835" t="s">
        <v>22</v>
      </c>
    </row>
    <row r="836" spans="1:12" x14ac:dyDescent="0.3">
      <c r="A836">
        <v>2009</v>
      </c>
      <c r="B836" t="s">
        <v>17</v>
      </c>
      <c r="C836">
        <v>2034</v>
      </c>
      <c r="D836">
        <v>3105</v>
      </c>
      <c r="E836">
        <v>37</v>
      </c>
      <c r="F836" t="s">
        <v>45</v>
      </c>
      <c r="G836" t="s">
        <v>21</v>
      </c>
      <c r="H836">
        <v>4</v>
      </c>
      <c r="I836">
        <v>57</v>
      </c>
      <c r="J836" t="s">
        <v>35</v>
      </c>
      <c r="K836">
        <v>637</v>
      </c>
      <c r="L836" t="s">
        <v>22</v>
      </c>
    </row>
    <row r="837" spans="1:12" x14ac:dyDescent="0.3">
      <c r="A837">
        <v>2010</v>
      </c>
      <c r="B837" t="s">
        <v>17</v>
      </c>
      <c r="C837">
        <v>2035</v>
      </c>
      <c r="D837">
        <v>3105</v>
      </c>
      <c r="E837">
        <v>37</v>
      </c>
      <c r="F837" t="s">
        <v>45</v>
      </c>
      <c r="G837" t="s">
        <v>21</v>
      </c>
      <c r="H837">
        <v>9</v>
      </c>
      <c r="I837">
        <v>54</v>
      </c>
      <c r="J837" t="s">
        <v>35</v>
      </c>
      <c r="K837">
        <v>43311</v>
      </c>
      <c r="L837" t="s">
        <v>22</v>
      </c>
    </row>
    <row r="838" spans="1:12" x14ac:dyDescent="0.3">
      <c r="A838">
        <v>2011</v>
      </c>
      <c r="B838" t="s">
        <v>17</v>
      </c>
      <c r="C838">
        <v>2074</v>
      </c>
      <c r="D838">
        <v>3105</v>
      </c>
      <c r="E838">
        <v>38</v>
      </c>
      <c r="F838" t="s">
        <v>45</v>
      </c>
      <c r="G838" t="s">
        <v>21</v>
      </c>
      <c r="H838">
        <v>12</v>
      </c>
      <c r="I838">
        <v>54.5</v>
      </c>
      <c r="J838" t="s">
        <v>35</v>
      </c>
      <c r="K838">
        <v>24848</v>
      </c>
      <c r="L838" t="s">
        <v>22</v>
      </c>
    </row>
    <row r="839" spans="1:12" x14ac:dyDescent="0.3">
      <c r="A839">
        <v>2012</v>
      </c>
      <c r="B839" t="s">
        <v>17</v>
      </c>
      <c r="C839">
        <v>2127</v>
      </c>
      <c r="D839">
        <v>236</v>
      </c>
      <c r="E839">
        <v>38</v>
      </c>
      <c r="F839" t="s">
        <v>45</v>
      </c>
      <c r="G839" t="s">
        <v>21</v>
      </c>
      <c r="H839">
        <v>2089</v>
      </c>
      <c r="I839">
        <v>56.6</v>
      </c>
      <c r="J839" t="s">
        <v>35</v>
      </c>
      <c r="K839">
        <v>761</v>
      </c>
      <c r="L839" t="s">
        <v>22</v>
      </c>
    </row>
    <row r="840" spans="1:12" x14ac:dyDescent="0.3">
      <c r="A840">
        <v>2013</v>
      </c>
      <c r="B840" t="s">
        <v>46</v>
      </c>
      <c r="C840">
        <v>2090</v>
      </c>
      <c r="D840">
        <v>236</v>
      </c>
      <c r="E840">
        <v>38</v>
      </c>
      <c r="F840" t="s">
        <v>45</v>
      </c>
      <c r="G840" t="s">
        <v>21</v>
      </c>
      <c r="H840">
        <v>2810</v>
      </c>
      <c r="I840">
        <v>55.5</v>
      </c>
      <c r="J840" t="s">
        <v>35</v>
      </c>
      <c r="K840">
        <v>45608</v>
      </c>
      <c r="L840" t="s">
        <v>22</v>
      </c>
    </row>
    <row r="841" spans="1:12" x14ac:dyDescent="0.3">
      <c r="A841">
        <v>2014</v>
      </c>
      <c r="B841" t="s">
        <v>46</v>
      </c>
      <c r="C841">
        <v>2059</v>
      </c>
      <c r="D841">
        <v>2903.1</v>
      </c>
      <c r="E841">
        <v>39</v>
      </c>
      <c r="F841" t="s">
        <v>45</v>
      </c>
      <c r="G841" t="s">
        <v>21</v>
      </c>
      <c r="H841">
        <v>841</v>
      </c>
      <c r="I841">
        <v>58.5</v>
      </c>
      <c r="J841" t="s">
        <v>35</v>
      </c>
      <c r="K841">
        <v>234581</v>
      </c>
      <c r="L841" t="s">
        <v>22</v>
      </c>
    </row>
    <row r="842" spans="1:12" x14ac:dyDescent="0.3">
      <c r="A842">
        <v>2015</v>
      </c>
      <c r="B842" t="s">
        <v>46</v>
      </c>
      <c r="C842">
        <v>2050</v>
      </c>
      <c r="D842">
        <v>2903.1</v>
      </c>
      <c r="E842">
        <v>39</v>
      </c>
      <c r="F842" t="s">
        <v>45</v>
      </c>
      <c r="G842" t="s">
        <v>21</v>
      </c>
      <c r="H842">
        <v>3550</v>
      </c>
      <c r="I842">
        <v>59.5</v>
      </c>
      <c r="J842" t="s">
        <v>35</v>
      </c>
      <c r="K842">
        <v>646</v>
      </c>
      <c r="L842" t="s">
        <v>22</v>
      </c>
    </row>
    <row r="843" spans="1:12" x14ac:dyDescent="0.3">
      <c r="A843">
        <v>2016</v>
      </c>
      <c r="B843" t="s">
        <v>46</v>
      </c>
      <c r="C843">
        <v>1865</v>
      </c>
      <c r="D843">
        <v>2903.1</v>
      </c>
      <c r="E843">
        <v>39</v>
      </c>
      <c r="F843" t="s">
        <v>45</v>
      </c>
      <c r="G843" t="s">
        <v>21</v>
      </c>
      <c r="H843">
        <v>109</v>
      </c>
      <c r="I843">
        <v>55</v>
      </c>
      <c r="J843" t="s">
        <v>35</v>
      </c>
      <c r="K843">
        <v>43562</v>
      </c>
      <c r="L843" t="s">
        <v>22</v>
      </c>
    </row>
    <row r="844" spans="1:12" x14ac:dyDescent="0.3">
      <c r="A844">
        <v>2017</v>
      </c>
      <c r="B844" t="s">
        <v>46</v>
      </c>
      <c r="C844">
        <v>1841</v>
      </c>
      <c r="D844">
        <v>2996.6</v>
      </c>
      <c r="E844">
        <v>40</v>
      </c>
      <c r="F844" t="s">
        <v>45</v>
      </c>
      <c r="G844" t="s">
        <v>21</v>
      </c>
      <c r="H844">
        <v>3368</v>
      </c>
      <c r="I844">
        <v>53</v>
      </c>
      <c r="J844" t="s">
        <v>35</v>
      </c>
      <c r="K844">
        <v>200000</v>
      </c>
      <c r="L844" t="s">
        <v>22</v>
      </c>
    </row>
    <row r="845" spans="1:12" x14ac:dyDescent="0.3">
      <c r="A845">
        <v>2018</v>
      </c>
      <c r="B845" t="s">
        <v>46</v>
      </c>
      <c r="C845">
        <v>1799</v>
      </c>
      <c r="D845">
        <v>2996.6</v>
      </c>
      <c r="E845">
        <v>40</v>
      </c>
      <c r="F845" t="s">
        <v>45</v>
      </c>
      <c r="G845" t="s">
        <v>21</v>
      </c>
      <c r="H845">
        <v>3671</v>
      </c>
      <c r="I845">
        <v>53.5</v>
      </c>
      <c r="J845" t="s">
        <v>35</v>
      </c>
      <c r="K845">
        <v>4847</v>
      </c>
      <c r="L845" t="s">
        <v>22</v>
      </c>
    </row>
    <row r="846" spans="1:12" x14ac:dyDescent="0.3">
      <c r="A846">
        <v>2012</v>
      </c>
      <c r="B846" t="s">
        <v>46</v>
      </c>
      <c r="C846">
        <v>1468</v>
      </c>
      <c r="D846">
        <v>2996.6</v>
      </c>
      <c r="E846">
        <v>40</v>
      </c>
      <c r="F846" t="s">
        <v>45</v>
      </c>
      <c r="G846" t="s">
        <v>21</v>
      </c>
      <c r="H846">
        <v>2404</v>
      </c>
      <c r="I846">
        <v>52.5</v>
      </c>
      <c r="J846" t="s">
        <v>35</v>
      </c>
      <c r="K846">
        <v>51239</v>
      </c>
      <c r="L846" t="s">
        <v>22</v>
      </c>
    </row>
    <row r="847" spans="1:12" x14ac:dyDescent="0.3">
      <c r="A847">
        <v>2013</v>
      </c>
      <c r="B847" t="s">
        <v>46</v>
      </c>
      <c r="C847">
        <v>568</v>
      </c>
      <c r="D847">
        <v>3522.8</v>
      </c>
      <c r="E847">
        <v>41</v>
      </c>
      <c r="F847" t="s">
        <v>45</v>
      </c>
      <c r="G847" t="s">
        <v>21</v>
      </c>
      <c r="H847">
        <v>2805</v>
      </c>
      <c r="I847">
        <v>56</v>
      </c>
      <c r="J847" t="s">
        <v>35</v>
      </c>
      <c r="K847">
        <v>216396</v>
      </c>
      <c r="L847" t="s">
        <v>22</v>
      </c>
    </row>
    <row r="848" spans="1:12" x14ac:dyDescent="0.3">
      <c r="A848">
        <v>2014</v>
      </c>
      <c r="B848" t="s">
        <v>46</v>
      </c>
      <c r="C848">
        <v>407</v>
      </c>
      <c r="D848">
        <v>3522.8</v>
      </c>
      <c r="E848">
        <v>41</v>
      </c>
      <c r="F848" t="s">
        <v>45</v>
      </c>
      <c r="G848" t="s">
        <v>21</v>
      </c>
      <c r="H848">
        <v>2331</v>
      </c>
      <c r="I848">
        <v>57</v>
      </c>
      <c r="J848" t="s">
        <v>35</v>
      </c>
      <c r="K848">
        <v>2644</v>
      </c>
      <c r="L848" t="s">
        <v>22</v>
      </c>
    </row>
    <row r="849" spans="1:12" x14ac:dyDescent="0.3">
      <c r="A849">
        <v>2015</v>
      </c>
      <c r="B849" t="s">
        <v>46</v>
      </c>
      <c r="C849">
        <v>177</v>
      </c>
      <c r="D849">
        <v>3522.8</v>
      </c>
      <c r="E849">
        <v>41</v>
      </c>
      <c r="F849" t="s">
        <v>45</v>
      </c>
      <c r="G849" t="s">
        <v>21</v>
      </c>
      <c r="H849">
        <v>2088</v>
      </c>
      <c r="I849">
        <v>57.5</v>
      </c>
      <c r="J849" t="s">
        <v>35</v>
      </c>
      <c r="K849">
        <v>44235</v>
      </c>
      <c r="L849" t="s">
        <v>22</v>
      </c>
    </row>
    <row r="850" spans="1:12" x14ac:dyDescent="0.3">
      <c r="A850">
        <v>2016</v>
      </c>
      <c r="B850" t="s">
        <v>46</v>
      </c>
      <c r="C850">
        <v>51</v>
      </c>
      <c r="D850">
        <v>2903.1</v>
      </c>
      <c r="E850">
        <v>42</v>
      </c>
      <c r="F850" t="s">
        <v>45</v>
      </c>
      <c r="G850" t="s">
        <v>21</v>
      </c>
      <c r="H850">
        <v>2628</v>
      </c>
      <c r="I850">
        <v>57</v>
      </c>
      <c r="J850" t="s">
        <v>37</v>
      </c>
      <c r="K850">
        <v>203317</v>
      </c>
      <c r="L850" t="s">
        <v>22</v>
      </c>
    </row>
    <row r="851" spans="1:12" x14ac:dyDescent="0.3">
      <c r="A851">
        <v>2017</v>
      </c>
      <c r="B851" t="s">
        <v>46</v>
      </c>
      <c r="C851">
        <v>173</v>
      </c>
      <c r="D851">
        <v>2903.1</v>
      </c>
      <c r="E851">
        <v>42</v>
      </c>
      <c r="F851" t="s">
        <v>36</v>
      </c>
      <c r="G851" t="s">
        <v>21</v>
      </c>
      <c r="H851">
        <v>1939</v>
      </c>
      <c r="I851">
        <v>55</v>
      </c>
      <c r="J851" t="s">
        <v>37</v>
      </c>
      <c r="K851">
        <v>2134</v>
      </c>
      <c r="L851" t="s">
        <v>22</v>
      </c>
    </row>
    <row r="852" spans="1:12" x14ac:dyDescent="0.3">
      <c r="A852">
        <v>2018</v>
      </c>
      <c r="B852" t="s">
        <v>46</v>
      </c>
      <c r="C852">
        <v>201</v>
      </c>
      <c r="D852">
        <v>2903.1</v>
      </c>
      <c r="E852">
        <v>42</v>
      </c>
      <c r="F852" t="s">
        <v>36</v>
      </c>
      <c r="G852" t="s">
        <v>21</v>
      </c>
      <c r="H852">
        <v>1871</v>
      </c>
      <c r="I852">
        <v>56</v>
      </c>
      <c r="J852" t="s">
        <v>37</v>
      </c>
      <c r="K852">
        <v>45186</v>
      </c>
      <c r="L852" t="s">
        <v>22</v>
      </c>
    </row>
    <row r="853" spans="1:12" x14ac:dyDescent="0.3">
      <c r="A853">
        <v>2019</v>
      </c>
      <c r="B853" t="s">
        <v>46</v>
      </c>
      <c r="C853">
        <v>206</v>
      </c>
      <c r="D853">
        <v>2996.6</v>
      </c>
      <c r="E853">
        <v>43</v>
      </c>
      <c r="F853" t="s">
        <v>36</v>
      </c>
      <c r="G853" t="s">
        <v>21</v>
      </c>
      <c r="H853">
        <v>1868</v>
      </c>
      <c r="I853">
        <v>54</v>
      </c>
      <c r="J853" t="s">
        <v>37</v>
      </c>
      <c r="K853">
        <v>238542</v>
      </c>
      <c r="L853" t="s">
        <v>22</v>
      </c>
    </row>
    <row r="854" spans="1:12" x14ac:dyDescent="0.3">
      <c r="A854">
        <v>2004</v>
      </c>
      <c r="B854" t="s">
        <v>46</v>
      </c>
      <c r="C854">
        <v>243</v>
      </c>
      <c r="D854">
        <v>2996.6</v>
      </c>
      <c r="E854">
        <v>27</v>
      </c>
      <c r="F854" t="s">
        <v>36</v>
      </c>
      <c r="G854" t="s">
        <v>21</v>
      </c>
      <c r="H854">
        <v>127919</v>
      </c>
      <c r="I854">
        <v>58</v>
      </c>
      <c r="J854" t="s">
        <v>37</v>
      </c>
      <c r="K854">
        <v>1516</v>
      </c>
      <c r="L854" t="s">
        <v>22</v>
      </c>
    </row>
    <row r="855" spans="1:12" x14ac:dyDescent="0.3">
      <c r="A855">
        <v>2005</v>
      </c>
      <c r="B855" t="s">
        <v>46</v>
      </c>
      <c r="C855">
        <v>123</v>
      </c>
      <c r="D855">
        <v>2996.6</v>
      </c>
      <c r="E855">
        <v>27</v>
      </c>
      <c r="F855" t="s">
        <v>36</v>
      </c>
      <c r="G855" t="s">
        <v>21</v>
      </c>
      <c r="H855">
        <v>75340</v>
      </c>
      <c r="I855">
        <v>58</v>
      </c>
      <c r="J855" t="s">
        <v>37</v>
      </c>
      <c r="K855">
        <v>57259</v>
      </c>
      <c r="L855" t="s">
        <v>22</v>
      </c>
    </row>
    <row r="856" spans="1:12" x14ac:dyDescent="0.3">
      <c r="A856">
        <v>2006</v>
      </c>
      <c r="B856" t="s">
        <v>46</v>
      </c>
      <c r="C856">
        <v>82</v>
      </c>
      <c r="D856">
        <v>3522.8</v>
      </c>
      <c r="E856">
        <v>27</v>
      </c>
      <c r="F856" t="s">
        <v>36</v>
      </c>
      <c r="G856" t="s">
        <v>26</v>
      </c>
      <c r="H856">
        <v>29170</v>
      </c>
      <c r="I856">
        <v>59</v>
      </c>
      <c r="J856" t="s">
        <v>37</v>
      </c>
      <c r="K856">
        <v>234779</v>
      </c>
      <c r="L856" t="s">
        <v>22</v>
      </c>
    </row>
    <row r="857" spans="1:12" x14ac:dyDescent="0.3">
      <c r="A857">
        <v>2007</v>
      </c>
      <c r="B857" t="s">
        <v>46</v>
      </c>
      <c r="C857">
        <v>74</v>
      </c>
      <c r="D857">
        <v>3522.8</v>
      </c>
      <c r="E857">
        <v>27</v>
      </c>
      <c r="F857" t="s">
        <v>36</v>
      </c>
      <c r="G857" t="s">
        <v>26</v>
      </c>
      <c r="H857">
        <v>1901</v>
      </c>
      <c r="I857">
        <v>50</v>
      </c>
      <c r="J857" t="s">
        <v>37</v>
      </c>
      <c r="K857">
        <v>1493</v>
      </c>
      <c r="L857" t="s">
        <v>22</v>
      </c>
    </row>
    <row r="858" spans="1:12" x14ac:dyDescent="0.3">
      <c r="A858">
        <v>2008</v>
      </c>
      <c r="B858" t="s">
        <v>46</v>
      </c>
      <c r="C858">
        <v>18</v>
      </c>
      <c r="D858">
        <v>3522.8</v>
      </c>
      <c r="E858">
        <v>27</v>
      </c>
      <c r="F858" t="s">
        <v>36</v>
      </c>
      <c r="G858" t="s">
        <v>26</v>
      </c>
      <c r="H858">
        <v>972</v>
      </c>
      <c r="I858">
        <v>54</v>
      </c>
      <c r="J858" t="s">
        <v>37</v>
      </c>
      <c r="K858">
        <v>64409</v>
      </c>
      <c r="L858" t="s">
        <v>22</v>
      </c>
    </row>
    <row r="859" spans="1:12" x14ac:dyDescent="0.3">
      <c r="A859">
        <v>2009</v>
      </c>
      <c r="B859" t="s">
        <v>18</v>
      </c>
      <c r="C859">
        <v>37</v>
      </c>
      <c r="D859">
        <v>3729.8</v>
      </c>
      <c r="E859">
        <v>27</v>
      </c>
      <c r="F859" t="s">
        <v>36</v>
      </c>
      <c r="G859" t="s">
        <v>26</v>
      </c>
      <c r="H859">
        <v>874</v>
      </c>
      <c r="I859">
        <v>53</v>
      </c>
      <c r="J859" t="s">
        <v>37</v>
      </c>
      <c r="K859">
        <v>249978</v>
      </c>
      <c r="L859" t="s">
        <v>22</v>
      </c>
    </row>
    <row r="860" spans="1:12" x14ac:dyDescent="0.3">
      <c r="A860">
        <v>2010</v>
      </c>
      <c r="B860" t="s">
        <v>18</v>
      </c>
      <c r="C860">
        <v>35</v>
      </c>
      <c r="D860">
        <v>3729.8</v>
      </c>
      <c r="E860">
        <v>27.2</v>
      </c>
      <c r="F860" t="s">
        <v>36</v>
      </c>
      <c r="G860" t="s">
        <v>26</v>
      </c>
      <c r="H860">
        <v>592</v>
      </c>
      <c r="I860">
        <v>52</v>
      </c>
      <c r="J860" t="s">
        <v>37</v>
      </c>
      <c r="K860">
        <v>637</v>
      </c>
      <c r="L860" t="s">
        <v>22</v>
      </c>
    </row>
    <row r="861" spans="1:12" x14ac:dyDescent="0.3">
      <c r="A861">
        <v>2011</v>
      </c>
      <c r="B861" t="s">
        <v>18</v>
      </c>
      <c r="C861">
        <v>5974</v>
      </c>
      <c r="D861">
        <v>3729.8</v>
      </c>
      <c r="E861">
        <v>27.2</v>
      </c>
      <c r="F861" t="s">
        <v>36</v>
      </c>
      <c r="G861" t="s">
        <v>26</v>
      </c>
      <c r="H861">
        <v>864</v>
      </c>
      <c r="I861">
        <v>51</v>
      </c>
      <c r="J861" t="s">
        <v>37</v>
      </c>
      <c r="K861">
        <v>43311</v>
      </c>
      <c r="L861" t="s">
        <v>22</v>
      </c>
    </row>
    <row r="862" spans="1:12" x14ac:dyDescent="0.3">
      <c r="A862">
        <v>2012</v>
      </c>
      <c r="B862" t="s">
        <v>18</v>
      </c>
      <c r="C862">
        <v>6631</v>
      </c>
      <c r="D862">
        <v>2746.2</v>
      </c>
      <c r="E862">
        <v>27.2</v>
      </c>
      <c r="F862" t="s">
        <v>36</v>
      </c>
      <c r="G862" t="s">
        <v>26</v>
      </c>
      <c r="H862">
        <v>5373</v>
      </c>
      <c r="I862">
        <v>57</v>
      </c>
      <c r="J862" t="s">
        <v>37</v>
      </c>
      <c r="K862">
        <v>24848</v>
      </c>
      <c r="L862" t="s">
        <v>22</v>
      </c>
    </row>
    <row r="863" spans="1:12" x14ac:dyDescent="0.3">
      <c r="A863">
        <v>2013</v>
      </c>
      <c r="B863" t="s">
        <v>18</v>
      </c>
      <c r="C863">
        <v>6705</v>
      </c>
      <c r="D863">
        <v>2746.2</v>
      </c>
      <c r="E863">
        <v>27</v>
      </c>
      <c r="F863" t="s">
        <v>36</v>
      </c>
      <c r="G863" t="s">
        <v>26</v>
      </c>
      <c r="H863">
        <v>6589</v>
      </c>
      <c r="I863">
        <v>57</v>
      </c>
      <c r="J863" t="s">
        <v>37</v>
      </c>
      <c r="K863">
        <v>761</v>
      </c>
      <c r="L863" t="s">
        <v>22</v>
      </c>
    </row>
    <row r="864" spans="1:12" x14ac:dyDescent="0.3">
      <c r="A864">
        <v>2014</v>
      </c>
      <c r="B864" t="s">
        <v>18</v>
      </c>
      <c r="C864">
        <v>5876</v>
      </c>
      <c r="D864">
        <v>2746.2</v>
      </c>
      <c r="E864">
        <v>27</v>
      </c>
      <c r="F864" t="s">
        <v>36</v>
      </c>
      <c r="G864" t="s">
        <v>26</v>
      </c>
      <c r="H864">
        <v>5107</v>
      </c>
      <c r="I864">
        <v>60</v>
      </c>
      <c r="J864" t="s">
        <v>37</v>
      </c>
      <c r="K864">
        <v>45608</v>
      </c>
      <c r="L864" t="s">
        <v>22</v>
      </c>
    </row>
    <row r="865" spans="1:12" x14ac:dyDescent="0.3">
      <c r="A865">
        <v>2015</v>
      </c>
      <c r="B865" t="s">
        <v>18</v>
      </c>
      <c r="C865">
        <v>326</v>
      </c>
      <c r="D865">
        <v>3360</v>
      </c>
      <c r="E865">
        <v>27</v>
      </c>
      <c r="F865" t="s">
        <v>36</v>
      </c>
      <c r="G865" t="s">
        <v>26</v>
      </c>
      <c r="H865">
        <v>5518</v>
      </c>
      <c r="I865">
        <v>57</v>
      </c>
      <c r="J865" t="s">
        <v>39</v>
      </c>
      <c r="K865">
        <v>234581</v>
      </c>
      <c r="L865" t="s">
        <v>22</v>
      </c>
    </row>
    <row r="866" spans="1:12" x14ac:dyDescent="0.3">
      <c r="A866">
        <v>2016</v>
      </c>
      <c r="B866" t="s">
        <v>18</v>
      </c>
      <c r="C866">
        <v>6470</v>
      </c>
      <c r="D866">
        <v>3360</v>
      </c>
      <c r="E866">
        <v>27</v>
      </c>
      <c r="F866" t="s">
        <v>36</v>
      </c>
      <c r="G866" t="s">
        <v>26</v>
      </c>
      <c r="H866">
        <v>4912</v>
      </c>
      <c r="I866">
        <v>57</v>
      </c>
      <c r="J866" t="s">
        <v>39</v>
      </c>
      <c r="K866">
        <v>646</v>
      </c>
      <c r="L866" t="s">
        <v>22</v>
      </c>
    </row>
    <row r="867" spans="1:12" x14ac:dyDescent="0.3">
      <c r="A867">
        <v>2017</v>
      </c>
      <c r="B867" t="s">
        <v>18</v>
      </c>
      <c r="C867">
        <v>6709</v>
      </c>
      <c r="D867">
        <v>3360</v>
      </c>
      <c r="E867">
        <v>27</v>
      </c>
      <c r="F867" t="s">
        <v>36</v>
      </c>
      <c r="G867" t="s">
        <v>26</v>
      </c>
      <c r="H867">
        <v>3830</v>
      </c>
      <c r="I867">
        <v>54</v>
      </c>
      <c r="J867" t="s">
        <v>39</v>
      </c>
      <c r="K867">
        <v>43562</v>
      </c>
      <c r="L867" t="s">
        <v>22</v>
      </c>
    </row>
    <row r="868" spans="1:12" x14ac:dyDescent="0.3">
      <c r="A868">
        <v>2018</v>
      </c>
      <c r="B868" t="s">
        <v>18</v>
      </c>
      <c r="C868">
        <v>6186</v>
      </c>
      <c r="D868">
        <v>3605.4</v>
      </c>
      <c r="E868">
        <v>27</v>
      </c>
      <c r="F868" t="s">
        <v>36</v>
      </c>
      <c r="G868" t="s">
        <v>26</v>
      </c>
      <c r="H868">
        <v>313547</v>
      </c>
      <c r="I868">
        <v>54.5</v>
      </c>
      <c r="J868" t="s">
        <v>39</v>
      </c>
      <c r="K868">
        <v>200000</v>
      </c>
      <c r="L868" t="s">
        <v>22</v>
      </c>
    </row>
    <row r="869" spans="1:12" x14ac:dyDescent="0.3">
      <c r="A869">
        <v>2011</v>
      </c>
      <c r="B869" t="s">
        <v>18</v>
      </c>
      <c r="C869">
        <v>6503</v>
      </c>
      <c r="D869">
        <v>3605.4</v>
      </c>
      <c r="E869">
        <v>27.2</v>
      </c>
      <c r="F869" t="s">
        <v>36</v>
      </c>
      <c r="G869" t="s">
        <v>26</v>
      </c>
      <c r="H869">
        <v>2783</v>
      </c>
      <c r="I869">
        <v>56.6</v>
      </c>
      <c r="J869" t="s">
        <v>39</v>
      </c>
      <c r="K869">
        <v>4847</v>
      </c>
      <c r="L869" t="s">
        <v>22</v>
      </c>
    </row>
    <row r="870" spans="1:12" x14ac:dyDescent="0.3">
      <c r="A870">
        <v>2012</v>
      </c>
      <c r="B870" t="s">
        <v>18</v>
      </c>
      <c r="C870">
        <v>5220</v>
      </c>
      <c r="D870">
        <v>2903.1</v>
      </c>
      <c r="E870">
        <v>27.2</v>
      </c>
      <c r="F870" t="s">
        <v>36</v>
      </c>
      <c r="G870" t="s">
        <v>26</v>
      </c>
      <c r="H870">
        <v>1533</v>
      </c>
      <c r="I870">
        <v>55.5</v>
      </c>
      <c r="J870" t="s">
        <v>39</v>
      </c>
      <c r="K870">
        <v>51239</v>
      </c>
      <c r="L870" t="s">
        <v>22</v>
      </c>
    </row>
    <row r="871" spans="1:12" x14ac:dyDescent="0.3">
      <c r="A871">
        <v>2013</v>
      </c>
      <c r="B871" t="s">
        <v>18</v>
      </c>
      <c r="C871">
        <v>4677</v>
      </c>
      <c r="D871">
        <v>2903.1</v>
      </c>
      <c r="E871">
        <v>27.2</v>
      </c>
      <c r="F871" t="s">
        <v>36</v>
      </c>
      <c r="G871" t="s">
        <v>26</v>
      </c>
      <c r="H871">
        <v>1647</v>
      </c>
      <c r="I871">
        <v>58.5</v>
      </c>
      <c r="J871" t="s">
        <v>39</v>
      </c>
      <c r="K871">
        <v>216396</v>
      </c>
      <c r="L871" t="s">
        <v>22</v>
      </c>
    </row>
    <row r="872" spans="1:12" x14ac:dyDescent="0.3">
      <c r="A872">
        <v>2014</v>
      </c>
      <c r="B872" t="s">
        <v>18</v>
      </c>
      <c r="C872">
        <v>4803</v>
      </c>
      <c r="D872">
        <v>2903.1</v>
      </c>
      <c r="E872">
        <v>27.1</v>
      </c>
      <c r="F872" t="s">
        <v>36</v>
      </c>
      <c r="G872" t="s">
        <v>26</v>
      </c>
      <c r="H872">
        <v>975</v>
      </c>
      <c r="I872">
        <v>59.5</v>
      </c>
      <c r="J872" t="s">
        <v>39</v>
      </c>
      <c r="K872">
        <v>2644</v>
      </c>
      <c r="L872" t="s">
        <v>22</v>
      </c>
    </row>
    <row r="873" spans="1:12" x14ac:dyDescent="0.3">
      <c r="A873">
        <v>2015</v>
      </c>
      <c r="B873" t="s">
        <v>18</v>
      </c>
      <c r="C873">
        <v>3739</v>
      </c>
      <c r="D873">
        <v>2996.6</v>
      </c>
      <c r="E873">
        <v>27.1</v>
      </c>
      <c r="F873" t="s">
        <v>36</v>
      </c>
      <c r="G873" t="s">
        <v>26</v>
      </c>
      <c r="H873">
        <v>2</v>
      </c>
      <c r="I873">
        <v>55</v>
      </c>
      <c r="J873" t="s">
        <v>39</v>
      </c>
      <c r="K873">
        <v>44235</v>
      </c>
      <c r="L873" t="s">
        <v>22</v>
      </c>
    </row>
    <row r="874" spans="1:12" x14ac:dyDescent="0.3">
      <c r="A874">
        <v>2016</v>
      </c>
      <c r="B874" t="s">
        <v>18</v>
      </c>
      <c r="C874">
        <v>3529</v>
      </c>
      <c r="D874">
        <v>2996.6</v>
      </c>
      <c r="E874">
        <v>27.1</v>
      </c>
      <c r="F874" t="s">
        <v>36</v>
      </c>
      <c r="G874" t="s">
        <v>26</v>
      </c>
      <c r="H874">
        <v>836</v>
      </c>
      <c r="I874">
        <v>53</v>
      </c>
      <c r="J874" t="s">
        <v>39</v>
      </c>
      <c r="K874">
        <v>203317</v>
      </c>
      <c r="L874" t="s">
        <v>22</v>
      </c>
    </row>
    <row r="875" spans="1:12" x14ac:dyDescent="0.3">
      <c r="A875">
        <v>2017</v>
      </c>
      <c r="B875" t="s">
        <v>18</v>
      </c>
      <c r="C875">
        <v>3649</v>
      </c>
      <c r="D875">
        <v>2996.6</v>
      </c>
      <c r="E875">
        <v>26.8</v>
      </c>
      <c r="F875" t="s">
        <v>36</v>
      </c>
      <c r="G875" t="s">
        <v>26</v>
      </c>
      <c r="H875">
        <v>806</v>
      </c>
      <c r="I875">
        <v>53.5</v>
      </c>
      <c r="J875" t="s">
        <v>39</v>
      </c>
      <c r="K875">
        <v>2134</v>
      </c>
      <c r="L875" t="s">
        <v>22</v>
      </c>
    </row>
    <row r="876" spans="1:12" x14ac:dyDescent="0.3">
      <c r="A876">
        <v>2018</v>
      </c>
      <c r="B876" t="s">
        <v>18</v>
      </c>
      <c r="C876">
        <v>1374</v>
      </c>
      <c r="D876">
        <v>3522.8</v>
      </c>
      <c r="E876">
        <v>26.8</v>
      </c>
      <c r="F876" t="s">
        <v>36</v>
      </c>
      <c r="G876" t="s">
        <v>26</v>
      </c>
      <c r="H876">
        <v>880</v>
      </c>
      <c r="I876">
        <v>52.5</v>
      </c>
      <c r="J876" t="s">
        <v>39</v>
      </c>
      <c r="K876">
        <v>45186</v>
      </c>
      <c r="L876" t="s">
        <v>22</v>
      </c>
    </row>
    <row r="877" spans="1:12" x14ac:dyDescent="0.3">
      <c r="A877">
        <v>2004</v>
      </c>
      <c r="B877" t="s">
        <v>18</v>
      </c>
      <c r="C877">
        <v>933</v>
      </c>
      <c r="D877">
        <v>3522.8</v>
      </c>
      <c r="E877">
        <v>26.8</v>
      </c>
      <c r="F877" t="s">
        <v>36</v>
      </c>
      <c r="G877" t="s">
        <v>26</v>
      </c>
      <c r="H877">
        <v>770</v>
      </c>
      <c r="I877">
        <v>56</v>
      </c>
      <c r="J877" t="s">
        <v>39</v>
      </c>
      <c r="K877">
        <v>238542</v>
      </c>
      <c r="L877" t="s">
        <v>22</v>
      </c>
    </row>
    <row r="878" spans="1:12" x14ac:dyDescent="0.3">
      <c r="A878">
        <v>2005</v>
      </c>
      <c r="B878" t="s">
        <v>18</v>
      </c>
      <c r="C878">
        <v>345</v>
      </c>
      <c r="D878">
        <v>3522.8</v>
      </c>
      <c r="E878">
        <v>37</v>
      </c>
      <c r="F878" t="s">
        <v>36</v>
      </c>
      <c r="G878" t="s">
        <v>26</v>
      </c>
      <c r="H878">
        <v>395</v>
      </c>
      <c r="I878">
        <v>57</v>
      </c>
      <c r="J878" t="s">
        <v>39</v>
      </c>
      <c r="K878">
        <v>1516</v>
      </c>
      <c r="L878" t="s">
        <v>22</v>
      </c>
    </row>
    <row r="879" spans="1:12" x14ac:dyDescent="0.3">
      <c r="A879">
        <v>2006</v>
      </c>
      <c r="B879" t="s">
        <v>18</v>
      </c>
      <c r="C879">
        <v>29</v>
      </c>
      <c r="D879">
        <v>3729.8</v>
      </c>
      <c r="E879">
        <v>37</v>
      </c>
      <c r="F879" t="s">
        <v>36</v>
      </c>
      <c r="G879" t="s">
        <v>26</v>
      </c>
      <c r="H879">
        <v>187</v>
      </c>
      <c r="I879">
        <v>57.5</v>
      </c>
      <c r="J879" t="s">
        <v>39</v>
      </c>
      <c r="K879">
        <v>200000</v>
      </c>
      <c r="L879" t="s">
        <v>22</v>
      </c>
    </row>
    <row r="880" spans="1:12" x14ac:dyDescent="0.3">
      <c r="A880">
        <v>2007</v>
      </c>
      <c r="B880" t="s">
        <v>18</v>
      </c>
      <c r="C880">
        <v>11</v>
      </c>
      <c r="D880">
        <v>2903.1</v>
      </c>
      <c r="E880">
        <v>37</v>
      </c>
      <c r="F880" t="s">
        <v>36</v>
      </c>
      <c r="G880" t="s">
        <v>26</v>
      </c>
      <c r="H880">
        <v>187</v>
      </c>
      <c r="I880">
        <v>57</v>
      </c>
      <c r="J880" t="s">
        <v>40</v>
      </c>
      <c r="K880">
        <v>4847</v>
      </c>
      <c r="L880" t="s">
        <v>22</v>
      </c>
    </row>
    <row r="881" spans="1:12" x14ac:dyDescent="0.3">
      <c r="A881">
        <v>2008</v>
      </c>
      <c r="B881" t="s">
        <v>18</v>
      </c>
      <c r="C881">
        <v>10</v>
      </c>
      <c r="D881">
        <v>2903.1</v>
      </c>
      <c r="E881">
        <v>38</v>
      </c>
      <c r="F881" t="s">
        <v>36</v>
      </c>
      <c r="G881" t="s">
        <v>26</v>
      </c>
      <c r="H881">
        <v>121</v>
      </c>
      <c r="I881">
        <v>55</v>
      </c>
      <c r="J881" t="s">
        <v>40</v>
      </c>
      <c r="K881">
        <v>51239</v>
      </c>
      <c r="L881" t="s">
        <v>22</v>
      </c>
    </row>
    <row r="882" spans="1:12" x14ac:dyDescent="0.3">
      <c r="A882">
        <v>2009</v>
      </c>
      <c r="B882" t="s">
        <v>18</v>
      </c>
      <c r="C882">
        <v>7</v>
      </c>
      <c r="D882">
        <v>2903.1</v>
      </c>
      <c r="E882">
        <v>38</v>
      </c>
      <c r="F882" t="s">
        <v>36</v>
      </c>
      <c r="G882" t="s">
        <v>26</v>
      </c>
      <c r="H882">
        <v>103</v>
      </c>
      <c r="I882">
        <v>56</v>
      </c>
      <c r="J882" t="s">
        <v>40</v>
      </c>
      <c r="K882">
        <v>216396</v>
      </c>
      <c r="L882" t="s">
        <v>22</v>
      </c>
    </row>
    <row r="883" spans="1:12" x14ac:dyDescent="0.3">
      <c r="A883">
        <v>2010</v>
      </c>
      <c r="B883" t="s">
        <v>18</v>
      </c>
      <c r="C883">
        <v>10</v>
      </c>
      <c r="D883">
        <v>2996.6</v>
      </c>
      <c r="E883">
        <v>38</v>
      </c>
      <c r="F883" t="s">
        <v>36</v>
      </c>
      <c r="G883" t="s">
        <v>26</v>
      </c>
      <c r="H883">
        <v>71</v>
      </c>
      <c r="I883">
        <v>54</v>
      </c>
      <c r="J883" t="s">
        <v>40</v>
      </c>
      <c r="K883">
        <v>2644</v>
      </c>
      <c r="L883" t="s">
        <v>22</v>
      </c>
    </row>
    <row r="884" spans="1:12" x14ac:dyDescent="0.3">
      <c r="A884">
        <v>2011</v>
      </c>
      <c r="B884" t="s">
        <v>18</v>
      </c>
      <c r="C884">
        <v>56</v>
      </c>
      <c r="D884">
        <v>2996.6</v>
      </c>
      <c r="E884">
        <v>39</v>
      </c>
      <c r="F884" t="s">
        <v>36</v>
      </c>
      <c r="G884" t="s">
        <v>26</v>
      </c>
      <c r="H884">
        <v>3961</v>
      </c>
      <c r="I884">
        <v>58</v>
      </c>
      <c r="J884" t="s">
        <v>40</v>
      </c>
      <c r="K884">
        <v>44235</v>
      </c>
      <c r="L884" t="s">
        <v>22</v>
      </c>
    </row>
    <row r="885" spans="1:12" x14ac:dyDescent="0.3">
      <c r="A885">
        <v>2012</v>
      </c>
      <c r="B885" t="s">
        <v>18</v>
      </c>
      <c r="C885">
        <v>68</v>
      </c>
      <c r="D885">
        <v>2996.6</v>
      </c>
      <c r="E885">
        <v>39</v>
      </c>
      <c r="F885" t="s">
        <v>36</v>
      </c>
      <c r="G885" t="s">
        <v>26</v>
      </c>
      <c r="H885">
        <v>4247</v>
      </c>
      <c r="I885">
        <v>58</v>
      </c>
      <c r="J885" t="s">
        <v>40</v>
      </c>
      <c r="K885">
        <v>203317</v>
      </c>
      <c r="L885" t="s">
        <v>22</v>
      </c>
    </row>
    <row r="886" spans="1:12" x14ac:dyDescent="0.3">
      <c r="A886">
        <v>2013</v>
      </c>
      <c r="B886" t="s">
        <v>18</v>
      </c>
      <c r="C886">
        <v>56</v>
      </c>
      <c r="D886">
        <v>3522.8</v>
      </c>
      <c r="E886">
        <v>39</v>
      </c>
      <c r="F886" t="s">
        <v>36</v>
      </c>
      <c r="G886" t="s">
        <v>26</v>
      </c>
      <c r="H886">
        <v>3290</v>
      </c>
      <c r="I886">
        <v>59</v>
      </c>
      <c r="J886" t="s">
        <v>40</v>
      </c>
      <c r="K886">
        <v>2134</v>
      </c>
      <c r="L886" t="s">
        <v>22</v>
      </c>
    </row>
    <row r="887" spans="1:12" x14ac:dyDescent="0.3">
      <c r="A887">
        <v>2014</v>
      </c>
      <c r="B887" t="s">
        <v>18</v>
      </c>
      <c r="C887">
        <v>66</v>
      </c>
      <c r="D887">
        <v>3522.8</v>
      </c>
      <c r="E887">
        <v>40</v>
      </c>
      <c r="F887" t="s">
        <v>36</v>
      </c>
      <c r="G887" t="s">
        <v>26</v>
      </c>
      <c r="H887">
        <v>3138</v>
      </c>
      <c r="I887">
        <v>50</v>
      </c>
      <c r="J887" t="s">
        <v>40</v>
      </c>
      <c r="K887">
        <v>45186</v>
      </c>
      <c r="L887" t="s">
        <v>22</v>
      </c>
    </row>
    <row r="888" spans="1:12" x14ac:dyDescent="0.3">
      <c r="A888">
        <v>2015</v>
      </c>
      <c r="B888" t="s">
        <v>18</v>
      </c>
      <c r="C888">
        <v>55</v>
      </c>
      <c r="D888">
        <v>3522.8</v>
      </c>
      <c r="E888">
        <v>40</v>
      </c>
      <c r="F888" t="s">
        <v>36</v>
      </c>
      <c r="G888" t="s">
        <v>26</v>
      </c>
      <c r="H888">
        <v>3423</v>
      </c>
      <c r="I888">
        <v>54</v>
      </c>
      <c r="J888" t="s">
        <v>40</v>
      </c>
      <c r="K888">
        <v>238542</v>
      </c>
      <c r="L888" t="s">
        <v>22</v>
      </c>
    </row>
    <row r="889" spans="1:12" x14ac:dyDescent="0.3">
      <c r="A889">
        <v>2016</v>
      </c>
      <c r="B889" t="s">
        <v>18</v>
      </c>
      <c r="C889">
        <v>42</v>
      </c>
      <c r="D889">
        <v>3729.8</v>
      </c>
      <c r="E889">
        <v>40</v>
      </c>
      <c r="F889" t="s">
        <v>36</v>
      </c>
      <c r="G889" t="s">
        <v>26</v>
      </c>
      <c r="H889">
        <v>3899</v>
      </c>
      <c r="I889">
        <v>53</v>
      </c>
      <c r="J889" t="s">
        <v>40</v>
      </c>
      <c r="K889">
        <v>1516</v>
      </c>
      <c r="L889" t="s">
        <v>22</v>
      </c>
    </row>
    <row r="890" spans="1:12" x14ac:dyDescent="0.3">
      <c r="A890">
        <v>2017</v>
      </c>
      <c r="B890" t="s">
        <v>18</v>
      </c>
      <c r="C890">
        <v>51179</v>
      </c>
      <c r="D890">
        <v>3729.8</v>
      </c>
      <c r="E890">
        <v>41</v>
      </c>
      <c r="F890" t="s">
        <v>36</v>
      </c>
      <c r="G890" t="s">
        <v>26</v>
      </c>
      <c r="H890">
        <v>4015</v>
      </c>
      <c r="I890">
        <v>52</v>
      </c>
      <c r="J890" t="s">
        <v>40</v>
      </c>
      <c r="K890">
        <v>57259</v>
      </c>
      <c r="L890" t="s">
        <v>22</v>
      </c>
    </row>
    <row r="891" spans="1:12" x14ac:dyDescent="0.3">
      <c r="A891">
        <v>2018</v>
      </c>
      <c r="B891" t="s">
        <v>20</v>
      </c>
      <c r="C891">
        <v>468</v>
      </c>
      <c r="D891">
        <v>3729.8</v>
      </c>
      <c r="E891">
        <v>41</v>
      </c>
      <c r="F891" t="s">
        <v>36</v>
      </c>
      <c r="G891" t="s">
        <v>26</v>
      </c>
      <c r="H891">
        <v>4279</v>
      </c>
      <c r="I891">
        <v>51</v>
      </c>
      <c r="J891" t="s">
        <v>40</v>
      </c>
      <c r="K891">
        <v>234779</v>
      </c>
      <c r="L891" t="s">
        <v>22</v>
      </c>
    </row>
    <row r="892" spans="1:12" x14ac:dyDescent="0.3">
      <c r="A892">
        <v>2004</v>
      </c>
      <c r="B892" t="s">
        <v>20</v>
      </c>
      <c r="C892">
        <v>11841</v>
      </c>
      <c r="D892">
        <v>2746.2</v>
      </c>
      <c r="E892">
        <v>41</v>
      </c>
      <c r="F892" t="s">
        <v>36</v>
      </c>
      <c r="G892" t="s">
        <v>26</v>
      </c>
      <c r="H892">
        <v>4167</v>
      </c>
      <c r="I892">
        <v>57</v>
      </c>
      <c r="J892" t="s">
        <v>40</v>
      </c>
      <c r="K892">
        <v>1493</v>
      </c>
      <c r="L892" t="s">
        <v>22</v>
      </c>
    </row>
    <row r="893" spans="1:12" x14ac:dyDescent="0.3">
      <c r="A893">
        <v>2005</v>
      </c>
      <c r="B893" t="s">
        <v>20</v>
      </c>
      <c r="C893">
        <v>50975</v>
      </c>
      <c r="D893">
        <v>2746.2</v>
      </c>
      <c r="E893">
        <v>42</v>
      </c>
      <c r="F893" t="s">
        <v>36</v>
      </c>
      <c r="G893" t="s">
        <v>26</v>
      </c>
      <c r="H893">
        <v>4479</v>
      </c>
      <c r="I893">
        <v>57</v>
      </c>
      <c r="J893" t="s">
        <v>40</v>
      </c>
      <c r="K893">
        <v>64409</v>
      </c>
      <c r="L893" t="s">
        <v>22</v>
      </c>
    </row>
    <row r="894" spans="1:12" x14ac:dyDescent="0.3">
      <c r="A894">
        <v>2012</v>
      </c>
      <c r="B894" t="s">
        <v>20</v>
      </c>
      <c r="C894">
        <v>206</v>
      </c>
      <c r="D894">
        <v>2746.2</v>
      </c>
      <c r="E894">
        <v>42</v>
      </c>
      <c r="F894" t="s">
        <v>36</v>
      </c>
      <c r="G894" t="s">
        <v>26</v>
      </c>
      <c r="H894">
        <v>3699</v>
      </c>
      <c r="I894">
        <v>60</v>
      </c>
      <c r="J894" t="s">
        <v>40</v>
      </c>
      <c r="K894">
        <v>249978</v>
      </c>
      <c r="L894" t="s">
        <v>22</v>
      </c>
    </row>
    <row r="895" spans="1:12" x14ac:dyDescent="0.3">
      <c r="A895">
        <v>2013</v>
      </c>
      <c r="B895" t="s">
        <v>20</v>
      </c>
      <c r="C895">
        <v>10922</v>
      </c>
      <c r="D895">
        <v>3360</v>
      </c>
      <c r="E895">
        <v>42</v>
      </c>
      <c r="F895" t="s">
        <v>36</v>
      </c>
      <c r="G895" t="s">
        <v>26</v>
      </c>
      <c r="H895">
        <v>4904</v>
      </c>
      <c r="I895">
        <v>57</v>
      </c>
      <c r="J895" t="s">
        <v>42</v>
      </c>
      <c r="K895">
        <v>637</v>
      </c>
      <c r="L895" t="s">
        <v>22</v>
      </c>
    </row>
    <row r="896" spans="1:12" x14ac:dyDescent="0.3">
      <c r="A896">
        <v>2014</v>
      </c>
      <c r="B896" t="s">
        <v>20</v>
      </c>
      <c r="C896">
        <v>51390</v>
      </c>
      <c r="D896">
        <v>3360</v>
      </c>
      <c r="E896">
        <v>43</v>
      </c>
      <c r="F896" t="s">
        <v>36</v>
      </c>
      <c r="G896" t="s">
        <v>26</v>
      </c>
      <c r="H896">
        <v>2821</v>
      </c>
      <c r="I896">
        <v>57</v>
      </c>
      <c r="J896" t="s">
        <v>42</v>
      </c>
      <c r="K896">
        <v>43311</v>
      </c>
      <c r="L896" t="s">
        <v>22</v>
      </c>
    </row>
    <row r="897" spans="1:12" x14ac:dyDescent="0.3">
      <c r="A897">
        <v>2015</v>
      </c>
      <c r="B897" t="s">
        <v>20</v>
      </c>
      <c r="C897">
        <v>177</v>
      </c>
      <c r="D897">
        <v>3360</v>
      </c>
      <c r="E897">
        <v>43</v>
      </c>
      <c r="F897" t="s">
        <v>36</v>
      </c>
      <c r="G897" t="s">
        <v>26</v>
      </c>
      <c r="H897">
        <v>3472</v>
      </c>
      <c r="I897">
        <v>54</v>
      </c>
      <c r="J897" t="s">
        <v>42</v>
      </c>
      <c r="K897">
        <v>24848</v>
      </c>
      <c r="L897" t="s">
        <v>22</v>
      </c>
    </row>
    <row r="898" spans="1:12" x14ac:dyDescent="0.3">
      <c r="A898">
        <v>2016</v>
      </c>
      <c r="B898" t="s">
        <v>20</v>
      </c>
      <c r="C898">
        <v>10723</v>
      </c>
      <c r="D898">
        <v>3605.4</v>
      </c>
      <c r="E898">
        <v>128</v>
      </c>
      <c r="F898" t="s">
        <v>36</v>
      </c>
      <c r="G898" t="s">
        <v>26</v>
      </c>
      <c r="H898">
        <v>3647</v>
      </c>
      <c r="I898">
        <v>54.5</v>
      </c>
      <c r="J898" t="s">
        <v>42</v>
      </c>
      <c r="K898">
        <v>761</v>
      </c>
      <c r="L898" t="s">
        <v>22</v>
      </c>
    </row>
    <row r="899" spans="1:12" x14ac:dyDescent="0.3">
      <c r="A899">
        <v>2017</v>
      </c>
      <c r="B899" t="s">
        <v>20</v>
      </c>
      <c r="C899">
        <v>51709</v>
      </c>
      <c r="D899">
        <v>3605.4</v>
      </c>
      <c r="E899">
        <v>129</v>
      </c>
      <c r="F899" t="s">
        <v>36</v>
      </c>
      <c r="G899" t="s">
        <v>26</v>
      </c>
      <c r="H899">
        <v>393</v>
      </c>
      <c r="I899">
        <v>56.6</v>
      </c>
      <c r="J899" t="s">
        <v>42</v>
      </c>
      <c r="K899">
        <v>45608</v>
      </c>
      <c r="L899" t="s">
        <v>22</v>
      </c>
    </row>
    <row r="900" spans="1:12" x14ac:dyDescent="0.3">
      <c r="A900">
        <v>2018</v>
      </c>
      <c r="B900" t="s">
        <v>20</v>
      </c>
      <c r="C900">
        <v>146</v>
      </c>
      <c r="D900">
        <v>3605.4</v>
      </c>
      <c r="E900">
        <v>130</v>
      </c>
      <c r="F900" t="s">
        <v>36</v>
      </c>
      <c r="G900" t="s">
        <v>14</v>
      </c>
      <c r="H900">
        <v>167</v>
      </c>
      <c r="I900">
        <v>55.5</v>
      </c>
      <c r="J900" t="s">
        <v>42</v>
      </c>
      <c r="K900">
        <v>234581</v>
      </c>
      <c r="L900" t="s">
        <v>22</v>
      </c>
    </row>
    <row r="901" spans="1:12" x14ac:dyDescent="0.3">
      <c r="A901">
        <v>2004</v>
      </c>
      <c r="B901" t="s">
        <v>20</v>
      </c>
      <c r="C901">
        <v>10910</v>
      </c>
      <c r="D901">
        <v>3512.4</v>
      </c>
      <c r="E901">
        <v>131</v>
      </c>
      <c r="F901" t="s">
        <v>36</v>
      </c>
      <c r="G901" t="s">
        <v>14</v>
      </c>
      <c r="H901">
        <v>71</v>
      </c>
      <c r="I901">
        <v>58.5</v>
      </c>
      <c r="J901" t="s">
        <v>42</v>
      </c>
      <c r="K901">
        <v>646</v>
      </c>
      <c r="L901" t="s">
        <v>22</v>
      </c>
    </row>
    <row r="902" spans="1:12" x14ac:dyDescent="0.3">
      <c r="A902">
        <v>2005</v>
      </c>
      <c r="B902" t="s">
        <v>20</v>
      </c>
      <c r="C902">
        <v>51355</v>
      </c>
      <c r="D902">
        <v>3512.4</v>
      </c>
      <c r="E902">
        <v>132</v>
      </c>
      <c r="F902" t="s">
        <v>24</v>
      </c>
      <c r="G902" t="s">
        <v>14</v>
      </c>
      <c r="H902">
        <v>52</v>
      </c>
      <c r="I902">
        <v>59.5</v>
      </c>
      <c r="J902" t="s">
        <v>42</v>
      </c>
      <c r="K902">
        <v>43562</v>
      </c>
      <c r="L902" t="s">
        <v>22</v>
      </c>
    </row>
    <row r="903" spans="1:12" x14ac:dyDescent="0.3">
      <c r="A903">
        <v>2006</v>
      </c>
      <c r="B903" t="s">
        <v>20</v>
      </c>
      <c r="C903">
        <v>160</v>
      </c>
      <c r="D903">
        <v>3512.4</v>
      </c>
      <c r="E903">
        <v>133</v>
      </c>
      <c r="F903" t="s">
        <v>24</v>
      </c>
      <c r="G903" t="s">
        <v>14</v>
      </c>
      <c r="H903">
        <v>313547</v>
      </c>
      <c r="I903">
        <v>55</v>
      </c>
      <c r="J903" t="s">
        <v>42</v>
      </c>
      <c r="K903">
        <v>200000</v>
      </c>
      <c r="L903" t="s">
        <v>22</v>
      </c>
    </row>
    <row r="904" spans="1:12" x14ac:dyDescent="0.3">
      <c r="A904">
        <v>2007</v>
      </c>
      <c r="B904" t="s">
        <v>20</v>
      </c>
      <c r="C904">
        <v>10912</v>
      </c>
      <c r="D904">
        <v>3296</v>
      </c>
      <c r="E904">
        <v>134</v>
      </c>
      <c r="F904" t="s">
        <v>24</v>
      </c>
      <c r="G904" t="s">
        <v>14</v>
      </c>
      <c r="H904">
        <v>2783</v>
      </c>
      <c r="I904">
        <v>53</v>
      </c>
      <c r="J904" t="s">
        <v>42</v>
      </c>
      <c r="K904">
        <v>4847</v>
      </c>
      <c r="L904" t="s">
        <v>22</v>
      </c>
    </row>
    <row r="905" spans="1:12" x14ac:dyDescent="0.3">
      <c r="A905">
        <v>2008</v>
      </c>
      <c r="B905" t="s">
        <v>20</v>
      </c>
      <c r="C905">
        <v>51353</v>
      </c>
      <c r="D905">
        <v>3296</v>
      </c>
      <c r="E905">
        <v>135</v>
      </c>
      <c r="F905" t="s">
        <v>24</v>
      </c>
      <c r="G905" t="s">
        <v>14</v>
      </c>
      <c r="H905">
        <v>1533</v>
      </c>
      <c r="I905">
        <v>53.5</v>
      </c>
      <c r="J905" t="s">
        <v>42</v>
      </c>
      <c r="K905">
        <v>51239</v>
      </c>
      <c r="L905" t="s">
        <v>22</v>
      </c>
    </row>
    <row r="906" spans="1:12" x14ac:dyDescent="0.3">
      <c r="A906">
        <v>2009</v>
      </c>
      <c r="B906" t="s">
        <v>20</v>
      </c>
      <c r="C906">
        <v>142</v>
      </c>
      <c r="D906">
        <v>3296</v>
      </c>
      <c r="E906">
        <v>136</v>
      </c>
      <c r="F906" t="s">
        <v>24</v>
      </c>
      <c r="G906" t="s">
        <v>14</v>
      </c>
      <c r="H906">
        <v>1647</v>
      </c>
      <c r="I906">
        <v>52.5</v>
      </c>
      <c r="J906" t="s">
        <v>42</v>
      </c>
      <c r="K906">
        <v>216396</v>
      </c>
      <c r="L906" t="s">
        <v>22</v>
      </c>
    </row>
    <row r="907" spans="1:12" x14ac:dyDescent="0.3">
      <c r="A907">
        <v>2010</v>
      </c>
      <c r="B907" t="s">
        <v>20</v>
      </c>
      <c r="C907">
        <v>10505</v>
      </c>
      <c r="D907">
        <v>3550</v>
      </c>
      <c r="E907">
        <v>137</v>
      </c>
      <c r="F907" t="s">
        <v>24</v>
      </c>
      <c r="G907" t="s">
        <v>14</v>
      </c>
      <c r="H907">
        <v>975</v>
      </c>
      <c r="I907">
        <v>56</v>
      </c>
      <c r="J907" t="s">
        <v>42</v>
      </c>
      <c r="K907">
        <v>2644</v>
      </c>
      <c r="L907" t="s">
        <v>22</v>
      </c>
    </row>
    <row r="908" spans="1:12" x14ac:dyDescent="0.3">
      <c r="A908">
        <v>2011</v>
      </c>
      <c r="B908" t="s">
        <v>20</v>
      </c>
      <c r="C908">
        <v>51040</v>
      </c>
      <c r="D908">
        <v>3550</v>
      </c>
      <c r="E908">
        <v>138</v>
      </c>
      <c r="F908" t="s">
        <v>24</v>
      </c>
      <c r="G908" t="s">
        <v>14</v>
      </c>
      <c r="H908">
        <v>2</v>
      </c>
      <c r="I908">
        <v>59.5</v>
      </c>
      <c r="J908" t="s">
        <v>42</v>
      </c>
      <c r="K908">
        <v>44235</v>
      </c>
      <c r="L908" t="s">
        <v>22</v>
      </c>
    </row>
    <row r="909" spans="1:12" x14ac:dyDescent="0.3">
      <c r="A909">
        <v>2012</v>
      </c>
      <c r="B909" t="s">
        <v>20</v>
      </c>
      <c r="C909">
        <v>154</v>
      </c>
      <c r="D909">
        <v>3550</v>
      </c>
      <c r="E909">
        <v>139</v>
      </c>
      <c r="F909" t="s">
        <v>24</v>
      </c>
      <c r="G909" t="s">
        <v>14</v>
      </c>
      <c r="H909">
        <v>836</v>
      </c>
      <c r="I909">
        <v>55</v>
      </c>
      <c r="J909" t="s">
        <v>42</v>
      </c>
      <c r="K909">
        <v>203317</v>
      </c>
      <c r="L909" t="s">
        <v>22</v>
      </c>
    </row>
    <row r="910" spans="1:12" x14ac:dyDescent="0.3">
      <c r="A910">
        <v>2013</v>
      </c>
      <c r="B910" t="s">
        <v>20</v>
      </c>
      <c r="C910">
        <v>10318</v>
      </c>
      <c r="D910">
        <v>3654</v>
      </c>
      <c r="E910">
        <v>140</v>
      </c>
      <c r="F910" t="s">
        <v>24</v>
      </c>
      <c r="G910" t="s">
        <v>14</v>
      </c>
      <c r="H910">
        <v>806</v>
      </c>
      <c r="I910">
        <v>53</v>
      </c>
      <c r="J910" t="s">
        <v>43</v>
      </c>
      <c r="K910">
        <v>2134</v>
      </c>
      <c r="L910" t="s">
        <v>22</v>
      </c>
    </row>
    <row r="911" spans="1:12" x14ac:dyDescent="0.3">
      <c r="A911">
        <v>2014</v>
      </c>
      <c r="B911" t="s">
        <v>20</v>
      </c>
      <c r="C911">
        <v>48083</v>
      </c>
      <c r="D911">
        <v>3654</v>
      </c>
      <c r="E911">
        <v>141</v>
      </c>
      <c r="F911" t="s">
        <v>24</v>
      </c>
      <c r="G911" t="s">
        <v>14</v>
      </c>
      <c r="H911">
        <v>880</v>
      </c>
      <c r="I911">
        <v>53.5</v>
      </c>
      <c r="J911" t="s">
        <v>43</v>
      </c>
      <c r="K911">
        <v>45186</v>
      </c>
      <c r="L911" t="s">
        <v>22</v>
      </c>
    </row>
    <row r="912" spans="1:12" x14ac:dyDescent="0.3">
      <c r="A912">
        <v>2015</v>
      </c>
      <c r="B912" t="s">
        <v>20</v>
      </c>
      <c r="C912">
        <v>143</v>
      </c>
      <c r="D912">
        <v>3654</v>
      </c>
      <c r="E912">
        <v>142</v>
      </c>
      <c r="F912" t="s">
        <v>24</v>
      </c>
      <c r="G912" t="s">
        <v>14</v>
      </c>
      <c r="H912">
        <v>770</v>
      </c>
      <c r="I912">
        <v>52.5</v>
      </c>
      <c r="J912" t="s">
        <v>43</v>
      </c>
      <c r="K912">
        <v>238542</v>
      </c>
      <c r="L912" t="s">
        <v>22</v>
      </c>
    </row>
    <row r="913" spans="1:12" x14ac:dyDescent="0.3">
      <c r="A913">
        <v>2016</v>
      </c>
      <c r="B913" t="s">
        <v>20</v>
      </c>
      <c r="C913">
        <v>9283</v>
      </c>
      <c r="D913">
        <v>233</v>
      </c>
      <c r="E913">
        <v>143</v>
      </c>
      <c r="F913" t="s">
        <v>24</v>
      </c>
      <c r="G913" t="s">
        <v>14</v>
      </c>
      <c r="H913">
        <v>395</v>
      </c>
      <c r="I913">
        <v>56</v>
      </c>
      <c r="J913" t="s">
        <v>43</v>
      </c>
      <c r="K913">
        <v>1516</v>
      </c>
      <c r="L913" t="s">
        <v>22</v>
      </c>
    </row>
    <row r="914" spans="1:12" x14ac:dyDescent="0.3">
      <c r="A914">
        <v>2017</v>
      </c>
      <c r="B914" t="s">
        <v>20</v>
      </c>
      <c r="C914">
        <v>47200</v>
      </c>
      <c r="D914">
        <v>233</v>
      </c>
      <c r="E914">
        <v>144</v>
      </c>
      <c r="F914" t="s">
        <v>24</v>
      </c>
      <c r="G914" t="s">
        <v>14</v>
      </c>
      <c r="H914">
        <v>187</v>
      </c>
      <c r="I914">
        <v>57</v>
      </c>
      <c r="J914" t="s">
        <v>43</v>
      </c>
      <c r="K914">
        <v>57259</v>
      </c>
      <c r="L914" t="s">
        <v>22</v>
      </c>
    </row>
    <row r="915" spans="1:12" x14ac:dyDescent="0.3">
      <c r="A915">
        <v>2018</v>
      </c>
      <c r="B915" t="s">
        <v>20</v>
      </c>
      <c r="C915">
        <v>158</v>
      </c>
      <c r="D915">
        <v>233</v>
      </c>
      <c r="E915">
        <v>27</v>
      </c>
      <c r="F915" t="s">
        <v>24</v>
      </c>
      <c r="G915" t="s">
        <v>14</v>
      </c>
      <c r="H915">
        <v>187</v>
      </c>
      <c r="I915">
        <v>57.5</v>
      </c>
      <c r="J915" t="s">
        <v>43</v>
      </c>
      <c r="K915">
        <v>234779</v>
      </c>
      <c r="L915" t="s">
        <v>22</v>
      </c>
    </row>
    <row r="916" spans="1:12" x14ac:dyDescent="0.3">
      <c r="A916">
        <v>2019</v>
      </c>
      <c r="B916" t="s">
        <v>20</v>
      </c>
      <c r="C916">
        <v>8982</v>
      </c>
      <c r="D916">
        <v>234</v>
      </c>
      <c r="E916">
        <v>27</v>
      </c>
      <c r="F916" t="s">
        <v>24</v>
      </c>
      <c r="G916" t="s">
        <v>14</v>
      </c>
      <c r="H916">
        <v>121</v>
      </c>
      <c r="I916">
        <v>57</v>
      </c>
      <c r="J916" t="s">
        <v>43</v>
      </c>
      <c r="K916">
        <v>1493</v>
      </c>
      <c r="L916" t="s">
        <v>22</v>
      </c>
    </row>
    <row r="917" spans="1:12" x14ac:dyDescent="0.3">
      <c r="A917">
        <v>2004</v>
      </c>
      <c r="B917" t="s">
        <v>20</v>
      </c>
      <c r="C917">
        <v>46990</v>
      </c>
      <c r="D917">
        <v>234</v>
      </c>
      <c r="E917">
        <v>27</v>
      </c>
      <c r="F917" t="s">
        <v>24</v>
      </c>
      <c r="G917" t="s">
        <v>14</v>
      </c>
      <c r="H917">
        <v>103</v>
      </c>
      <c r="I917">
        <v>55</v>
      </c>
      <c r="J917" t="s">
        <v>43</v>
      </c>
      <c r="K917">
        <v>64409</v>
      </c>
      <c r="L917" t="s">
        <v>22</v>
      </c>
    </row>
    <row r="918" spans="1:12" x14ac:dyDescent="0.3">
      <c r="A918">
        <v>2013</v>
      </c>
      <c r="B918" t="s">
        <v>23</v>
      </c>
      <c r="C918">
        <v>103</v>
      </c>
      <c r="D918">
        <v>234</v>
      </c>
      <c r="E918">
        <v>27</v>
      </c>
      <c r="F918" t="s">
        <v>24</v>
      </c>
      <c r="G918" t="s">
        <v>14</v>
      </c>
      <c r="H918">
        <v>71</v>
      </c>
      <c r="I918">
        <v>56</v>
      </c>
      <c r="J918" t="s">
        <v>43</v>
      </c>
      <c r="K918">
        <v>249978</v>
      </c>
      <c r="L918" t="s">
        <v>22</v>
      </c>
    </row>
    <row r="919" spans="1:12" x14ac:dyDescent="0.3">
      <c r="A919">
        <v>2014</v>
      </c>
      <c r="B919" t="s">
        <v>23</v>
      </c>
      <c r="C919">
        <v>8239</v>
      </c>
      <c r="D919">
        <v>3105</v>
      </c>
      <c r="E919">
        <v>27</v>
      </c>
      <c r="F919" t="s">
        <v>24</v>
      </c>
      <c r="G919" t="s">
        <v>14</v>
      </c>
      <c r="H919">
        <v>3961</v>
      </c>
      <c r="I919">
        <v>54</v>
      </c>
      <c r="J919" t="s">
        <v>43</v>
      </c>
      <c r="K919">
        <v>637</v>
      </c>
      <c r="L919" t="s">
        <v>22</v>
      </c>
    </row>
    <row r="920" spans="1:12" x14ac:dyDescent="0.3">
      <c r="A920">
        <v>2015</v>
      </c>
      <c r="B920" t="s">
        <v>23</v>
      </c>
      <c r="C920">
        <v>44563</v>
      </c>
      <c r="D920">
        <v>3105</v>
      </c>
      <c r="E920">
        <v>27</v>
      </c>
      <c r="F920" t="s">
        <v>24</v>
      </c>
      <c r="G920" t="s">
        <v>14</v>
      </c>
      <c r="H920">
        <v>4247</v>
      </c>
      <c r="I920">
        <v>58</v>
      </c>
      <c r="J920" t="s">
        <v>43</v>
      </c>
      <c r="K920">
        <v>43311</v>
      </c>
      <c r="L920" t="s">
        <v>22</v>
      </c>
    </row>
    <row r="921" spans="1:12" x14ac:dyDescent="0.3">
      <c r="A921">
        <v>2016</v>
      </c>
      <c r="B921" t="s">
        <v>23</v>
      </c>
      <c r="C921">
        <v>96</v>
      </c>
      <c r="D921">
        <v>3105</v>
      </c>
      <c r="E921">
        <v>27.2</v>
      </c>
      <c r="F921" t="s">
        <v>24</v>
      </c>
      <c r="G921" t="s">
        <v>14</v>
      </c>
      <c r="H921">
        <v>3290</v>
      </c>
      <c r="I921">
        <v>58</v>
      </c>
      <c r="J921" t="s">
        <v>43</v>
      </c>
      <c r="K921">
        <v>24848</v>
      </c>
      <c r="L921" t="s">
        <v>22</v>
      </c>
    </row>
    <row r="922" spans="1:12" x14ac:dyDescent="0.3">
      <c r="A922">
        <v>2017</v>
      </c>
      <c r="B922" t="s">
        <v>23</v>
      </c>
      <c r="C922">
        <v>6949</v>
      </c>
      <c r="D922">
        <v>236</v>
      </c>
      <c r="E922">
        <v>27.2</v>
      </c>
      <c r="F922" t="s">
        <v>24</v>
      </c>
      <c r="G922" t="s">
        <v>14</v>
      </c>
      <c r="H922">
        <v>3138</v>
      </c>
      <c r="I922">
        <v>59</v>
      </c>
      <c r="J922" t="s">
        <v>43</v>
      </c>
      <c r="K922">
        <v>761</v>
      </c>
      <c r="L922" t="s">
        <v>22</v>
      </c>
    </row>
    <row r="923" spans="1:12" x14ac:dyDescent="0.3">
      <c r="A923">
        <v>2018</v>
      </c>
      <c r="B923" t="s">
        <v>23</v>
      </c>
      <c r="C923">
        <v>44663</v>
      </c>
      <c r="D923">
        <v>236</v>
      </c>
      <c r="E923">
        <v>27.2</v>
      </c>
      <c r="F923" t="s">
        <v>24</v>
      </c>
      <c r="G923" t="s">
        <v>14</v>
      </c>
      <c r="H923">
        <v>3423</v>
      </c>
      <c r="I923">
        <v>50</v>
      </c>
      <c r="J923" t="s">
        <v>43</v>
      </c>
      <c r="K923">
        <v>45608</v>
      </c>
      <c r="L923" t="s">
        <v>22</v>
      </c>
    </row>
    <row r="924" spans="1:12" x14ac:dyDescent="0.3">
      <c r="A924">
        <v>2004</v>
      </c>
      <c r="B924" t="s">
        <v>23</v>
      </c>
      <c r="C924">
        <v>110</v>
      </c>
      <c r="D924">
        <v>2903.1</v>
      </c>
      <c r="E924">
        <v>27</v>
      </c>
      <c r="F924" t="s">
        <v>24</v>
      </c>
      <c r="G924" t="s">
        <v>14</v>
      </c>
      <c r="H924">
        <v>3899</v>
      </c>
      <c r="I924">
        <v>54</v>
      </c>
      <c r="J924" t="s">
        <v>43</v>
      </c>
      <c r="K924">
        <v>234581</v>
      </c>
      <c r="L924" t="s">
        <v>22</v>
      </c>
    </row>
    <row r="925" spans="1:12" x14ac:dyDescent="0.3">
      <c r="A925">
        <v>2005</v>
      </c>
      <c r="B925" t="s">
        <v>23</v>
      </c>
      <c r="C925">
        <v>6824</v>
      </c>
      <c r="D925">
        <v>2903.1</v>
      </c>
      <c r="E925">
        <v>27</v>
      </c>
      <c r="F925" t="s">
        <v>24</v>
      </c>
      <c r="G925" t="s">
        <v>14</v>
      </c>
      <c r="H925">
        <v>4015</v>
      </c>
      <c r="I925">
        <v>53</v>
      </c>
      <c r="J925" t="s">
        <v>15</v>
      </c>
      <c r="K925">
        <v>646</v>
      </c>
      <c r="L925" t="s">
        <v>22</v>
      </c>
    </row>
    <row r="926" spans="1:12" x14ac:dyDescent="0.3">
      <c r="A926">
        <v>2006</v>
      </c>
      <c r="B926" t="s">
        <v>23</v>
      </c>
      <c r="C926">
        <v>43013</v>
      </c>
      <c r="D926">
        <v>2903.1</v>
      </c>
      <c r="E926">
        <v>27</v>
      </c>
      <c r="F926" t="s">
        <v>24</v>
      </c>
      <c r="G926" t="s">
        <v>14</v>
      </c>
      <c r="H926">
        <v>4279</v>
      </c>
      <c r="I926">
        <v>59.5</v>
      </c>
      <c r="J926" t="s">
        <v>15</v>
      </c>
      <c r="K926">
        <v>43562</v>
      </c>
      <c r="L926" t="s">
        <v>22</v>
      </c>
    </row>
    <row r="927" spans="1:12" x14ac:dyDescent="0.3">
      <c r="A927">
        <v>2007</v>
      </c>
      <c r="B927" t="s">
        <v>23</v>
      </c>
      <c r="C927">
        <v>95</v>
      </c>
      <c r="D927">
        <v>2996.6</v>
      </c>
      <c r="E927">
        <v>27</v>
      </c>
      <c r="F927" t="s">
        <v>19</v>
      </c>
      <c r="G927" t="s">
        <v>14</v>
      </c>
      <c r="H927">
        <v>4167</v>
      </c>
      <c r="I927">
        <v>55</v>
      </c>
      <c r="J927" t="s">
        <v>15</v>
      </c>
      <c r="K927">
        <v>200000</v>
      </c>
      <c r="L927" t="s">
        <v>22</v>
      </c>
    </row>
    <row r="928" spans="1:12" x14ac:dyDescent="0.3">
      <c r="A928">
        <v>2008</v>
      </c>
      <c r="B928" t="s">
        <v>23</v>
      </c>
      <c r="C928">
        <v>6441</v>
      </c>
      <c r="D928">
        <v>2996.6</v>
      </c>
      <c r="E928">
        <v>27</v>
      </c>
      <c r="F928" t="s">
        <v>19</v>
      </c>
      <c r="G928" t="s">
        <v>14</v>
      </c>
      <c r="H928">
        <v>4479</v>
      </c>
      <c r="I928">
        <v>53</v>
      </c>
      <c r="J928" t="s">
        <v>15</v>
      </c>
      <c r="K928">
        <v>4847</v>
      </c>
      <c r="L928" t="s">
        <v>22</v>
      </c>
    </row>
    <row r="929" spans="1:12" x14ac:dyDescent="0.3">
      <c r="A929">
        <v>2009</v>
      </c>
      <c r="B929" t="s">
        <v>23</v>
      </c>
      <c r="C929">
        <v>4012</v>
      </c>
      <c r="D929">
        <v>2996.6</v>
      </c>
      <c r="E929">
        <v>27</v>
      </c>
      <c r="F929" t="s">
        <v>19</v>
      </c>
      <c r="G929" t="s">
        <v>14</v>
      </c>
      <c r="H929">
        <v>3699</v>
      </c>
      <c r="I929">
        <v>53.5</v>
      </c>
      <c r="J929" t="s">
        <v>15</v>
      </c>
      <c r="K929">
        <v>51239</v>
      </c>
      <c r="L929" t="s">
        <v>22</v>
      </c>
    </row>
    <row r="930" spans="1:12" x14ac:dyDescent="0.3">
      <c r="A930">
        <v>2010</v>
      </c>
      <c r="B930" t="s">
        <v>23</v>
      </c>
      <c r="C930">
        <v>4877</v>
      </c>
      <c r="D930">
        <v>3522.8</v>
      </c>
      <c r="E930">
        <v>27.2</v>
      </c>
      <c r="F930" t="s">
        <v>19</v>
      </c>
      <c r="G930" t="s">
        <v>14</v>
      </c>
      <c r="H930">
        <v>4904</v>
      </c>
      <c r="I930">
        <v>52.5</v>
      </c>
      <c r="J930" t="s">
        <v>15</v>
      </c>
      <c r="K930">
        <v>216396</v>
      </c>
      <c r="L930" t="s">
        <v>22</v>
      </c>
    </row>
    <row r="931" spans="1:12" x14ac:dyDescent="0.3">
      <c r="A931">
        <v>2011</v>
      </c>
      <c r="B931" t="s">
        <v>23</v>
      </c>
      <c r="C931">
        <v>4930</v>
      </c>
      <c r="D931">
        <v>3522.8</v>
      </c>
      <c r="E931">
        <v>27.2</v>
      </c>
      <c r="F931" t="s">
        <v>19</v>
      </c>
      <c r="G931" t="s">
        <v>14</v>
      </c>
      <c r="H931">
        <v>2821</v>
      </c>
      <c r="I931">
        <v>56</v>
      </c>
      <c r="J931" t="s">
        <v>15</v>
      </c>
      <c r="K931">
        <v>2644</v>
      </c>
      <c r="L931" t="s">
        <v>22</v>
      </c>
    </row>
    <row r="932" spans="1:12" x14ac:dyDescent="0.3">
      <c r="A932">
        <v>2012</v>
      </c>
      <c r="B932" t="s">
        <v>23</v>
      </c>
      <c r="C932">
        <v>4954</v>
      </c>
      <c r="D932">
        <v>3522.8</v>
      </c>
      <c r="E932">
        <v>27.2</v>
      </c>
      <c r="F932" t="s">
        <v>19</v>
      </c>
      <c r="G932" t="s">
        <v>14</v>
      </c>
      <c r="H932">
        <v>3472</v>
      </c>
      <c r="I932">
        <v>57</v>
      </c>
      <c r="J932" t="s">
        <v>15</v>
      </c>
      <c r="K932">
        <v>44235</v>
      </c>
      <c r="L932" t="s">
        <v>22</v>
      </c>
    </row>
    <row r="933" spans="1:12" x14ac:dyDescent="0.3">
      <c r="A933">
        <v>2013</v>
      </c>
      <c r="B933" t="s">
        <v>23</v>
      </c>
      <c r="C933">
        <v>5019</v>
      </c>
      <c r="D933">
        <v>3729.8</v>
      </c>
      <c r="E933">
        <v>27.1</v>
      </c>
      <c r="F933" t="s">
        <v>19</v>
      </c>
      <c r="G933" t="s">
        <v>14</v>
      </c>
      <c r="H933">
        <v>3647</v>
      </c>
      <c r="I933">
        <v>57.5</v>
      </c>
      <c r="J933" t="s">
        <v>15</v>
      </c>
      <c r="K933">
        <v>203317</v>
      </c>
      <c r="L933" t="s">
        <v>22</v>
      </c>
    </row>
    <row r="934" spans="1:12" x14ac:dyDescent="0.3">
      <c r="A934">
        <v>2014</v>
      </c>
      <c r="B934" t="s">
        <v>23</v>
      </c>
      <c r="C934">
        <v>5127</v>
      </c>
      <c r="D934">
        <v>3729.8</v>
      </c>
      <c r="E934">
        <v>27.1</v>
      </c>
      <c r="F934" t="s">
        <v>19</v>
      </c>
      <c r="G934" t="s">
        <v>14</v>
      </c>
      <c r="H934">
        <v>393</v>
      </c>
      <c r="I934">
        <v>57</v>
      </c>
      <c r="J934" t="s">
        <v>15</v>
      </c>
      <c r="K934">
        <v>2134</v>
      </c>
      <c r="L934" t="s">
        <v>22</v>
      </c>
    </row>
    <row r="935" spans="1:12" x14ac:dyDescent="0.3">
      <c r="A935">
        <v>2015</v>
      </c>
      <c r="B935" t="s">
        <v>23</v>
      </c>
      <c r="C935">
        <v>5174</v>
      </c>
      <c r="D935">
        <v>3729.8</v>
      </c>
      <c r="E935">
        <v>27.1</v>
      </c>
      <c r="F935" t="s">
        <v>19</v>
      </c>
      <c r="G935" t="s">
        <v>14</v>
      </c>
      <c r="H935">
        <v>167</v>
      </c>
      <c r="I935">
        <v>55</v>
      </c>
      <c r="J935" t="s">
        <v>15</v>
      </c>
      <c r="K935">
        <v>45186</v>
      </c>
      <c r="L935" t="s">
        <v>22</v>
      </c>
    </row>
    <row r="936" spans="1:12" x14ac:dyDescent="0.3">
      <c r="A936">
        <v>2016</v>
      </c>
      <c r="B936" t="s">
        <v>23</v>
      </c>
      <c r="C936">
        <v>5294</v>
      </c>
      <c r="D936">
        <v>2746.2</v>
      </c>
      <c r="E936">
        <v>26.8</v>
      </c>
      <c r="F936" t="s">
        <v>19</v>
      </c>
      <c r="G936" t="s">
        <v>14</v>
      </c>
      <c r="H936">
        <v>71</v>
      </c>
      <c r="I936">
        <v>56</v>
      </c>
      <c r="J936" t="s">
        <v>15</v>
      </c>
      <c r="K936">
        <v>238542</v>
      </c>
      <c r="L936" t="s">
        <v>22</v>
      </c>
    </row>
    <row r="937" spans="1:12" x14ac:dyDescent="0.3">
      <c r="A937">
        <v>2017</v>
      </c>
      <c r="B937" t="s">
        <v>23</v>
      </c>
      <c r="C937">
        <v>5474</v>
      </c>
      <c r="D937">
        <v>2746.2</v>
      </c>
      <c r="E937">
        <v>26.8</v>
      </c>
      <c r="F937" t="s">
        <v>19</v>
      </c>
      <c r="G937" t="s">
        <v>14</v>
      </c>
      <c r="H937">
        <v>52</v>
      </c>
      <c r="I937">
        <v>54</v>
      </c>
      <c r="J937" t="s">
        <v>15</v>
      </c>
      <c r="K937">
        <v>1516</v>
      </c>
      <c r="L937" t="s">
        <v>22</v>
      </c>
    </row>
    <row r="938" spans="1:12" x14ac:dyDescent="0.3">
      <c r="A938">
        <v>2018</v>
      </c>
      <c r="B938" t="s">
        <v>23</v>
      </c>
      <c r="C938">
        <v>5864</v>
      </c>
      <c r="D938">
        <v>2746.2</v>
      </c>
      <c r="E938">
        <v>26.8</v>
      </c>
      <c r="F938" t="s">
        <v>19</v>
      </c>
      <c r="G938" t="s">
        <v>14</v>
      </c>
      <c r="H938">
        <v>2570</v>
      </c>
      <c r="I938">
        <v>58</v>
      </c>
      <c r="J938" t="s">
        <v>15</v>
      </c>
      <c r="K938">
        <v>200000</v>
      </c>
      <c r="L938" t="s">
        <v>22</v>
      </c>
    </row>
    <row r="939" spans="1:12" x14ac:dyDescent="0.3">
      <c r="A939">
        <v>2013</v>
      </c>
      <c r="B939" t="s">
        <v>23</v>
      </c>
      <c r="C939">
        <v>7028</v>
      </c>
      <c r="D939">
        <v>3360</v>
      </c>
      <c r="E939">
        <v>37</v>
      </c>
      <c r="F939" t="s">
        <v>19</v>
      </c>
      <c r="G939" t="s">
        <v>14</v>
      </c>
      <c r="H939">
        <v>27170</v>
      </c>
      <c r="I939">
        <v>58</v>
      </c>
      <c r="J939" t="s">
        <v>15</v>
      </c>
      <c r="K939">
        <v>4847</v>
      </c>
      <c r="L939" t="s">
        <v>22</v>
      </c>
    </row>
    <row r="940" spans="1:12" x14ac:dyDescent="0.3">
      <c r="A940">
        <v>2014</v>
      </c>
      <c r="B940" t="s">
        <v>23</v>
      </c>
      <c r="C940">
        <v>7403</v>
      </c>
      <c r="D940">
        <v>3360</v>
      </c>
      <c r="E940">
        <v>37</v>
      </c>
      <c r="F940" t="s">
        <v>19</v>
      </c>
      <c r="G940" t="s">
        <v>14</v>
      </c>
      <c r="H940">
        <v>114744</v>
      </c>
      <c r="I940">
        <v>59</v>
      </c>
      <c r="J940" t="s">
        <v>15</v>
      </c>
      <c r="K940">
        <v>51239</v>
      </c>
      <c r="L940" t="s">
        <v>22</v>
      </c>
    </row>
    <row r="941" spans="1:12" x14ac:dyDescent="0.3">
      <c r="A941">
        <v>2015</v>
      </c>
      <c r="B941" t="s">
        <v>23</v>
      </c>
      <c r="C941">
        <v>7501</v>
      </c>
      <c r="D941">
        <v>3360</v>
      </c>
      <c r="E941">
        <v>37</v>
      </c>
      <c r="F941" t="s">
        <v>19</v>
      </c>
      <c r="G941" t="s">
        <v>14</v>
      </c>
      <c r="H941">
        <v>1402</v>
      </c>
      <c r="I941">
        <v>50</v>
      </c>
      <c r="J941" t="s">
        <v>35</v>
      </c>
      <c r="K941">
        <v>216396</v>
      </c>
      <c r="L941" t="s">
        <v>22</v>
      </c>
    </row>
    <row r="942" spans="1:12" x14ac:dyDescent="0.3">
      <c r="A942">
        <v>2016</v>
      </c>
      <c r="B942" t="s">
        <v>23</v>
      </c>
      <c r="C942">
        <v>7714</v>
      </c>
      <c r="D942">
        <v>3605.4</v>
      </c>
      <c r="E942">
        <v>38</v>
      </c>
      <c r="F942" t="s">
        <v>19</v>
      </c>
      <c r="G942" t="s">
        <v>14</v>
      </c>
      <c r="H942">
        <v>23456</v>
      </c>
      <c r="I942">
        <v>54</v>
      </c>
      <c r="J942" t="s">
        <v>35</v>
      </c>
      <c r="K942">
        <v>2644</v>
      </c>
      <c r="L942" t="s">
        <v>22</v>
      </c>
    </row>
    <row r="943" spans="1:12" x14ac:dyDescent="0.3">
      <c r="A943">
        <v>2017</v>
      </c>
      <c r="B943" t="s">
        <v>23</v>
      </c>
      <c r="C943">
        <v>7856</v>
      </c>
      <c r="D943">
        <v>3605.4</v>
      </c>
      <c r="E943">
        <v>38</v>
      </c>
      <c r="F943" t="s">
        <v>19</v>
      </c>
      <c r="G943" t="s">
        <v>14</v>
      </c>
      <c r="H943">
        <v>107809</v>
      </c>
      <c r="I943">
        <v>53</v>
      </c>
      <c r="J943" t="s">
        <v>35</v>
      </c>
      <c r="K943">
        <v>44235</v>
      </c>
      <c r="L943" t="s">
        <v>22</v>
      </c>
    </row>
    <row r="944" spans="1:12" x14ac:dyDescent="0.3">
      <c r="A944">
        <v>2018</v>
      </c>
      <c r="B944" t="s">
        <v>23</v>
      </c>
      <c r="C944">
        <v>32</v>
      </c>
      <c r="D944">
        <v>3605.4</v>
      </c>
      <c r="E944">
        <v>38</v>
      </c>
      <c r="F944" t="s">
        <v>19</v>
      </c>
      <c r="G944" t="s">
        <v>21</v>
      </c>
      <c r="H944">
        <v>1132</v>
      </c>
      <c r="I944">
        <v>59.5</v>
      </c>
      <c r="J944" t="s">
        <v>35</v>
      </c>
      <c r="K944">
        <v>203317</v>
      </c>
      <c r="L944" t="s">
        <v>22</v>
      </c>
    </row>
    <row r="945" spans="1:12" x14ac:dyDescent="0.3">
      <c r="A945">
        <v>2004</v>
      </c>
      <c r="B945" t="s">
        <v>23</v>
      </c>
      <c r="C945">
        <v>1</v>
      </c>
      <c r="D945">
        <v>3512.4</v>
      </c>
      <c r="E945">
        <v>39</v>
      </c>
      <c r="F945" t="s">
        <v>19</v>
      </c>
      <c r="G945" t="s">
        <v>21</v>
      </c>
      <c r="H945">
        <v>23960</v>
      </c>
      <c r="I945">
        <v>55</v>
      </c>
      <c r="J945" t="s">
        <v>35</v>
      </c>
      <c r="K945">
        <v>2134</v>
      </c>
      <c r="L945" t="s">
        <v>22</v>
      </c>
    </row>
    <row r="946" spans="1:12" x14ac:dyDescent="0.3">
      <c r="A946">
        <v>2005</v>
      </c>
      <c r="B946" t="s">
        <v>23</v>
      </c>
      <c r="C946">
        <v>30</v>
      </c>
      <c r="D946">
        <v>3512.4</v>
      </c>
      <c r="E946">
        <v>39</v>
      </c>
      <c r="F946" t="s">
        <v>19</v>
      </c>
      <c r="G946" t="s">
        <v>21</v>
      </c>
      <c r="H946">
        <v>126487</v>
      </c>
      <c r="I946">
        <v>53</v>
      </c>
      <c r="J946" t="s">
        <v>35</v>
      </c>
      <c r="K946">
        <v>45186</v>
      </c>
      <c r="L946" t="s">
        <v>22</v>
      </c>
    </row>
    <row r="947" spans="1:12" x14ac:dyDescent="0.3">
      <c r="A947">
        <v>2006</v>
      </c>
      <c r="B947" t="s">
        <v>23</v>
      </c>
      <c r="C947">
        <v>6</v>
      </c>
      <c r="D947">
        <v>3512.4</v>
      </c>
      <c r="E947">
        <v>39</v>
      </c>
      <c r="F947" t="s">
        <v>19</v>
      </c>
      <c r="G947" t="s">
        <v>21</v>
      </c>
      <c r="H947">
        <v>804</v>
      </c>
      <c r="I947">
        <v>53.5</v>
      </c>
      <c r="J947" t="s">
        <v>35</v>
      </c>
      <c r="K947">
        <v>238542</v>
      </c>
      <c r="L947" t="s">
        <v>22</v>
      </c>
    </row>
    <row r="948" spans="1:12" x14ac:dyDescent="0.3">
      <c r="A948">
        <v>2007</v>
      </c>
      <c r="B948" t="s">
        <v>23</v>
      </c>
      <c r="C948">
        <v>15</v>
      </c>
      <c r="D948">
        <v>3296</v>
      </c>
      <c r="E948">
        <v>40</v>
      </c>
      <c r="F948" t="s">
        <v>19</v>
      </c>
      <c r="G948" t="s">
        <v>21</v>
      </c>
      <c r="H948">
        <v>30362</v>
      </c>
      <c r="I948">
        <v>52.5</v>
      </c>
      <c r="J948" t="s">
        <v>35</v>
      </c>
      <c r="K948">
        <v>1516</v>
      </c>
      <c r="L948" t="s">
        <v>22</v>
      </c>
    </row>
    <row r="949" spans="1:12" x14ac:dyDescent="0.3">
      <c r="A949">
        <v>2008</v>
      </c>
      <c r="B949" t="s">
        <v>23</v>
      </c>
      <c r="C949">
        <v>4</v>
      </c>
      <c r="D949">
        <v>3296</v>
      </c>
      <c r="E949">
        <v>40</v>
      </c>
      <c r="F949" t="s">
        <v>19</v>
      </c>
      <c r="G949" t="s">
        <v>21</v>
      </c>
      <c r="H949">
        <v>124492</v>
      </c>
      <c r="I949">
        <v>56</v>
      </c>
      <c r="J949" t="s">
        <v>35</v>
      </c>
      <c r="K949">
        <v>57259</v>
      </c>
      <c r="L949" t="s">
        <v>22</v>
      </c>
    </row>
    <row r="950" spans="1:12" x14ac:dyDescent="0.3">
      <c r="A950">
        <v>2009</v>
      </c>
      <c r="B950" t="s">
        <v>23</v>
      </c>
      <c r="C950">
        <v>39</v>
      </c>
      <c r="D950">
        <v>3296</v>
      </c>
      <c r="E950">
        <v>40</v>
      </c>
      <c r="F950" t="s">
        <v>19</v>
      </c>
      <c r="G950" t="s">
        <v>21</v>
      </c>
      <c r="H950">
        <v>792</v>
      </c>
      <c r="I950">
        <v>57</v>
      </c>
      <c r="J950" t="s">
        <v>35</v>
      </c>
      <c r="K950">
        <v>234779</v>
      </c>
      <c r="L950" t="s">
        <v>22</v>
      </c>
    </row>
    <row r="951" spans="1:12" x14ac:dyDescent="0.3">
      <c r="A951">
        <v>2010</v>
      </c>
      <c r="B951" t="s">
        <v>23</v>
      </c>
      <c r="C951">
        <v>6</v>
      </c>
      <c r="D951">
        <v>3550</v>
      </c>
      <c r="E951">
        <v>41</v>
      </c>
      <c r="F951" t="s">
        <v>19</v>
      </c>
      <c r="G951" t="s">
        <v>21</v>
      </c>
      <c r="H951">
        <v>34153</v>
      </c>
      <c r="I951">
        <v>57.5</v>
      </c>
      <c r="J951" t="s">
        <v>35</v>
      </c>
      <c r="K951">
        <v>1493</v>
      </c>
      <c r="L951" t="s">
        <v>22</v>
      </c>
    </row>
    <row r="952" spans="1:12" x14ac:dyDescent="0.3">
      <c r="A952">
        <v>2011</v>
      </c>
      <c r="B952" t="s">
        <v>23</v>
      </c>
      <c r="C952">
        <v>12</v>
      </c>
      <c r="D952">
        <v>3550</v>
      </c>
      <c r="E952">
        <v>41</v>
      </c>
      <c r="F952" t="s">
        <v>13</v>
      </c>
      <c r="G952" t="s">
        <v>21</v>
      </c>
      <c r="H952">
        <v>2570</v>
      </c>
      <c r="I952">
        <v>57</v>
      </c>
      <c r="J952" t="s">
        <v>35</v>
      </c>
      <c r="K952">
        <v>64409</v>
      </c>
      <c r="L952" t="s">
        <v>22</v>
      </c>
    </row>
    <row r="953" spans="1:12" x14ac:dyDescent="0.3">
      <c r="A953">
        <v>2012</v>
      </c>
      <c r="B953" t="s">
        <v>23</v>
      </c>
      <c r="C953">
        <v>3</v>
      </c>
      <c r="D953">
        <v>3550</v>
      </c>
      <c r="E953">
        <v>41</v>
      </c>
      <c r="F953" t="s">
        <v>13</v>
      </c>
      <c r="G953" t="s">
        <v>21</v>
      </c>
      <c r="H953">
        <v>27170</v>
      </c>
      <c r="I953">
        <v>55</v>
      </c>
      <c r="J953" t="s">
        <v>35</v>
      </c>
      <c r="K953">
        <v>249978</v>
      </c>
      <c r="L953" t="s">
        <v>22</v>
      </c>
    </row>
    <row r="954" spans="1:12" x14ac:dyDescent="0.3">
      <c r="A954">
        <v>2013</v>
      </c>
      <c r="B954" t="s">
        <v>23</v>
      </c>
      <c r="C954">
        <v>17</v>
      </c>
      <c r="D954">
        <v>3654</v>
      </c>
      <c r="E954">
        <v>42</v>
      </c>
      <c r="F954" t="s">
        <v>13</v>
      </c>
      <c r="G954" t="s">
        <v>21</v>
      </c>
      <c r="H954">
        <v>114744</v>
      </c>
      <c r="I954">
        <v>56</v>
      </c>
      <c r="J954" t="s">
        <v>35</v>
      </c>
      <c r="K954">
        <v>637</v>
      </c>
      <c r="L954" t="s">
        <v>22</v>
      </c>
    </row>
    <row r="955" spans="1:12" x14ac:dyDescent="0.3">
      <c r="A955">
        <v>2014</v>
      </c>
      <c r="B955" t="s">
        <v>23</v>
      </c>
      <c r="C955">
        <v>3</v>
      </c>
      <c r="D955">
        <v>3654</v>
      </c>
      <c r="E955">
        <v>42</v>
      </c>
      <c r="F955" t="s">
        <v>13</v>
      </c>
      <c r="G955" t="s">
        <v>21</v>
      </c>
      <c r="H955">
        <v>1402</v>
      </c>
      <c r="I955">
        <v>54</v>
      </c>
      <c r="J955" t="s">
        <v>35</v>
      </c>
      <c r="K955">
        <v>43311</v>
      </c>
      <c r="L955" t="s">
        <v>22</v>
      </c>
    </row>
    <row r="956" spans="1:12" x14ac:dyDescent="0.3">
      <c r="A956">
        <v>2015</v>
      </c>
      <c r="B956" t="s">
        <v>23</v>
      </c>
      <c r="C956">
        <v>9</v>
      </c>
      <c r="D956">
        <v>3654</v>
      </c>
      <c r="E956">
        <v>42</v>
      </c>
      <c r="F956" t="s">
        <v>13</v>
      </c>
      <c r="G956" t="s">
        <v>14</v>
      </c>
      <c r="H956">
        <v>23456</v>
      </c>
      <c r="I956">
        <v>57</v>
      </c>
      <c r="J956" t="s">
        <v>15</v>
      </c>
      <c r="K956">
        <v>200000</v>
      </c>
      <c r="L956" t="s">
        <v>22</v>
      </c>
    </row>
    <row r="957" spans="1:12" x14ac:dyDescent="0.3">
      <c r="A957">
        <v>2016</v>
      </c>
      <c r="B957" t="s">
        <v>31</v>
      </c>
      <c r="C957">
        <v>21</v>
      </c>
      <c r="D957">
        <v>233</v>
      </c>
      <c r="E957">
        <v>43</v>
      </c>
      <c r="F957" t="s">
        <v>13</v>
      </c>
      <c r="G957" t="s">
        <v>14</v>
      </c>
      <c r="H957">
        <v>107809</v>
      </c>
      <c r="I957">
        <v>57.5</v>
      </c>
      <c r="J957" t="s">
        <v>15</v>
      </c>
      <c r="K957">
        <v>4847</v>
      </c>
      <c r="L957" t="s">
        <v>22</v>
      </c>
    </row>
    <row r="958" spans="1:12" x14ac:dyDescent="0.3">
      <c r="A958">
        <v>2017</v>
      </c>
      <c r="B958" t="s">
        <v>31</v>
      </c>
      <c r="C958">
        <v>11</v>
      </c>
      <c r="D958">
        <v>233</v>
      </c>
      <c r="E958">
        <v>43</v>
      </c>
      <c r="F958" t="s">
        <v>13</v>
      </c>
      <c r="G958" t="s">
        <v>14</v>
      </c>
      <c r="H958">
        <v>1132</v>
      </c>
      <c r="I958">
        <v>57</v>
      </c>
      <c r="J958" t="s">
        <v>15</v>
      </c>
      <c r="K958">
        <v>51239</v>
      </c>
      <c r="L958" t="s">
        <v>22</v>
      </c>
    </row>
    <row r="959" spans="1:12" x14ac:dyDescent="0.3">
      <c r="A959">
        <v>2018</v>
      </c>
      <c r="B959" t="s">
        <v>31</v>
      </c>
      <c r="C959">
        <v>4</v>
      </c>
      <c r="D959">
        <v>233</v>
      </c>
      <c r="E959">
        <v>27</v>
      </c>
      <c r="F959" t="s">
        <v>13</v>
      </c>
      <c r="G959" t="s">
        <v>14</v>
      </c>
      <c r="H959">
        <v>23960</v>
      </c>
      <c r="I959">
        <v>55</v>
      </c>
      <c r="J959" t="s">
        <v>15</v>
      </c>
      <c r="K959">
        <v>216396</v>
      </c>
      <c r="L959" t="s">
        <v>22</v>
      </c>
    </row>
    <row r="960" spans="1:12" x14ac:dyDescent="0.3">
      <c r="A960">
        <v>2015</v>
      </c>
      <c r="B960" t="s">
        <v>31</v>
      </c>
      <c r="C960">
        <v>15</v>
      </c>
      <c r="D960">
        <v>234</v>
      </c>
      <c r="E960">
        <v>27</v>
      </c>
      <c r="F960" t="s">
        <v>13</v>
      </c>
      <c r="G960" t="s">
        <v>14</v>
      </c>
      <c r="H960">
        <v>126487</v>
      </c>
      <c r="I960">
        <v>56</v>
      </c>
      <c r="J960" t="s">
        <v>15</v>
      </c>
      <c r="K960">
        <v>2644</v>
      </c>
      <c r="L960" t="s">
        <v>22</v>
      </c>
    </row>
    <row r="961" spans="1:12" x14ac:dyDescent="0.3">
      <c r="A961">
        <v>2016</v>
      </c>
      <c r="B961" t="s">
        <v>31</v>
      </c>
      <c r="C961">
        <v>8</v>
      </c>
      <c r="D961">
        <v>234</v>
      </c>
      <c r="E961">
        <v>27</v>
      </c>
      <c r="F961" t="s">
        <v>13</v>
      </c>
      <c r="G961" t="s">
        <v>14</v>
      </c>
      <c r="H961">
        <v>804</v>
      </c>
      <c r="I961">
        <v>54</v>
      </c>
      <c r="J961" t="s">
        <v>15</v>
      </c>
      <c r="K961">
        <v>44235</v>
      </c>
      <c r="L961" t="s">
        <v>22</v>
      </c>
    </row>
    <row r="962" spans="1:12" x14ac:dyDescent="0.3">
      <c r="A962">
        <v>2017</v>
      </c>
      <c r="B962" t="s">
        <v>31</v>
      </c>
      <c r="C962">
        <v>29</v>
      </c>
      <c r="D962">
        <v>234</v>
      </c>
      <c r="E962">
        <v>27</v>
      </c>
      <c r="F962" t="s">
        <v>13</v>
      </c>
      <c r="G962" t="s">
        <v>14</v>
      </c>
      <c r="H962">
        <v>30362</v>
      </c>
      <c r="I962">
        <v>58</v>
      </c>
      <c r="J962" t="s">
        <v>15</v>
      </c>
      <c r="K962">
        <v>203317</v>
      </c>
      <c r="L962" t="s">
        <v>22</v>
      </c>
    </row>
    <row r="963" spans="1:12" x14ac:dyDescent="0.3">
      <c r="A963">
        <v>2018</v>
      </c>
      <c r="B963" t="s">
        <v>31</v>
      </c>
      <c r="C963">
        <v>1</v>
      </c>
      <c r="D963">
        <v>3105</v>
      </c>
      <c r="E963">
        <v>27</v>
      </c>
      <c r="F963" t="s">
        <v>13</v>
      </c>
      <c r="G963" t="s">
        <v>14</v>
      </c>
      <c r="H963">
        <v>124492</v>
      </c>
      <c r="I963">
        <v>58</v>
      </c>
      <c r="J963" t="s">
        <v>15</v>
      </c>
      <c r="K963">
        <v>2134</v>
      </c>
      <c r="L963" t="s">
        <v>22</v>
      </c>
    </row>
    <row r="964" spans="1:12" x14ac:dyDescent="0.3">
      <c r="A964">
        <v>2013</v>
      </c>
      <c r="B964" t="s">
        <v>31</v>
      </c>
      <c r="C964">
        <v>13736</v>
      </c>
      <c r="D964">
        <v>3105</v>
      </c>
      <c r="E964">
        <v>27</v>
      </c>
      <c r="F964" t="s">
        <v>13</v>
      </c>
      <c r="G964" t="s">
        <v>14</v>
      </c>
      <c r="H964">
        <v>792</v>
      </c>
      <c r="I964">
        <v>59</v>
      </c>
      <c r="J964" t="s">
        <v>15</v>
      </c>
      <c r="K964">
        <v>45186</v>
      </c>
      <c r="L964" t="s">
        <v>22</v>
      </c>
    </row>
    <row r="965" spans="1:12" x14ac:dyDescent="0.3">
      <c r="A965">
        <v>2014</v>
      </c>
      <c r="B965" t="s">
        <v>31</v>
      </c>
      <c r="C965">
        <v>14003</v>
      </c>
      <c r="D965">
        <v>3105</v>
      </c>
      <c r="E965">
        <v>27.2</v>
      </c>
      <c r="F965" t="s">
        <v>13</v>
      </c>
      <c r="G965" t="s">
        <v>14</v>
      </c>
      <c r="H965">
        <v>34153</v>
      </c>
      <c r="I965">
        <v>50</v>
      </c>
      <c r="J965" t="s">
        <v>15</v>
      </c>
      <c r="K965">
        <v>238542</v>
      </c>
      <c r="L965" t="s">
        <v>22</v>
      </c>
    </row>
    <row r="966" spans="1:12" x14ac:dyDescent="0.3">
      <c r="A966">
        <v>2015</v>
      </c>
      <c r="B966" t="s">
        <v>31</v>
      </c>
      <c r="C966">
        <v>14179</v>
      </c>
      <c r="D966">
        <v>236</v>
      </c>
      <c r="E966">
        <v>27.2</v>
      </c>
      <c r="F966" t="s">
        <v>13</v>
      </c>
      <c r="G966" t="s">
        <v>14</v>
      </c>
      <c r="H966">
        <v>132551</v>
      </c>
      <c r="I966">
        <v>54</v>
      </c>
      <c r="J966" t="s">
        <v>15</v>
      </c>
      <c r="K966">
        <v>1516</v>
      </c>
      <c r="L966" t="s">
        <v>22</v>
      </c>
    </row>
    <row r="967" spans="1:12" x14ac:dyDescent="0.3">
      <c r="A967">
        <v>2016</v>
      </c>
      <c r="B967" t="s">
        <v>31</v>
      </c>
      <c r="C967">
        <v>14319</v>
      </c>
      <c r="D967">
        <v>2903.1</v>
      </c>
      <c r="E967">
        <v>27.2</v>
      </c>
      <c r="F967" t="s">
        <v>13</v>
      </c>
      <c r="G967" t="s">
        <v>14</v>
      </c>
      <c r="H967">
        <v>338</v>
      </c>
      <c r="I967">
        <v>53</v>
      </c>
      <c r="J967" t="s">
        <v>15</v>
      </c>
      <c r="K967">
        <v>57259</v>
      </c>
      <c r="L967" t="s">
        <v>22</v>
      </c>
    </row>
    <row r="968" spans="1:12" x14ac:dyDescent="0.3">
      <c r="A968">
        <v>2017</v>
      </c>
      <c r="B968" t="s">
        <v>31</v>
      </c>
      <c r="C968">
        <v>14464</v>
      </c>
      <c r="D968">
        <v>2903.1</v>
      </c>
      <c r="E968">
        <v>27</v>
      </c>
      <c r="F968" t="s">
        <v>13</v>
      </c>
      <c r="G968" t="s">
        <v>14</v>
      </c>
      <c r="H968">
        <v>22966</v>
      </c>
      <c r="I968">
        <v>52</v>
      </c>
      <c r="J968" t="s">
        <v>15</v>
      </c>
      <c r="K968">
        <v>234779</v>
      </c>
      <c r="L968" t="s">
        <v>22</v>
      </c>
    </row>
    <row r="969" spans="1:12" x14ac:dyDescent="0.3">
      <c r="A969">
        <v>2018</v>
      </c>
      <c r="B969" t="s">
        <v>31</v>
      </c>
      <c r="C969">
        <v>14876</v>
      </c>
      <c r="D969">
        <v>2903.1</v>
      </c>
      <c r="E969">
        <v>27</v>
      </c>
      <c r="F969" t="s">
        <v>13</v>
      </c>
      <c r="G969" t="s">
        <v>14</v>
      </c>
      <c r="H969">
        <v>131763</v>
      </c>
      <c r="I969">
        <v>51</v>
      </c>
      <c r="J969" t="s">
        <v>15</v>
      </c>
      <c r="K969">
        <v>1493</v>
      </c>
      <c r="L969" t="s">
        <v>22</v>
      </c>
    </row>
    <row r="970" spans="1:12" x14ac:dyDescent="0.3">
      <c r="A970">
        <v>2004</v>
      </c>
      <c r="B970" t="s">
        <v>31</v>
      </c>
      <c r="C970">
        <v>14976</v>
      </c>
      <c r="D970">
        <v>2996.6</v>
      </c>
      <c r="E970">
        <v>27</v>
      </c>
      <c r="F970" t="s">
        <v>13</v>
      </c>
      <c r="G970" t="s">
        <v>14</v>
      </c>
      <c r="H970">
        <v>404</v>
      </c>
      <c r="I970">
        <v>57</v>
      </c>
      <c r="J970" t="s">
        <v>15</v>
      </c>
      <c r="K970">
        <v>64409</v>
      </c>
      <c r="L970" t="s">
        <v>22</v>
      </c>
    </row>
    <row r="971" spans="1:12" x14ac:dyDescent="0.3">
      <c r="A971">
        <v>2005</v>
      </c>
      <c r="B971" t="s">
        <v>31</v>
      </c>
      <c r="C971">
        <v>15009</v>
      </c>
      <c r="D971">
        <v>2996.6</v>
      </c>
      <c r="E971">
        <v>27</v>
      </c>
      <c r="F971" t="s">
        <v>13</v>
      </c>
      <c r="G971" t="s">
        <v>14</v>
      </c>
      <c r="H971">
        <v>24184</v>
      </c>
      <c r="I971">
        <v>57</v>
      </c>
      <c r="J971" t="s">
        <v>15</v>
      </c>
      <c r="K971">
        <v>249978</v>
      </c>
      <c r="L971" t="s">
        <v>22</v>
      </c>
    </row>
    <row r="972" spans="1:12" x14ac:dyDescent="0.3">
      <c r="A972">
        <v>2006</v>
      </c>
      <c r="B972" t="s">
        <v>31</v>
      </c>
      <c r="C972">
        <v>15114</v>
      </c>
      <c r="D972">
        <v>2996.6</v>
      </c>
      <c r="E972">
        <v>27</v>
      </c>
      <c r="F972" t="s">
        <v>13</v>
      </c>
      <c r="G972" t="s">
        <v>14</v>
      </c>
      <c r="H972">
        <v>124387</v>
      </c>
      <c r="I972">
        <v>60</v>
      </c>
      <c r="J972" t="s">
        <v>15</v>
      </c>
      <c r="K972">
        <v>637</v>
      </c>
      <c r="L972" t="s">
        <v>22</v>
      </c>
    </row>
    <row r="973" spans="1:12" x14ac:dyDescent="0.3">
      <c r="A973">
        <v>2007</v>
      </c>
      <c r="B973" t="s">
        <v>31</v>
      </c>
      <c r="C973">
        <v>16224</v>
      </c>
      <c r="D973">
        <v>3522.8</v>
      </c>
      <c r="E973">
        <v>27</v>
      </c>
      <c r="F973" t="s">
        <v>13</v>
      </c>
      <c r="G973" t="s">
        <v>14</v>
      </c>
      <c r="H973">
        <v>343</v>
      </c>
      <c r="I973">
        <v>57</v>
      </c>
      <c r="J973" t="s">
        <v>15</v>
      </c>
      <c r="K973">
        <v>43311</v>
      </c>
      <c r="L973" t="s">
        <v>22</v>
      </c>
    </row>
    <row r="974" spans="1:12" x14ac:dyDescent="0.3">
      <c r="A974">
        <v>2008</v>
      </c>
      <c r="B974" t="s">
        <v>31</v>
      </c>
      <c r="C974">
        <v>17095</v>
      </c>
      <c r="D974">
        <v>3522.8</v>
      </c>
      <c r="E974">
        <v>27.2</v>
      </c>
      <c r="F974" t="s">
        <v>13</v>
      </c>
      <c r="G974" t="s">
        <v>14</v>
      </c>
      <c r="H974">
        <v>23099</v>
      </c>
      <c r="I974">
        <v>57</v>
      </c>
      <c r="J974" t="s">
        <v>15</v>
      </c>
      <c r="K974">
        <v>24848</v>
      </c>
      <c r="L974" t="s">
        <v>22</v>
      </c>
    </row>
    <row r="975" spans="1:12" x14ac:dyDescent="0.3">
      <c r="A975">
        <v>2009</v>
      </c>
      <c r="B975" t="s">
        <v>31</v>
      </c>
      <c r="C975">
        <v>17512</v>
      </c>
      <c r="D975">
        <v>3522.8</v>
      </c>
      <c r="E975">
        <v>27.2</v>
      </c>
      <c r="F975" t="s">
        <v>13</v>
      </c>
      <c r="G975" t="s">
        <v>14</v>
      </c>
      <c r="H975">
        <v>117825.84</v>
      </c>
      <c r="I975">
        <v>54</v>
      </c>
      <c r="J975" t="s">
        <v>15</v>
      </c>
      <c r="K975">
        <v>761</v>
      </c>
      <c r="L975" t="s">
        <v>22</v>
      </c>
    </row>
    <row r="976" spans="1:12" x14ac:dyDescent="0.3">
      <c r="A976">
        <v>2010</v>
      </c>
      <c r="B976" t="s">
        <v>31</v>
      </c>
      <c r="C976">
        <v>17587</v>
      </c>
      <c r="D976">
        <v>3729.8</v>
      </c>
      <c r="E976">
        <v>27.2</v>
      </c>
      <c r="F976" t="s">
        <v>13</v>
      </c>
      <c r="G976" t="s">
        <v>14</v>
      </c>
      <c r="H976">
        <v>336</v>
      </c>
      <c r="I976">
        <v>54.5</v>
      </c>
      <c r="J976" t="s">
        <v>15</v>
      </c>
      <c r="K976">
        <v>45608</v>
      </c>
      <c r="L976" t="s">
        <v>22</v>
      </c>
    </row>
    <row r="977" spans="1:12" x14ac:dyDescent="0.3">
      <c r="A977">
        <v>2011</v>
      </c>
      <c r="B977" t="s">
        <v>31</v>
      </c>
      <c r="C977">
        <v>17771</v>
      </c>
      <c r="D977">
        <v>3729.8</v>
      </c>
      <c r="E977">
        <v>27.1</v>
      </c>
      <c r="F977" t="s">
        <v>51</v>
      </c>
      <c r="G977" t="s">
        <v>14</v>
      </c>
      <c r="H977">
        <v>22594</v>
      </c>
      <c r="I977">
        <v>56.6</v>
      </c>
      <c r="J977" t="s">
        <v>15</v>
      </c>
      <c r="K977">
        <v>234581</v>
      </c>
      <c r="L977" t="s">
        <v>22</v>
      </c>
    </row>
    <row r="978" spans="1:12" x14ac:dyDescent="0.3">
      <c r="A978">
        <v>2012</v>
      </c>
      <c r="B978" t="s">
        <v>31</v>
      </c>
      <c r="C978">
        <v>17825</v>
      </c>
      <c r="D978">
        <v>3729.8</v>
      </c>
      <c r="E978">
        <v>27.1</v>
      </c>
      <c r="F978" t="s">
        <v>51</v>
      </c>
      <c r="G978" t="s">
        <v>14</v>
      </c>
      <c r="H978">
        <v>116481.07</v>
      </c>
      <c r="I978">
        <v>55.5</v>
      </c>
      <c r="J978" t="s">
        <v>15</v>
      </c>
      <c r="K978">
        <v>646</v>
      </c>
      <c r="L978" t="s">
        <v>22</v>
      </c>
    </row>
    <row r="979" spans="1:12" x14ac:dyDescent="0.3">
      <c r="A979">
        <v>2013</v>
      </c>
      <c r="B979" t="s">
        <v>31</v>
      </c>
      <c r="C979">
        <v>3147</v>
      </c>
      <c r="D979">
        <v>2746.2</v>
      </c>
      <c r="E979">
        <v>27.1</v>
      </c>
      <c r="F979" t="s">
        <v>51</v>
      </c>
      <c r="G979" t="s">
        <v>14</v>
      </c>
      <c r="H979">
        <v>316</v>
      </c>
      <c r="I979">
        <v>58.5</v>
      </c>
      <c r="J979" t="s">
        <v>15</v>
      </c>
      <c r="K979">
        <v>43562</v>
      </c>
      <c r="L979" t="s">
        <v>22</v>
      </c>
    </row>
    <row r="980" spans="1:12" x14ac:dyDescent="0.3">
      <c r="A980">
        <v>2014</v>
      </c>
      <c r="B980" t="s">
        <v>31</v>
      </c>
      <c r="C980">
        <v>2578</v>
      </c>
      <c r="D980">
        <v>2746.2</v>
      </c>
      <c r="E980">
        <v>26.8</v>
      </c>
      <c r="F980" t="s">
        <v>51</v>
      </c>
      <c r="G980" t="s">
        <v>14</v>
      </c>
      <c r="H980">
        <v>21400</v>
      </c>
      <c r="I980">
        <v>59.5</v>
      </c>
      <c r="J980" t="s">
        <v>15</v>
      </c>
      <c r="K980">
        <v>200000</v>
      </c>
      <c r="L980" t="s">
        <v>22</v>
      </c>
    </row>
    <row r="981" spans="1:12" x14ac:dyDescent="0.3">
      <c r="A981">
        <v>2015</v>
      </c>
      <c r="B981" t="s">
        <v>31</v>
      </c>
      <c r="C981">
        <v>1591</v>
      </c>
      <c r="D981">
        <v>2746.2</v>
      </c>
      <c r="E981">
        <v>26.8</v>
      </c>
      <c r="F981" t="s">
        <v>51</v>
      </c>
      <c r="G981" t="s">
        <v>14</v>
      </c>
      <c r="H981">
        <v>122102</v>
      </c>
      <c r="I981">
        <v>55</v>
      </c>
      <c r="J981" t="s">
        <v>15</v>
      </c>
      <c r="K981">
        <v>4847</v>
      </c>
      <c r="L981" t="s">
        <v>22</v>
      </c>
    </row>
    <row r="982" spans="1:12" x14ac:dyDescent="0.3">
      <c r="A982">
        <v>2016</v>
      </c>
      <c r="B982" t="s">
        <v>31</v>
      </c>
      <c r="C982">
        <v>1298</v>
      </c>
      <c r="D982">
        <v>3360</v>
      </c>
      <c r="E982">
        <v>26.8</v>
      </c>
      <c r="F982" t="s">
        <v>51</v>
      </c>
      <c r="G982" t="s">
        <v>14</v>
      </c>
      <c r="H982">
        <v>382</v>
      </c>
      <c r="I982">
        <v>53</v>
      </c>
      <c r="J982" t="s">
        <v>15</v>
      </c>
      <c r="K982">
        <v>51239</v>
      </c>
      <c r="L982" t="s">
        <v>22</v>
      </c>
    </row>
    <row r="983" spans="1:12" x14ac:dyDescent="0.3">
      <c r="A983">
        <v>2017</v>
      </c>
      <c r="B983" t="s">
        <v>31</v>
      </c>
      <c r="C983">
        <v>4</v>
      </c>
      <c r="D983">
        <v>3360</v>
      </c>
      <c r="E983">
        <v>37</v>
      </c>
      <c r="F983" t="s">
        <v>51</v>
      </c>
      <c r="G983" t="s">
        <v>14</v>
      </c>
      <c r="H983">
        <v>19578</v>
      </c>
      <c r="I983">
        <v>53.5</v>
      </c>
      <c r="J983" t="s">
        <v>15</v>
      </c>
      <c r="K983">
        <v>216396</v>
      </c>
      <c r="L983" t="s">
        <v>22</v>
      </c>
    </row>
    <row r="984" spans="1:12" x14ac:dyDescent="0.3">
      <c r="A984">
        <v>2016</v>
      </c>
      <c r="B984" t="s">
        <v>31</v>
      </c>
      <c r="C984">
        <v>1122</v>
      </c>
      <c r="D984">
        <v>3360</v>
      </c>
      <c r="E984">
        <v>37</v>
      </c>
      <c r="F984" t="s">
        <v>51</v>
      </c>
      <c r="G984" t="s">
        <v>14</v>
      </c>
      <c r="H984">
        <v>121037</v>
      </c>
      <c r="I984">
        <v>52.5</v>
      </c>
      <c r="J984" t="s">
        <v>15</v>
      </c>
      <c r="K984">
        <v>2644</v>
      </c>
      <c r="L984" t="s">
        <v>22</v>
      </c>
    </row>
    <row r="985" spans="1:12" x14ac:dyDescent="0.3">
      <c r="A985">
        <v>2017</v>
      </c>
      <c r="B985" t="s">
        <v>31</v>
      </c>
      <c r="C985">
        <v>917</v>
      </c>
      <c r="D985">
        <v>3605.4</v>
      </c>
      <c r="E985">
        <v>37</v>
      </c>
      <c r="F985" t="s">
        <v>51</v>
      </c>
      <c r="G985" t="s">
        <v>14</v>
      </c>
      <c r="H985">
        <v>231</v>
      </c>
      <c r="I985">
        <v>56</v>
      </c>
      <c r="J985" t="s">
        <v>15</v>
      </c>
      <c r="K985">
        <v>44235</v>
      </c>
      <c r="L985" t="s">
        <v>22</v>
      </c>
    </row>
    <row r="986" spans="1:12" x14ac:dyDescent="0.3">
      <c r="A986">
        <v>2018</v>
      </c>
      <c r="B986" t="s">
        <v>31</v>
      </c>
      <c r="C986">
        <v>819</v>
      </c>
      <c r="D986">
        <v>3605.4</v>
      </c>
      <c r="E986">
        <v>38</v>
      </c>
      <c r="F986" t="s">
        <v>51</v>
      </c>
      <c r="G986" t="s">
        <v>14</v>
      </c>
      <c r="H986">
        <v>18951</v>
      </c>
      <c r="I986">
        <v>57</v>
      </c>
      <c r="J986" t="s">
        <v>15</v>
      </c>
      <c r="K986">
        <v>203317</v>
      </c>
      <c r="L986" t="s">
        <v>22</v>
      </c>
    </row>
    <row r="987" spans="1:12" x14ac:dyDescent="0.3">
      <c r="A987">
        <v>2013</v>
      </c>
      <c r="B987" t="s">
        <v>31</v>
      </c>
      <c r="C987">
        <v>619</v>
      </c>
      <c r="D987">
        <v>3605.4</v>
      </c>
      <c r="E987">
        <v>38</v>
      </c>
      <c r="F987" t="s">
        <v>51</v>
      </c>
      <c r="G987" t="s">
        <v>14</v>
      </c>
      <c r="H987">
        <v>110579</v>
      </c>
      <c r="I987">
        <v>57.5</v>
      </c>
      <c r="J987" t="s">
        <v>15</v>
      </c>
      <c r="K987">
        <v>2134</v>
      </c>
      <c r="L987" t="s">
        <v>22</v>
      </c>
    </row>
    <row r="988" spans="1:12" x14ac:dyDescent="0.3">
      <c r="A988">
        <v>2014</v>
      </c>
      <c r="B988" t="s">
        <v>31</v>
      </c>
      <c r="C988">
        <v>391</v>
      </c>
      <c r="D988">
        <v>3512.4</v>
      </c>
      <c r="E988">
        <v>38</v>
      </c>
      <c r="F988" t="s">
        <v>51</v>
      </c>
      <c r="G988" t="s">
        <v>14</v>
      </c>
      <c r="H988">
        <v>221</v>
      </c>
      <c r="I988">
        <v>57</v>
      </c>
      <c r="J988" t="s">
        <v>15</v>
      </c>
      <c r="K988">
        <v>45186</v>
      </c>
      <c r="L988" t="s">
        <v>22</v>
      </c>
    </row>
    <row r="989" spans="1:12" x14ac:dyDescent="0.3">
      <c r="A989">
        <v>2015</v>
      </c>
      <c r="B989" t="s">
        <v>31</v>
      </c>
      <c r="C989">
        <v>211</v>
      </c>
      <c r="D989">
        <v>3512.4</v>
      </c>
      <c r="E989">
        <v>39</v>
      </c>
      <c r="F989" t="s">
        <v>51</v>
      </c>
      <c r="G989" t="s">
        <v>14</v>
      </c>
      <c r="H989">
        <v>15362</v>
      </c>
      <c r="I989">
        <v>55</v>
      </c>
      <c r="J989" t="s">
        <v>15</v>
      </c>
      <c r="K989">
        <v>238542</v>
      </c>
      <c r="L989" t="s">
        <v>22</v>
      </c>
    </row>
    <row r="990" spans="1:12" x14ac:dyDescent="0.3">
      <c r="A990">
        <v>2016</v>
      </c>
      <c r="B990" t="s">
        <v>53</v>
      </c>
      <c r="C990">
        <v>153</v>
      </c>
      <c r="D990">
        <v>3512.4</v>
      </c>
      <c r="E990">
        <v>39</v>
      </c>
      <c r="F990" t="s">
        <v>51</v>
      </c>
      <c r="G990" t="s">
        <v>14</v>
      </c>
      <c r="H990">
        <v>120373</v>
      </c>
      <c r="I990">
        <v>56</v>
      </c>
      <c r="J990" t="s">
        <v>15</v>
      </c>
      <c r="K990">
        <v>1516</v>
      </c>
      <c r="L990" t="s">
        <v>22</v>
      </c>
    </row>
    <row r="991" spans="1:12" x14ac:dyDescent="0.3">
      <c r="A991">
        <v>2017</v>
      </c>
      <c r="B991" t="s">
        <v>53</v>
      </c>
      <c r="C991">
        <v>111</v>
      </c>
      <c r="D991">
        <v>3296</v>
      </c>
      <c r="E991">
        <v>39</v>
      </c>
      <c r="F991" t="s">
        <v>51</v>
      </c>
      <c r="G991" t="s">
        <v>14</v>
      </c>
      <c r="H991">
        <v>291</v>
      </c>
      <c r="I991">
        <v>54</v>
      </c>
      <c r="J991" t="s">
        <v>15</v>
      </c>
      <c r="K991">
        <v>57259</v>
      </c>
      <c r="L991" t="s">
        <v>22</v>
      </c>
    </row>
    <row r="992" spans="1:12" x14ac:dyDescent="0.3">
      <c r="A992">
        <v>2018</v>
      </c>
      <c r="B992" t="s">
        <v>53</v>
      </c>
      <c r="C992">
        <v>76</v>
      </c>
      <c r="D992">
        <v>3296</v>
      </c>
      <c r="E992">
        <v>40</v>
      </c>
      <c r="F992" t="s">
        <v>51</v>
      </c>
      <c r="G992" t="s">
        <v>14</v>
      </c>
      <c r="H992">
        <v>17231</v>
      </c>
      <c r="I992">
        <v>58</v>
      </c>
      <c r="J992" t="s">
        <v>15</v>
      </c>
      <c r="K992">
        <v>234779</v>
      </c>
      <c r="L992" t="s">
        <v>22</v>
      </c>
    </row>
    <row r="993" spans="1:12" x14ac:dyDescent="0.3">
      <c r="A993">
        <v>2004</v>
      </c>
      <c r="B993" t="s">
        <v>53</v>
      </c>
      <c r="C993">
        <v>53</v>
      </c>
      <c r="D993">
        <v>3296</v>
      </c>
      <c r="E993">
        <v>40</v>
      </c>
      <c r="F993" t="s">
        <v>51</v>
      </c>
      <c r="G993" t="s">
        <v>14</v>
      </c>
      <c r="H993">
        <v>119359</v>
      </c>
      <c r="I993">
        <v>58</v>
      </c>
      <c r="J993" t="s">
        <v>15</v>
      </c>
      <c r="K993">
        <v>1493</v>
      </c>
      <c r="L993" t="s">
        <v>22</v>
      </c>
    </row>
    <row r="994" spans="1:12" x14ac:dyDescent="0.3">
      <c r="A994">
        <v>2005</v>
      </c>
      <c r="B994" t="s">
        <v>53</v>
      </c>
      <c r="C994">
        <v>2688</v>
      </c>
      <c r="D994">
        <v>3550</v>
      </c>
      <c r="E994">
        <v>40</v>
      </c>
      <c r="F994" t="s">
        <v>51</v>
      </c>
      <c r="G994" t="s">
        <v>14</v>
      </c>
      <c r="H994">
        <v>283</v>
      </c>
      <c r="I994">
        <v>59</v>
      </c>
      <c r="J994" t="s">
        <v>15</v>
      </c>
      <c r="K994">
        <v>64409</v>
      </c>
      <c r="L994" t="s">
        <v>22</v>
      </c>
    </row>
    <row r="995" spans="1:12" x14ac:dyDescent="0.3">
      <c r="A995">
        <v>2006</v>
      </c>
      <c r="B995" t="s">
        <v>53</v>
      </c>
      <c r="C995">
        <v>2311</v>
      </c>
      <c r="D995">
        <v>3550</v>
      </c>
      <c r="E995">
        <v>41</v>
      </c>
      <c r="F995" t="s">
        <v>51</v>
      </c>
      <c r="G995" t="s">
        <v>14</v>
      </c>
      <c r="H995">
        <v>17690</v>
      </c>
      <c r="I995">
        <v>50</v>
      </c>
      <c r="J995" t="s">
        <v>15</v>
      </c>
      <c r="K995">
        <v>249978</v>
      </c>
      <c r="L995" t="s">
        <v>22</v>
      </c>
    </row>
    <row r="996" spans="1:12" x14ac:dyDescent="0.3">
      <c r="A996">
        <v>2007</v>
      </c>
      <c r="B996" t="s">
        <v>53</v>
      </c>
      <c r="C996">
        <v>2188</v>
      </c>
      <c r="D996">
        <v>3550</v>
      </c>
      <c r="E996">
        <v>41</v>
      </c>
      <c r="F996" t="s">
        <v>51</v>
      </c>
      <c r="G996" t="s">
        <v>14</v>
      </c>
      <c r="H996">
        <v>7157</v>
      </c>
      <c r="I996">
        <v>54</v>
      </c>
      <c r="J996" t="s">
        <v>15</v>
      </c>
      <c r="K996">
        <v>637</v>
      </c>
      <c r="L996" t="s">
        <v>22</v>
      </c>
    </row>
    <row r="997" spans="1:12" x14ac:dyDescent="0.3">
      <c r="A997">
        <v>2008</v>
      </c>
      <c r="B997" t="s">
        <v>53</v>
      </c>
      <c r="C997">
        <v>1998</v>
      </c>
      <c r="D997">
        <v>3654</v>
      </c>
      <c r="E997">
        <v>41</v>
      </c>
      <c r="F997" t="s">
        <v>51</v>
      </c>
      <c r="G997" t="s">
        <v>14</v>
      </c>
      <c r="H997">
        <v>8700</v>
      </c>
      <c r="I997">
        <v>53</v>
      </c>
      <c r="J997" t="s">
        <v>15</v>
      </c>
      <c r="K997">
        <v>43311</v>
      </c>
      <c r="L997" t="s">
        <v>22</v>
      </c>
    </row>
    <row r="998" spans="1:12" x14ac:dyDescent="0.3">
      <c r="A998">
        <v>2009</v>
      </c>
      <c r="B998" t="s">
        <v>53</v>
      </c>
      <c r="C998">
        <v>2006</v>
      </c>
      <c r="D998">
        <v>3654</v>
      </c>
      <c r="E998">
        <v>42</v>
      </c>
      <c r="F998" t="s">
        <v>51</v>
      </c>
      <c r="G998" t="s">
        <v>14</v>
      </c>
      <c r="H998">
        <v>41266</v>
      </c>
      <c r="I998">
        <v>52</v>
      </c>
      <c r="J998" t="s">
        <v>15</v>
      </c>
      <c r="K998">
        <v>24848</v>
      </c>
      <c r="L998" t="s">
        <v>22</v>
      </c>
    </row>
    <row r="999" spans="1:12" x14ac:dyDescent="0.3">
      <c r="A999">
        <v>2010</v>
      </c>
      <c r="B999" t="s">
        <v>53</v>
      </c>
      <c r="C999">
        <v>2034</v>
      </c>
      <c r="D999">
        <v>3654</v>
      </c>
      <c r="E999">
        <v>42</v>
      </c>
      <c r="F999" t="s">
        <v>51</v>
      </c>
      <c r="G999" t="s">
        <v>14</v>
      </c>
      <c r="H999">
        <v>8838</v>
      </c>
      <c r="I999">
        <v>51</v>
      </c>
      <c r="J999" t="s">
        <v>15</v>
      </c>
      <c r="K999">
        <v>761</v>
      </c>
      <c r="L999" t="s">
        <v>22</v>
      </c>
    </row>
    <row r="1000" spans="1:12" x14ac:dyDescent="0.3">
      <c r="A1000">
        <v>2011</v>
      </c>
      <c r="B1000" t="s">
        <v>53</v>
      </c>
      <c r="C1000">
        <v>2035</v>
      </c>
      <c r="D1000">
        <v>233</v>
      </c>
      <c r="E1000">
        <v>42</v>
      </c>
      <c r="F1000" t="s">
        <v>51</v>
      </c>
      <c r="G1000" t="s">
        <v>21</v>
      </c>
      <c r="H1000">
        <v>8954</v>
      </c>
      <c r="I1000">
        <v>57</v>
      </c>
      <c r="J1000" t="s">
        <v>15</v>
      </c>
      <c r="K1000">
        <v>45608</v>
      </c>
      <c r="L1000" t="s">
        <v>22</v>
      </c>
    </row>
    <row r="1001" spans="1:12" x14ac:dyDescent="0.3">
      <c r="A1001">
        <v>2012</v>
      </c>
      <c r="B1001" t="s">
        <v>53</v>
      </c>
      <c r="C1001">
        <v>2074</v>
      </c>
      <c r="D1001">
        <v>233</v>
      </c>
      <c r="E1001">
        <v>43</v>
      </c>
      <c r="F1001" t="s">
        <v>51</v>
      </c>
      <c r="G1001" t="s">
        <v>21</v>
      </c>
      <c r="H1001">
        <v>42915</v>
      </c>
      <c r="I1001">
        <v>57</v>
      </c>
      <c r="J1001" t="s">
        <v>15</v>
      </c>
      <c r="K1001">
        <v>234581</v>
      </c>
      <c r="L1001" t="s">
        <v>22</v>
      </c>
    </row>
    <row r="1002" spans="1:12" x14ac:dyDescent="0.3">
      <c r="A1002">
        <v>2013</v>
      </c>
      <c r="B1002" t="s">
        <v>53</v>
      </c>
      <c r="C1002">
        <v>2127</v>
      </c>
      <c r="D1002">
        <v>233</v>
      </c>
      <c r="E1002">
        <v>27</v>
      </c>
      <c r="F1002" t="s">
        <v>24</v>
      </c>
      <c r="G1002" t="s">
        <v>21</v>
      </c>
      <c r="H1002">
        <v>9230</v>
      </c>
      <c r="I1002">
        <v>60</v>
      </c>
      <c r="J1002" t="s">
        <v>15</v>
      </c>
      <c r="K1002">
        <v>646</v>
      </c>
      <c r="L1002" t="s">
        <v>22</v>
      </c>
    </row>
    <row r="1003" spans="1:12" x14ac:dyDescent="0.3">
      <c r="A1003">
        <v>2014</v>
      </c>
      <c r="B1003" t="s">
        <v>53</v>
      </c>
      <c r="C1003">
        <v>2090</v>
      </c>
      <c r="D1003">
        <v>234</v>
      </c>
      <c r="E1003">
        <v>27</v>
      </c>
      <c r="F1003" t="s">
        <v>24</v>
      </c>
      <c r="G1003" t="s">
        <v>21</v>
      </c>
      <c r="H1003">
        <v>44313</v>
      </c>
      <c r="I1003">
        <v>57</v>
      </c>
      <c r="J1003" t="s">
        <v>15</v>
      </c>
      <c r="K1003">
        <v>43562</v>
      </c>
      <c r="L1003" t="s">
        <v>22</v>
      </c>
    </row>
    <row r="1004" spans="1:12" x14ac:dyDescent="0.3">
      <c r="A1004">
        <v>2015</v>
      </c>
      <c r="B1004" t="s">
        <v>53</v>
      </c>
      <c r="C1004">
        <v>2059</v>
      </c>
      <c r="D1004">
        <v>234</v>
      </c>
      <c r="E1004">
        <v>27</v>
      </c>
      <c r="F1004" t="s">
        <v>24</v>
      </c>
      <c r="G1004" t="s">
        <v>21</v>
      </c>
      <c r="H1004">
        <v>45820</v>
      </c>
      <c r="I1004">
        <v>57</v>
      </c>
      <c r="J1004" t="s">
        <v>15</v>
      </c>
      <c r="K1004">
        <v>200000</v>
      </c>
      <c r="L1004" t="s">
        <v>22</v>
      </c>
    </row>
    <row r="1005" spans="1:12" x14ac:dyDescent="0.3">
      <c r="A1005">
        <v>2016</v>
      </c>
      <c r="B1005" t="s">
        <v>53</v>
      </c>
      <c r="C1005">
        <v>2050</v>
      </c>
      <c r="D1005">
        <v>234</v>
      </c>
      <c r="E1005">
        <v>27</v>
      </c>
      <c r="F1005" t="s">
        <v>24</v>
      </c>
      <c r="G1005" t="s">
        <v>21</v>
      </c>
      <c r="H1005">
        <v>49084</v>
      </c>
      <c r="I1005">
        <v>54</v>
      </c>
      <c r="J1005" t="s">
        <v>15</v>
      </c>
      <c r="K1005">
        <v>4847</v>
      </c>
      <c r="L1005" t="s">
        <v>22</v>
      </c>
    </row>
    <row r="1006" spans="1:12" x14ac:dyDescent="0.3">
      <c r="A1006">
        <v>2017</v>
      </c>
      <c r="B1006" t="s">
        <v>53</v>
      </c>
      <c r="C1006">
        <v>1865</v>
      </c>
      <c r="D1006">
        <v>3105</v>
      </c>
      <c r="E1006">
        <v>27</v>
      </c>
      <c r="F1006" t="s">
        <v>24</v>
      </c>
      <c r="G1006" t="s">
        <v>21</v>
      </c>
      <c r="H1006">
        <v>86311</v>
      </c>
      <c r="I1006">
        <v>54.5</v>
      </c>
      <c r="J1006" t="s">
        <v>15</v>
      </c>
      <c r="K1006">
        <v>51239</v>
      </c>
      <c r="L1006" t="s">
        <v>22</v>
      </c>
    </row>
    <row r="1007" spans="1:12" x14ac:dyDescent="0.3">
      <c r="A1007">
        <v>2016</v>
      </c>
      <c r="B1007" t="s">
        <v>53</v>
      </c>
      <c r="C1007">
        <v>1841</v>
      </c>
      <c r="D1007">
        <v>3105</v>
      </c>
      <c r="E1007">
        <v>27</v>
      </c>
      <c r="F1007" t="s">
        <v>24</v>
      </c>
      <c r="G1007" t="s">
        <v>21</v>
      </c>
      <c r="H1007">
        <v>57642</v>
      </c>
      <c r="I1007">
        <v>56.6</v>
      </c>
      <c r="J1007" t="s">
        <v>15</v>
      </c>
      <c r="K1007">
        <v>216396</v>
      </c>
      <c r="L1007" t="s">
        <v>22</v>
      </c>
    </row>
    <row r="1008" spans="1:12" x14ac:dyDescent="0.3">
      <c r="A1008">
        <v>2017</v>
      </c>
      <c r="B1008" t="s">
        <v>53</v>
      </c>
      <c r="C1008">
        <v>1799</v>
      </c>
      <c r="D1008">
        <v>3105</v>
      </c>
      <c r="E1008">
        <v>27.2</v>
      </c>
      <c r="F1008" t="s">
        <v>24</v>
      </c>
      <c r="G1008" t="s">
        <v>21</v>
      </c>
      <c r="H1008">
        <v>58405</v>
      </c>
      <c r="I1008">
        <v>55.5</v>
      </c>
      <c r="J1008" t="s">
        <v>15</v>
      </c>
      <c r="K1008">
        <v>2644</v>
      </c>
      <c r="L1008" t="s">
        <v>22</v>
      </c>
    </row>
    <row r="1009" spans="1:12" x14ac:dyDescent="0.3">
      <c r="A1009">
        <v>2016</v>
      </c>
      <c r="B1009" t="s">
        <v>53</v>
      </c>
      <c r="C1009">
        <v>1468</v>
      </c>
      <c r="D1009">
        <v>236</v>
      </c>
      <c r="E1009">
        <v>27.2</v>
      </c>
      <c r="F1009" t="s">
        <v>24</v>
      </c>
      <c r="G1009" t="s">
        <v>21</v>
      </c>
      <c r="H1009">
        <v>60751</v>
      </c>
      <c r="I1009">
        <v>58.5</v>
      </c>
      <c r="J1009" t="s">
        <v>15</v>
      </c>
      <c r="K1009">
        <v>44235</v>
      </c>
      <c r="L1009" t="s">
        <v>22</v>
      </c>
    </row>
    <row r="1010" spans="1:12" x14ac:dyDescent="0.3">
      <c r="A1010">
        <v>2017</v>
      </c>
      <c r="B1010" t="s">
        <v>53</v>
      </c>
      <c r="C1010">
        <v>568</v>
      </c>
      <c r="D1010">
        <v>236</v>
      </c>
      <c r="E1010">
        <v>27.2</v>
      </c>
      <c r="F1010" t="s">
        <v>24</v>
      </c>
      <c r="G1010" t="s">
        <v>21</v>
      </c>
      <c r="H1010">
        <v>109506</v>
      </c>
      <c r="I1010">
        <v>59.5</v>
      </c>
      <c r="J1010" t="s">
        <v>15</v>
      </c>
      <c r="K1010">
        <v>203317</v>
      </c>
      <c r="L1010" t="s">
        <v>22</v>
      </c>
    </row>
    <row r="1011" spans="1:12" x14ac:dyDescent="0.3">
      <c r="A1011">
        <v>2018</v>
      </c>
      <c r="B1011" t="s">
        <v>53</v>
      </c>
      <c r="C1011">
        <v>407</v>
      </c>
      <c r="D1011">
        <v>321</v>
      </c>
      <c r="E1011">
        <v>27</v>
      </c>
      <c r="F1011" t="s">
        <v>24</v>
      </c>
      <c r="G1011" t="s">
        <v>21</v>
      </c>
      <c r="H1011">
        <v>114</v>
      </c>
      <c r="I1011">
        <v>55</v>
      </c>
      <c r="J1011" t="s">
        <v>15</v>
      </c>
      <c r="K1011">
        <v>2134</v>
      </c>
      <c r="L1011" t="s">
        <v>22</v>
      </c>
    </row>
    <row r="1012" spans="1:12" x14ac:dyDescent="0.3">
      <c r="A1012">
        <v>2013</v>
      </c>
      <c r="B1012" t="s">
        <v>53</v>
      </c>
      <c r="C1012">
        <v>177</v>
      </c>
      <c r="D1012">
        <v>3654</v>
      </c>
      <c r="E1012">
        <v>27</v>
      </c>
      <c r="F1012" t="s">
        <v>24</v>
      </c>
      <c r="G1012" t="s">
        <v>21</v>
      </c>
      <c r="H1012">
        <v>3</v>
      </c>
      <c r="I1012">
        <v>53</v>
      </c>
      <c r="J1012" t="s">
        <v>15</v>
      </c>
      <c r="K1012">
        <v>45186</v>
      </c>
      <c r="L1012" t="s">
        <v>22</v>
      </c>
    </row>
    <row r="1013" spans="1:12" x14ac:dyDescent="0.3">
      <c r="A1013">
        <v>2014</v>
      </c>
      <c r="B1013" t="s">
        <v>53</v>
      </c>
      <c r="C1013">
        <v>51</v>
      </c>
      <c r="D1013">
        <v>323</v>
      </c>
      <c r="E1013">
        <v>27</v>
      </c>
      <c r="F1013" t="s">
        <v>24</v>
      </c>
      <c r="G1013" t="s">
        <v>21</v>
      </c>
      <c r="H1013">
        <v>95</v>
      </c>
      <c r="I1013">
        <v>53.5</v>
      </c>
      <c r="J1013" t="s">
        <v>15</v>
      </c>
      <c r="K1013">
        <v>238542</v>
      </c>
      <c r="L1013" t="s">
        <v>22</v>
      </c>
    </row>
    <row r="1014" spans="1:12" x14ac:dyDescent="0.3">
      <c r="A1014">
        <v>2015</v>
      </c>
      <c r="B1014" t="s">
        <v>53</v>
      </c>
      <c r="C1014">
        <v>173</v>
      </c>
      <c r="D1014">
        <v>324</v>
      </c>
      <c r="E1014">
        <v>27</v>
      </c>
      <c r="F1014" t="s">
        <v>24</v>
      </c>
      <c r="G1014" t="s">
        <v>21</v>
      </c>
      <c r="H1014">
        <v>19</v>
      </c>
      <c r="I1014">
        <v>52.5</v>
      </c>
      <c r="J1014" t="s">
        <v>15</v>
      </c>
      <c r="K1014">
        <v>1516</v>
      </c>
      <c r="L1014" t="s">
        <v>22</v>
      </c>
    </row>
    <row r="1015" spans="1:12" x14ac:dyDescent="0.3">
      <c r="A1015">
        <v>2016</v>
      </c>
      <c r="B1015" t="s">
        <v>53</v>
      </c>
      <c r="C1015">
        <v>201</v>
      </c>
      <c r="D1015">
        <v>3105</v>
      </c>
      <c r="E1015">
        <v>27</v>
      </c>
      <c r="F1015" t="s">
        <v>24</v>
      </c>
      <c r="G1015" t="s">
        <v>21</v>
      </c>
      <c r="H1015">
        <v>54</v>
      </c>
      <c r="I1015">
        <v>56</v>
      </c>
      <c r="J1015" t="s">
        <v>15</v>
      </c>
      <c r="K1015">
        <v>57259</v>
      </c>
      <c r="L1015" t="s">
        <v>22</v>
      </c>
    </row>
    <row r="1016" spans="1:12" x14ac:dyDescent="0.3">
      <c r="A1016">
        <v>2017</v>
      </c>
      <c r="B1016" t="s">
        <v>53</v>
      </c>
      <c r="C1016">
        <v>206</v>
      </c>
      <c r="D1016">
        <v>326</v>
      </c>
      <c r="E1016">
        <v>27</v>
      </c>
      <c r="F1016" t="s">
        <v>24</v>
      </c>
      <c r="G1016" t="s">
        <v>21</v>
      </c>
      <c r="H1016">
        <v>13</v>
      </c>
      <c r="I1016">
        <v>57</v>
      </c>
      <c r="J1016" t="s">
        <v>15</v>
      </c>
      <c r="K1016">
        <v>234779</v>
      </c>
      <c r="L1016" t="s">
        <v>22</v>
      </c>
    </row>
    <row r="1017" spans="1:12" x14ac:dyDescent="0.3">
      <c r="A1017">
        <v>2018</v>
      </c>
      <c r="B1017" t="s">
        <v>53</v>
      </c>
      <c r="C1017">
        <v>243</v>
      </c>
      <c r="D1017">
        <v>327</v>
      </c>
      <c r="E1017">
        <v>27.2</v>
      </c>
      <c r="F1017" t="s">
        <v>24</v>
      </c>
      <c r="G1017" t="s">
        <v>21</v>
      </c>
      <c r="H1017">
        <v>123</v>
      </c>
      <c r="I1017">
        <v>57.5</v>
      </c>
      <c r="J1017" t="s">
        <v>15</v>
      </c>
      <c r="K1017">
        <v>1493</v>
      </c>
      <c r="L1017" t="s">
        <v>22</v>
      </c>
    </row>
    <row r="1018" spans="1:12" x14ac:dyDescent="0.3">
      <c r="A1018">
        <v>2004</v>
      </c>
      <c r="B1018" t="s">
        <v>53</v>
      </c>
      <c r="C1018">
        <v>123</v>
      </c>
      <c r="D1018">
        <v>328</v>
      </c>
      <c r="E1018">
        <v>27.2</v>
      </c>
      <c r="F1018" t="s">
        <v>24</v>
      </c>
      <c r="G1018" t="s">
        <v>21</v>
      </c>
      <c r="H1018">
        <v>19</v>
      </c>
      <c r="I1018">
        <v>57</v>
      </c>
      <c r="J1018" t="s">
        <v>15</v>
      </c>
      <c r="K1018">
        <v>64409</v>
      </c>
      <c r="L1018" t="s">
        <v>22</v>
      </c>
    </row>
    <row r="1019" spans="1:12" x14ac:dyDescent="0.3">
      <c r="A1019">
        <v>2005</v>
      </c>
      <c r="B1019" t="s">
        <v>53</v>
      </c>
      <c r="C1019">
        <v>82</v>
      </c>
      <c r="D1019">
        <v>2903.1</v>
      </c>
      <c r="E1019">
        <v>27.2</v>
      </c>
      <c r="F1019" t="s">
        <v>24</v>
      </c>
      <c r="G1019" t="s">
        <v>21</v>
      </c>
      <c r="H1019">
        <v>32</v>
      </c>
      <c r="I1019">
        <v>55</v>
      </c>
      <c r="J1019" t="s">
        <v>15</v>
      </c>
      <c r="K1019">
        <v>249978</v>
      </c>
      <c r="L1019" t="s">
        <v>22</v>
      </c>
    </row>
    <row r="1020" spans="1:12" x14ac:dyDescent="0.3">
      <c r="A1020">
        <v>2006</v>
      </c>
      <c r="B1020" t="s">
        <v>53</v>
      </c>
      <c r="C1020">
        <v>74</v>
      </c>
      <c r="D1020">
        <v>2903.1</v>
      </c>
      <c r="E1020">
        <v>27.1</v>
      </c>
      <c r="F1020" t="s">
        <v>24</v>
      </c>
      <c r="G1020" t="s">
        <v>21</v>
      </c>
      <c r="H1020">
        <v>8</v>
      </c>
      <c r="I1020">
        <v>56</v>
      </c>
      <c r="J1020" t="s">
        <v>15</v>
      </c>
      <c r="K1020">
        <v>200000</v>
      </c>
      <c r="L1020" t="s">
        <v>22</v>
      </c>
    </row>
    <row r="1021" spans="1:12" x14ac:dyDescent="0.3">
      <c r="A1021">
        <v>2007</v>
      </c>
      <c r="B1021" t="s">
        <v>53</v>
      </c>
      <c r="C1021">
        <v>18</v>
      </c>
      <c r="D1021">
        <v>2903.1</v>
      </c>
      <c r="E1021">
        <v>27.1</v>
      </c>
      <c r="F1021" t="s">
        <v>24</v>
      </c>
      <c r="G1021" t="s">
        <v>21</v>
      </c>
      <c r="H1021">
        <v>50</v>
      </c>
      <c r="I1021">
        <v>54</v>
      </c>
      <c r="J1021" t="s">
        <v>15</v>
      </c>
      <c r="K1021">
        <v>4847</v>
      </c>
      <c r="L1021" t="s">
        <v>22</v>
      </c>
    </row>
    <row r="1022" spans="1:12" x14ac:dyDescent="0.3">
      <c r="A1022">
        <v>2008</v>
      </c>
      <c r="B1022" t="s">
        <v>53</v>
      </c>
      <c r="C1022">
        <v>37</v>
      </c>
      <c r="D1022">
        <v>2996.6</v>
      </c>
      <c r="E1022">
        <v>27.1</v>
      </c>
      <c r="F1022" t="s">
        <v>24</v>
      </c>
      <c r="G1022" t="s">
        <v>21</v>
      </c>
      <c r="H1022">
        <v>10</v>
      </c>
      <c r="I1022">
        <v>58</v>
      </c>
      <c r="J1022" t="s">
        <v>15</v>
      </c>
      <c r="K1022">
        <v>51239</v>
      </c>
      <c r="L1022" t="s">
        <v>22</v>
      </c>
    </row>
    <row r="1023" spans="1:12" x14ac:dyDescent="0.3">
      <c r="A1023">
        <v>2009</v>
      </c>
      <c r="B1023" t="s">
        <v>53</v>
      </c>
      <c r="C1023">
        <v>35</v>
      </c>
      <c r="D1023">
        <v>2996.6</v>
      </c>
      <c r="E1023">
        <v>26.8</v>
      </c>
      <c r="F1023" t="s">
        <v>24</v>
      </c>
      <c r="G1023" t="s">
        <v>21</v>
      </c>
      <c r="H1023">
        <v>29</v>
      </c>
      <c r="I1023">
        <v>58</v>
      </c>
      <c r="J1023" t="s">
        <v>15</v>
      </c>
      <c r="K1023">
        <v>216396</v>
      </c>
      <c r="L1023" t="s">
        <v>22</v>
      </c>
    </row>
    <row r="1024" spans="1:12" x14ac:dyDescent="0.3">
      <c r="A1024">
        <v>2010</v>
      </c>
      <c r="B1024" t="s">
        <v>53</v>
      </c>
      <c r="C1024">
        <v>5974</v>
      </c>
      <c r="D1024">
        <v>2996.6</v>
      </c>
      <c r="E1024">
        <v>26.8</v>
      </c>
      <c r="F1024" t="s">
        <v>24</v>
      </c>
      <c r="G1024" t="s">
        <v>21</v>
      </c>
      <c r="H1024">
        <v>44</v>
      </c>
      <c r="I1024">
        <v>59</v>
      </c>
      <c r="J1024" t="s">
        <v>15</v>
      </c>
      <c r="K1024">
        <v>2644</v>
      </c>
      <c r="L1024" t="s">
        <v>22</v>
      </c>
    </row>
    <row r="1025" spans="1:12" x14ac:dyDescent="0.3">
      <c r="A1025">
        <v>2011</v>
      </c>
      <c r="B1025" t="s">
        <v>53</v>
      </c>
      <c r="C1025">
        <v>6631</v>
      </c>
      <c r="D1025">
        <v>3522.8</v>
      </c>
      <c r="E1025">
        <v>26.8</v>
      </c>
      <c r="F1025" t="s">
        <v>24</v>
      </c>
      <c r="G1025" t="s">
        <v>21</v>
      </c>
      <c r="H1025">
        <v>33</v>
      </c>
      <c r="I1025">
        <v>50</v>
      </c>
      <c r="J1025" t="s">
        <v>15</v>
      </c>
      <c r="K1025">
        <v>44235</v>
      </c>
      <c r="L1025" t="s">
        <v>22</v>
      </c>
    </row>
    <row r="1026" spans="1:12" x14ac:dyDescent="0.3">
      <c r="A1026">
        <v>2012</v>
      </c>
      <c r="B1026" t="s">
        <v>53</v>
      </c>
      <c r="C1026">
        <v>6705</v>
      </c>
      <c r="D1026">
        <v>3522.8</v>
      </c>
      <c r="E1026">
        <v>37</v>
      </c>
      <c r="F1026" t="s">
        <v>24</v>
      </c>
      <c r="G1026" t="s">
        <v>21</v>
      </c>
      <c r="H1026">
        <v>14</v>
      </c>
      <c r="I1026">
        <v>54</v>
      </c>
      <c r="J1026" t="s">
        <v>15</v>
      </c>
      <c r="K1026">
        <v>203317</v>
      </c>
      <c r="L1026" t="s">
        <v>22</v>
      </c>
    </row>
    <row r="1027" spans="1:12" x14ac:dyDescent="0.3">
      <c r="A1027">
        <v>2013</v>
      </c>
      <c r="B1027" t="s">
        <v>53</v>
      </c>
      <c r="C1027">
        <v>5876</v>
      </c>
      <c r="D1027">
        <v>3522.8</v>
      </c>
      <c r="E1027">
        <v>37</v>
      </c>
      <c r="F1027" t="s">
        <v>19</v>
      </c>
      <c r="G1027" t="s">
        <v>21</v>
      </c>
      <c r="H1027">
        <v>56</v>
      </c>
      <c r="I1027">
        <v>53</v>
      </c>
      <c r="J1027" t="s">
        <v>15</v>
      </c>
      <c r="K1027">
        <v>2134</v>
      </c>
      <c r="L1027" t="s">
        <v>22</v>
      </c>
    </row>
    <row r="1028" spans="1:12" x14ac:dyDescent="0.3">
      <c r="A1028">
        <v>2014</v>
      </c>
      <c r="B1028" t="s">
        <v>53</v>
      </c>
      <c r="C1028">
        <v>326</v>
      </c>
      <c r="D1028">
        <v>3729.8</v>
      </c>
      <c r="E1028">
        <v>37</v>
      </c>
      <c r="F1028" t="s">
        <v>19</v>
      </c>
      <c r="G1028" t="s">
        <v>21</v>
      </c>
      <c r="H1028">
        <v>26</v>
      </c>
      <c r="I1028">
        <v>52</v>
      </c>
      <c r="J1028" t="s">
        <v>15</v>
      </c>
      <c r="K1028">
        <v>45186</v>
      </c>
      <c r="L1028" t="s">
        <v>22</v>
      </c>
    </row>
    <row r="1029" spans="1:12" x14ac:dyDescent="0.3">
      <c r="A1029">
        <v>2015</v>
      </c>
      <c r="B1029" t="s">
        <v>53</v>
      </c>
      <c r="C1029">
        <v>6470</v>
      </c>
      <c r="D1029">
        <v>3729.8</v>
      </c>
      <c r="E1029">
        <v>38</v>
      </c>
      <c r="F1029" t="s">
        <v>19</v>
      </c>
      <c r="G1029" t="s">
        <v>21</v>
      </c>
      <c r="H1029">
        <v>98</v>
      </c>
      <c r="I1029">
        <v>51</v>
      </c>
      <c r="J1029" t="s">
        <v>15</v>
      </c>
      <c r="K1029">
        <v>238542</v>
      </c>
      <c r="L1029" t="s">
        <v>22</v>
      </c>
    </row>
    <row r="1030" spans="1:12" x14ac:dyDescent="0.3">
      <c r="A1030">
        <v>2016</v>
      </c>
      <c r="B1030" t="s">
        <v>53</v>
      </c>
      <c r="C1030">
        <v>6709</v>
      </c>
      <c r="D1030">
        <v>3729.8</v>
      </c>
      <c r="E1030">
        <v>38</v>
      </c>
      <c r="F1030" t="s">
        <v>19</v>
      </c>
      <c r="G1030" t="s">
        <v>21</v>
      </c>
      <c r="H1030">
        <v>3</v>
      </c>
      <c r="I1030">
        <v>57</v>
      </c>
      <c r="J1030" t="s">
        <v>15</v>
      </c>
      <c r="K1030">
        <v>1516</v>
      </c>
      <c r="L1030" t="s">
        <v>22</v>
      </c>
    </row>
    <row r="1031" spans="1:12" x14ac:dyDescent="0.3">
      <c r="A1031">
        <v>2017</v>
      </c>
      <c r="B1031" t="s">
        <v>53</v>
      </c>
      <c r="C1031">
        <v>6186</v>
      </c>
      <c r="D1031">
        <v>2746.2</v>
      </c>
      <c r="E1031">
        <v>38</v>
      </c>
      <c r="F1031" t="s">
        <v>19</v>
      </c>
      <c r="G1031" t="s">
        <v>21</v>
      </c>
      <c r="H1031">
        <v>58637</v>
      </c>
      <c r="I1031">
        <v>57</v>
      </c>
      <c r="J1031" t="s">
        <v>15</v>
      </c>
      <c r="K1031">
        <v>57259</v>
      </c>
      <c r="L1031" t="s">
        <v>22</v>
      </c>
    </row>
    <row r="1032" spans="1:12" x14ac:dyDescent="0.3">
      <c r="A1032">
        <v>2017</v>
      </c>
      <c r="B1032" t="s">
        <v>53</v>
      </c>
      <c r="C1032">
        <v>6503</v>
      </c>
      <c r="D1032">
        <v>2746.2</v>
      </c>
      <c r="E1032">
        <v>39</v>
      </c>
      <c r="F1032" t="s">
        <v>19</v>
      </c>
      <c r="G1032" t="s">
        <v>21</v>
      </c>
      <c r="H1032">
        <v>59777</v>
      </c>
      <c r="I1032">
        <v>60</v>
      </c>
      <c r="J1032" t="s">
        <v>15</v>
      </c>
      <c r="K1032">
        <v>234779</v>
      </c>
      <c r="L1032" t="s">
        <v>22</v>
      </c>
    </row>
    <row r="1033" spans="1:12" x14ac:dyDescent="0.3">
      <c r="A1033">
        <v>2016</v>
      </c>
      <c r="B1033" t="s">
        <v>53</v>
      </c>
      <c r="C1033">
        <v>5220</v>
      </c>
      <c r="D1033">
        <v>2746.2</v>
      </c>
      <c r="E1033">
        <v>39</v>
      </c>
      <c r="F1033" t="s">
        <v>19</v>
      </c>
      <c r="G1033" t="s">
        <v>21</v>
      </c>
      <c r="H1033">
        <v>60528</v>
      </c>
      <c r="I1033">
        <v>57</v>
      </c>
      <c r="J1033" t="s">
        <v>15</v>
      </c>
      <c r="K1033">
        <v>1493</v>
      </c>
      <c r="L1033" t="s">
        <v>22</v>
      </c>
    </row>
    <row r="1034" spans="1:12" x14ac:dyDescent="0.3">
      <c r="A1034">
        <v>2017</v>
      </c>
      <c r="B1034" t="s">
        <v>53</v>
      </c>
      <c r="C1034">
        <v>4677</v>
      </c>
      <c r="D1034">
        <v>3360</v>
      </c>
      <c r="E1034">
        <v>39</v>
      </c>
      <c r="F1034" t="s">
        <v>19</v>
      </c>
      <c r="G1034" t="s">
        <v>21</v>
      </c>
      <c r="H1034">
        <v>61126</v>
      </c>
      <c r="I1034">
        <v>57</v>
      </c>
      <c r="J1034" t="s">
        <v>15</v>
      </c>
      <c r="K1034">
        <v>64409</v>
      </c>
      <c r="L1034" t="s">
        <v>22</v>
      </c>
    </row>
    <row r="1035" spans="1:12" x14ac:dyDescent="0.3">
      <c r="A1035">
        <v>2018</v>
      </c>
      <c r="B1035" t="s">
        <v>53</v>
      </c>
      <c r="C1035">
        <v>4803</v>
      </c>
      <c r="D1035">
        <v>3360</v>
      </c>
      <c r="E1035">
        <v>40</v>
      </c>
      <c r="F1035" t="s">
        <v>19</v>
      </c>
      <c r="G1035" t="s">
        <v>21</v>
      </c>
      <c r="H1035">
        <v>623687</v>
      </c>
      <c r="I1035">
        <v>54</v>
      </c>
      <c r="J1035" t="s">
        <v>15</v>
      </c>
      <c r="K1035">
        <v>249978</v>
      </c>
      <c r="L1035" t="s">
        <v>22</v>
      </c>
    </row>
    <row r="1036" spans="1:12" x14ac:dyDescent="0.3">
      <c r="A1036">
        <v>2013</v>
      </c>
      <c r="B1036" t="s">
        <v>53</v>
      </c>
      <c r="C1036">
        <v>3739</v>
      </c>
      <c r="D1036">
        <v>3360</v>
      </c>
      <c r="E1036">
        <v>40</v>
      </c>
      <c r="F1036" t="s">
        <v>19</v>
      </c>
      <c r="G1036" t="s">
        <v>21</v>
      </c>
      <c r="H1036">
        <v>63504</v>
      </c>
      <c r="I1036">
        <v>54.5</v>
      </c>
      <c r="J1036" t="s">
        <v>15</v>
      </c>
      <c r="K1036">
        <v>637</v>
      </c>
      <c r="L1036" t="s">
        <v>22</v>
      </c>
    </row>
    <row r="1037" spans="1:12" x14ac:dyDescent="0.3">
      <c r="A1037">
        <v>2014</v>
      </c>
      <c r="B1037" t="s">
        <v>53</v>
      </c>
      <c r="C1037">
        <v>3529</v>
      </c>
      <c r="D1037">
        <v>3605.4</v>
      </c>
      <c r="E1037">
        <v>40</v>
      </c>
      <c r="F1037" t="s">
        <v>19</v>
      </c>
      <c r="G1037" t="s">
        <v>21</v>
      </c>
      <c r="H1037">
        <v>63931</v>
      </c>
      <c r="I1037">
        <v>56.6</v>
      </c>
      <c r="J1037" t="s">
        <v>15</v>
      </c>
      <c r="K1037">
        <v>43311</v>
      </c>
      <c r="L1037" t="s">
        <v>22</v>
      </c>
    </row>
    <row r="1038" spans="1:12" x14ac:dyDescent="0.3">
      <c r="A1038">
        <v>2015</v>
      </c>
      <c r="B1038" t="s">
        <v>53</v>
      </c>
      <c r="C1038">
        <v>3649</v>
      </c>
      <c r="D1038">
        <v>3605.4</v>
      </c>
      <c r="E1038">
        <v>41</v>
      </c>
      <c r="F1038" t="s">
        <v>19</v>
      </c>
      <c r="G1038" t="s">
        <v>21</v>
      </c>
      <c r="H1038">
        <v>73730</v>
      </c>
      <c r="I1038">
        <v>55.5</v>
      </c>
      <c r="J1038" t="s">
        <v>15</v>
      </c>
      <c r="K1038">
        <v>24848</v>
      </c>
      <c r="L1038" t="s">
        <v>22</v>
      </c>
    </row>
    <row r="1039" spans="1:12" x14ac:dyDescent="0.3">
      <c r="A1039">
        <v>2016</v>
      </c>
      <c r="B1039" t="s">
        <v>53</v>
      </c>
      <c r="C1039">
        <v>1374</v>
      </c>
      <c r="D1039">
        <v>3605.4</v>
      </c>
      <c r="E1039">
        <v>41</v>
      </c>
      <c r="F1039" t="s">
        <v>19</v>
      </c>
      <c r="G1039" t="s">
        <v>21</v>
      </c>
      <c r="H1039">
        <v>118416</v>
      </c>
      <c r="I1039">
        <v>58.5</v>
      </c>
      <c r="J1039" t="s">
        <v>15</v>
      </c>
      <c r="K1039">
        <v>761</v>
      </c>
      <c r="L1039" t="s">
        <v>22</v>
      </c>
    </row>
    <row r="1040" spans="1:12" x14ac:dyDescent="0.3">
      <c r="A1040">
        <v>2017</v>
      </c>
      <c r="B1040" t="s">
        <v>53</v>
      </c>
      <c r="C1040">
        <v>1279</v>
      </c>
      <c r="D1040">
        <v>3512.4</v>
      </c>
      <c r="E1040">
        <v>41</v>
      </c>
      <c r="F1040" t="s">
        <v>19</v>
      </c>
      <c r="G1040" t="s">
        <v>21</v>
      </c>
      <c r="H1040">
        <v>130132</v>
      </c>
      <c r="I1040">
        <v>59.5</v>
      </c>
      <c r="J1040" t="s">
        <v>15</v>
      </c>
      <c r="K1040">
        <v>45608</v>
      </c>
      <c r="L1040" t="s">
        <v>22</v>
      </c>
    </row>
    <row r="1041" spans="1:12" x14ac:dyDescent="0.3">
      <c r="A1041">
        <v>2018</v>
      </c>
      <c r="B1041" t="s">
        <v>53</v>
      </c>
      <c r="C1041">
        <v>13283</v>
      </c>
      <c r="D1041">
        <v>3512.4</v>
      </c>
      <c r="E1041">
        <v>42</v>
      </c>
      <c r="F1041" t="s">
        <v>19</v>
      </c>
      <c r="G1041" t="s">
        <v>21</v>
      </c>
      <c r="H1041">
        <v>154889</v>
      </c>
      <c r="I1041">
        <v>55</v>
      </c>
      <c r="J1041" t="s">
        <v>15</v>
      </c>
      <c r="K1041">
        <v>234581</v>
      </c>
      <c r="L1041" t="s">
        <v>22</v>
      </c>
    </row>
    <row r="1042" spans="1:12" x14ac:dyDescent="0.3">
      <c r="A1042">
        <v>2004</v>
      </c>
      <c r="B1042" t="s">
        <v>53</v>
      </c>
      <c r="C1042">
        <v>52119</v>
      </c>
      <c r="D1042">
        <v>3512.4</v>
      </c>
      <c r="E1042">
        <v>42</v>
      </c>
      <c r="F1042" t="s">
        <v>19</v>
      </c>
      <c r="G1042" t="s">
        <v>21</v>
      </c>
      <c r="H1042">
        <v>171739</v>
      </c>
      <c r="I1042">
        <v>53</v>
      </c>
      <c r="J1042" t="s">
        <v>15</v>
      </c>
      <c r="K1042">
        <v>646</v>
      </c>
      <c r="L1042" t="s">
        <v>22</v>
      </c>
    </row>
    <row r="1043" spans="1:12" x14ac:dyDescent="0.3">
      <c r="A1043">
        <v>2005</v>
      </c>
      <c r="B1043" t="s">
        <v>34</v>
      </c>
      <c r="C1043">
        <v>725</v>
      </c>
      <c r="D1043">
        <v>3296</v>
      </c>
      <c r="E1043">
        <v>42</v>
      </c>
      <c r="F1043" t="s">
        <v>19</v>
      </c>
      <c r="G1043" t="s">
        <v>26</v>
      </c>
      <c r="H1043">
        <v>172475</v>
      </c>
      <c r="I1043">
        <v>53.5</v>
      </c>
      <c r="J1043" t="s">
        <v>15</v>
      </c>
      <c r="K1043">
        <v>43562</v>
      </c>
      <c r="L1043" t="s">
        <v>22</v>
      </c>
    </row>
    <row r="1044" spans="1:12" x14ac:dyDescent="0.3">
      <c r="A1044">
        <v>2006</v>
      </c>
      <c r="B1044" t="s">
        <v>34</v>
      </c>
      <c r="C1044">
        <v>12885</v>
      </c>
      <c r="D1044">
        <v>3296</v>
      </c>
      <c r="E1044">
        <v>43</v>
      </c>
      <c r="F1044" t="s">
        <v>19</v>
      </c>
      <c r="G1044" t="s">
        <v>26</v>
      </c>
      <c r="H1044">
        <v>177939</v>
      </c>
      <c r="I1044">
        <v>52.5</v>
      </c>
      <c r="J1044" t="s">
        <v>15</v>
      </c>
      <c r="K1044">
        <v>200000</v>
      </c>
      <c r="L1044" t="s">
        <v>22</v>
      </c>
    </row>
    <row r="1045" spans="1:12" x14ac:dyDescent="0.3">
      <c r="A1045">
        <v>2007</v>
      </c>
      <c r="B1045" t="s">
        <v>34</v>
      </c>
      <c r="C1045">
        <v>51179</v>
      </c>
      <c r="D1045">
        <v>3296</v>
      </c>
      <c r="E1045">
        <v>43</v>
      </c>
      <c r="F1045" t="s">
        <v>19</v>
      </c>
      <c r="G1045" t="s">
        <v>26</v>
      </c>
      <c r="H1045">
        <v>313547</v>
      </c>
      <c r="I1045">
        <v>56</v>
      </c>
      <c r="J1045" t="s">
        <v>15</v>
      </c>
      <c r="K1045">
        <v>4847</v>
      </c>
      <c r="L1045" t="s">
        <v>22</v>
      </c>
    </row>
    <row r="1046" spans="1:12" x14ac:dyDescent="0.3">
      <c r="A1046">
        <v>2008</v>
      </c>
      <c r="B1046" t="s">
        <v>34</v>
      </c>
      <c r="C1046">
        <v>468</v>
      </c>
      <c r="D1046">
        <v>3550</v>
      </c>
      <c r="E1046">
        <v>128</v>
      </c>
      <c r="F1046" t="s">
        <v>19</v>
      </c>
      <c r="G1046" t="s">
        <v>26</v>
      </c>
      <c r="H1046">
        <v>2783</v>
      </c>
      <c r="I1046">
        <v>57</v>
      </c>
      <c r="J1046" t="s">
        <v>15</v>
      </c>
      <c r="K1046">
        <v>51239</v>
      </c>
      <c r="L1046" t="s">
        <v>22</v>
      </c>
    </row>
    <row r="1047" spans="1:12" x14ac:dyDescent="0.3">
      <c r="A1047">
        <v>2009</v>
      </c>
      <c r="B1047" t="s">
        <v>34</v>
      </c>
      <c r="C1047">
        <v>11841</v>
      </c>
      <c r="D1047">
        <v>3550</v>
      </c>
      <c r="E1047">
        <v>129</v>
      </c>
      <c r="F1047" t="s">
        <v>19</v>
      </c>
      <c r="G1047" t="s">
        <v>26</v>
      </c>
      <c r="H1047">
        <v>1533</v>
      </c>
      <c r="I1047">
        <v>57.5</v>
      </c>
      <c r="J1047" t="s">
        <v>15</v>
      </c>
      <c r="K1047">
        <v>216396</v>
      </c>
      <c r="L1047" t="s">
        <v>22</v>
      </c>
    </row>
    <row r="1048" spans="1:12" x14ac:dyDescent="0.3">
      <c r="A1048">
        <v>2010</v>
      </c>
      <c r="B1048" t="s">
        <v>34</v>
      </c>
      <c r="C1048">
        <v>50975</v>
      </c>
      <c r="D1048">
        <v>3550</v>
      </c>
      <c r="E1048">
        <v>130</v>
      </c>
      <c r="F1048" t="s">
        <v>19</v>
      </c>
      <c r="G1048" t="s">
        <v>26</v>
      </c>
      <c r="H1048">
        <v>1647</v>
      </c>
      <c r="I1048">
        <v>57</v>
      </c>
      <c r="J1048" t="s">
        <v>15</v>
      </c>
      <c r="K1048">
        <v>2644</v>
      </c>
      <c r="L1048" t="s">
        <v>22</v>
      </c>
    </row>
    <row r="1049" spans="1:12" x14ac:dyDescent="0.3">
      <c r="A1049">
        <v>2011</v>
      </c>
      <c r="B1049" t="s">
        <v>34</v>
      </c>
      <c r="C1049">
        <v>206</v>
      </c>
      <c r="D1049">
        <v>3654</v>
      </c>
      <c r="E1049">
        <v>131</v>
      </c>
      <c r="F1049" t="s">
        <v>19</v>
      </c>
      <c r="G1049" t="s">
        <v>26</v>
      </c>
      <c r="H1049">
        <v>975</v>
      </c>
      <c r="I1049">
        <v>55</v>
      </c>
      <c r="J1049" t="s">
        <v>15</v>
      </c>
      <c r="K1049">
        <v>44235</v>
      </c>
      <c r="L1049" t="s">
        <v>22</v>
      </c>
    </row>
    <row r="1050" spans="1:12" x14ac:dyDescent="0.3">
      <c r="A1050">
        <v>2012</v>
      </c>
      <c r="B1050" t="s">
        <v>34</v>
      </c>
      <c r="C1050">
        <v>10922</v>
      </c>
      <c r="D1050">
        <v>3654</v>
      </c>
      <c r="E1050">
        <v>132</v>
      </c>
      <c r="F1050" t="s">
        <v>19</v>
      </c>
      <c r="G1050" t="s">
        <v>26</v>
      </c>
      <c r="H1050">
        <v>2</v>
      </c>
      <c r="I1050">
        <v>56</v>
      </c>
      <c r="J1050" t="s">
        <v>15</v>
      </c>
      <c r="K1050">
        <v>203317</v>
      </c>
      <c r="L1050" t="s">
        <v>22</v>
      </c>
    </row>
    <row r="1051" spans="1:12" x14ac:dyDescent="0.3">
      <c r="A1051">
        <v>2013</v>
      </c>
      <c r="B1051" t="s">
        <v>34</v>
      </c>
      <c r="C1051">
        <v>51390</v>
      </c>
      <c r="D1051">
        <v>3654</v>
      </c>
      <c r="E1051">
        <v>133</v>
      </c>
      <c r="F1051" t="s">
        <v>19</v>
      </c>
      <c r="G1051" t="s">
        <v>26</v>
      </c>
      <c r="H1051">
        <v>836</v>
      </c>
      <c r="I1051">
        <v>54</v>
      </c>
      <c r="J1051" t="s">
        <v>15</v>
      </c>
      <c r="K1051">
        <v>2134</v>
      </c>
      <c r="L1051" t="s">
        <v>22</v>
      </c>
    </row>
    <row r="1052" spans="1:12" x14ac:dyDescent="0.3">
      <c r="A1052">
        <v>2014</v>
      </c>
      <c r="B1052" t="s">
        <v>34</v>
      </c>
      <c r="C1052">
        <v>177</v>
      </c>
      <c r="D1052">
        <v>233</v>
      </c>
      <c r="E1052">
        <v>134</v>
      </c>
      <c r="F1052" t="s">
        <v>13</v>
      </c>
      <c r="G1052" t="s">
        <v>26</v>
      </c>
      <c r="H1052">
        <v>806</v>
      </c>
      <c r="I1052">
        <v>58</v>
      </c>
      <c r="J1052" t="s">
        <v>15</v>
      </c>
      <c r="K1052">
        <v>45186</v>
      </c>
      <c r="L1052" t="s">
        <v>22</v>
      </c>
    </row>
    <row r="1053" spans="1:12" x14ac:dyDescent="0.3">
      <c r="A1053">
        <v>2015</v>
      </c>
      <c r="B1053" t="s">
        <v>34</v>
      </c>
      <c r="C1053">
        <v>10723</v>
      </c>
      <c r="D1053">
        <v>233</v>
      </c>
      <c r="E1053">
        <v>135</v>
      </c>
      <c r="F1053" t="s">
        <v>13</v>
      </c>
      <c r="G1053" t="s">
        <v>26</v>
      </c>
      <c r="H1053">
        <v>880</v>
      </c>
      <c r="I1053">
        <v>58</v>
      </c>
      <c r="J1053" t="s">
        <v>15</v>
      </c>
      <c r="K1053">
        <v>238542</v>
      </c>
      <c r="L1053" t="s">
        <v>22</v>
      </c>
    </row>
    <row r="1054" spans="1:12" x14ac:dyDescent="0.3">
      <c r="A1054">
        <v>2016</v>
      </c>
      <c r="B1054" t="s">
        <v>34</v>
      </c>
      <c r="C1054">
        <v>51709</v>
      </c>
      <c r="D1054">
        <v>233</v>
      </c>
      <c r="E1054">
        <v>136</v>
      </c>
      <c r="F1054" t="s">
        <v>13</v>
      </c>
      <c r="G1054" t="s">
        <v>26</v>
      </c>
      <c r="H1054">
        <v>770</v>
      </c>
      <c r="I1054">
        <v>59</v>
      </c>
      <c r="J1054" t="s">
        <v>15</v>
      </c>
      <c r="K1054">
        <v>1516</v>
      </c>
      <c r="L1054" t="s">
        <v>22</v>
      </c>
    </row>
    <row r="1055" spans="1:12" x14ac:dyDescent="0.3">
      <c r="A1055">
        <v>2017</v>
      </c>
      <c r="B1055" t="s">
        <v>34</v>
      </c>
      <c r="C1055">
        <v>146</v>
      </c>
      <c r="D1055">
        <v>234</v>
      </c>
      <c r="E1055">
        <v>137</v>
      </c>
      <c r="F1055" t="s">
        <v>13</v>
      </c>
      <c r="G1055" t="s">
        <v>26</v>
      </c>
      <c r="H1055">
        <v>395</v>
      </c>
      <c r="I1055">
        <v>50</v>
      </c>
      <c r="J1055" t="s">
        <v>15</v>
      </c>
      <c r="K1055">
        <v>57259</v>
      </c>
      <c r="L1055" t="s">
        <v>22</v>
      </c>
    </row>
    <row r="1056" spans="1:12" x14ac:dyDescent="0.3">
      <c r="A1056">
        <v>2004</v>
      </c>
      <c r="B1056" t="s">
        <v>34</v>
      </c>
      <c r="C1056">
        <v>10910</v>
      </c>
      <c r="D1056">
        <v>234</v>
      </c>
      <c r="E1056">
        <v>138</v>
      </c>
      <c r="F1056" t="s">
        <v>13</v>
      </c>
      <c r="G1056" t="s">
        <v>26</v>
      </c>
      <c r="H1056">
        <v>187</v>
      </c>
      <c r="I1056">
        <v>54</v>
      </c>
      <c r="J1056" t="s">
        <v>15</v>
      </c>
      <c r="K1056">
        <v>234779</v>
      </c>
      <c r="L1056" t="s">
        <v>22</v>
      </c>
    </row>
    <row r="1057" spans="1:12" x14ac:dyDescent="0.3">
      <c r="A1057">
        <v>2004</v>
      </c>
      <c r="B1057" t="s">
        <v>34</v>
      </c>
      <c r="C1057">
        <v>51355</v>
      </c>
      <c r="D1057">
        <v>234</v>
      </c>
      <c r="E1057">
        <v>139</v>
      </c>
      <c r="F1057" t="s">
        <v>13</v>
      </c>
      <c r="G1057" t="s">
        <v>26</v>
      </c>
      <c r="H1057">
        <v>187</v>
      </c>
      <c r="I1057">
        <v>53</v>
      </c>
      <c r="J1057" t="s">
        <v>15</v>
      </c>
      <c r="K1057">
        <v>1493</v>
      </c>
      <c r="L1057" t="s">
        <v>22</v>
      </c>
    </row>
    <row r="1058" spans="1:12" x14ac:dyDescent="0.3">
      <c r="A1058">
        <v>2004</v>
      </c>
      <c r="B1058" t="s">
        <v>34</v>
      </c>
      <c r="C1058">
        <v>160</v>
      </c>
      <c r="D1058">
        <v>3105</v>
      </c>
      <c r="E1058">
        <v>140</v>
      </c>
      <c r="F1058" t="s">
        <v>13</v>
      </c>
      <c r="G1058" t="s">
        <v>26</v>
      </c>
      <c r="H1058">
        <v>121</v>
      </c>
      <c r="I1058">
        <v>52</v>
      </c>
      <c r="J1058" t="s">
        <v>15</v>
      </c>
      <c r="K1058">
        <v>64409</v>
      </c>
      <c r="L1058" t="s">
        <v>22</v>
      </c>
    </row>
    <row r="1059" spans="1:12" x14ac:dyDescent="0.3">
      <c r="A1059">
        <v>2004</v>
      </c>
      <c r="B1059" t="s">
        <v>34</v>
      </c>
      <c r="C1059">
        <v>10912</v>
      </c>
      <c r="D1059">
        <v>3105</v>
      </c>
      <c r="E1059">
        <v>141</v>
      </c>
      <c r="F1059" t="s">
        <v>13</v>
      </c>
      <c r="G1059" t="s">
        <v>26</v>
      </c>
      <c r="H1059">
        <v>103</v>
      </c>
      <c r="I1059">
        <v>51</v>
      </c>
      <c r="J1059" t="s">
        <v>15</v>
      </c>
      <c r="K1059">
        <v>249978</v>
      </c>
      <c r="L1059" t="s">
        <v>22</v>
      </c>
    </row>
    <row r="1060" spans="1:12" x14ac:dyDescent="0.3">
      <c r="A1060">
        <v>2004</v>
      </c>
      <c r="B1060" t="s">
        <v>34</v>
      </c>
      <c r="C1060">
        <v>51353</v>
      </c>
      <c r="D1060">
        <v>3105</v>
      </c>
      <c r="E1060">
        <v>142</v>
      </c>
      <c r="F1060" t="s">
        <v>13</v>
      </c>
      <c r="G1060" t="s">
        <v>26</v>
      </c>
      <c r="H1060">
        <v>71</v>
      </c>
      <c r="I1060">
        <v>57</v>
      </c>
      <c r="J1060" t="s">
        <v>15</v>
      </c>
      <c r="K1060">
        <v>637</v>
      </c>
      <c r="L1060" t="s">
        <v>22</v>
      </c>
    </row>
    <row r="1061" spans="1:12" x14ac:dyDescent="0.3">
      <c r="A1061">
        <v>2004</v>
      </c>
      <c r="B1061" t="s">
        <v>34</v>
      </c>
      <c r="C1061">
        <v>1279</v>
      </c>
      <c r="D1061">
        <v>236</v>
      </c>
      <c r="E1061">
        <v>143</v>
      </c>
      <c r="F1061" t="s">
        <v>13</v>
      </c>
      <c r="G1061" t="s">
        <v>26</v>
      </c>
      <c r="H1061">
        <v>3961</v>
      </c>
      <c r="I1061">
        <v>57</v>
      </c>
      <c r="J1061" t="s">
        <v>15</v>
      </c>
      <c r="K1061">
        <v>43311</v>
      </c>
      <c r="L1061" t="s">
        <v>22</v>
      </c>
    </row>
    <row r="1062" spans="1:12" x14ac:dyDescent="0.3">
      <c r="A1062">
        <v>2004</v>
      </c>
      <c r="B1062" t="s">
        <v>34</v>
      </c>
      <c r="C1062">
        <v>13283</v>
      </c>
      <c r="D1062">
        <v>236</v>
      </c>
      <c r="E1062">
        <v>144</v>
      </c>
      <c r="F1062" t="s">
        <v>13</v>
      </c>
      <c r="G1062" t="s">
        <v>26</v>
      </c>
      <c r="H1062">
        <v>4247</v>
      </c>
      <c r="I1062">
        <v>60</v>
      </c>
      <c r="J1062" t="s">
        <v>15</v>
      </c>
      <c r="K1062">
        <v>24848</v>
      </c>
      <c r="L1062" t="s">
        <v>22</v>
      </c>
    </row>
    <row r="1063" spans="1:12" x14ac:dyDescent="0.3">
      <c r="A1063">
        <v>2004</v>
      </c>
      <c r="B1063" t="s">
        <v>34</v>
      </c>
      <c r="C1063">
        <v>52119</v>
      </c>
      <c r="D1063">
        <v>2903.1</v>
      </c>
      <c r="E1063">
        <v>27</v>
      </c>
      <c r="F1063" t="s">
        <v>13</v>
      </c>
      <c r="G1063" t="s">
        <v>26</v>
      </c>
      <c r="H1063">
        <v>3290</v>
      </c>
      <c r="I1063">
        <v>57</v>
      </c>
      <c r="J1063" t="s">
        <v>15</v>
      </c>
      <c r="K1063">
        <v>761</v>
      </c>
      <c r="L1063" t="s">
        <v>22</v>
      </c>
    </row>
    <row r="1064" spans="1:12" x14ac:dyDescent="0.3">
      <c r="A1064">
        <v>2004</v>
      </c>
      <c r="B1064" t="s">
        <v>34</v>
      </c>
      <c r="C1064">
        <v>725</v>
      </c>
      <c r="D1064">
        <v>2903.1</v>
      </c>
      <c r="E1064">
        <v>27</v>
      </c>
      <c r="F1064" t="s">
        <v>13</v>
      </c>
      <c r="G1064" t="s">
        <v>26</v>
      </c>
      <c r="H1064">
        <v>3138</v>
      </c>
      <c r="I1064">
        <v>57</v>
      </c>
      <c r="J1064" t="s">
        <v>15</v>
      </c>
      <c r="K1064">
        <v>45608</v>
      </c>
      <c r="L1064" t="s">
        <v>22</v>
      </c>
    </row>
    <row r="1065" spans="1:12" x14ac:dyDescent="0.3">
      <c r="A1065">
        <v>2004</v>
      </c>
      <c r="B1065" t="s">
        <v>34</v>
      </c>
      <c r="C1065">
        <v>12885</v>
      </c>
      <c r="D1065">
        <v>2903.1</v>
      </c>
      <c r="E1065">
        <v>27</v>
      </c>
      <c r="F1065" t="s">
        <v>13</v>
      </c>
      <c r="G1065" t="s">
        <v>26</v>
      </c>
      <c r="H1065">
        <v>3423</v>
      </c>
      <c r="I1065">
        <v>54</v>
      </c>
      <c r="J1065" t="s">
        <v>15</v>
      </c>
      <c r="K1065">
        <v>234581</v>
      </c>
      <c r="L1065" t="s">
        <v>22</v>
      </c>
    </row>
    <row r="1066" spans="1:12" x14ac:dyDescent="0.3">
      <c r="A1066">
        <v>2004</v>
      </c>
      <c r="B1066" t="s">
        <v>34</v>
      </c>
      <c r="C1066">
        <v>51179</v>
      </c>
      <c r="D1066">
        <v>2996.6</v>
      </c>
      <c r="E1066">
        <v>27</v>
      </c>
      <c r="F1066" t="s">
        <v>13</v>
      </c>
      <c r="G1066" t="s">
        <v>26</v>
      </c>
      <c r="H1066">
        <v>3899</v>
      </c>
      <c r="I1066">
        <v>54.5</v>
      </c>
      <c r="J1066" t="s">
        <v>15</v>
      </c>
      <c r="K1066">
        <v>646</v>
      </c>
      <c r="L1066" t="s">
        <v>22</v>
      </c>
    </row>
    <row r="1067" spans="1:12" x14ac:dyDescent="0.3">
      <c r="A1067">
        <v>2004</v>
      </c>
      <c r="B1067" t="s">
        <v>34</v>
      </c>
      <c r="C1067">
        <v>468</v>
      </c>
      <c r="D1067">
        <v>2996.6</v>
      </c>
      <c r="E1067">
        <v>27</v>
      </c>
      <c r="F1067" t="s">
        <v>13</v>
      </c>
      <c r="G1067" t="s">
        <v>26</v>
      </c>
      <c r="H1067">
        <v>4015</v>
      </c>
      <c r="I1067">
        <v>56.6</v>
      </c>
      <c r="J1067" t="s">
        <v>15</v>
      </c>
      <c r="K1067">
        <v>43562</v>
      </c>
      <c r="L1067" t="s">
        <v>22</v>
      </c>
    </row>
    <row r="1068" spans="1:12" x14ac:dyDescent="0.3">
      <c r="A1068">
        <v>2004</v>
      </c>
      <c r="B1068" t="s">
        <v>34</v>
      </c>
      <c r="C1068">
        <v>11841</v>
      </c>
      <c r="D1068">
        <v>2996.6</v>
      </c>
      <c r="E1068">
        <v>27</v>
      </c>
      <c r="F1068" t="s">
        <v>13</v>
      </c>
      <c r="G1068" t="s">
        <v>26</v>
      </c>
      <c r="H1068">
        <v>4279</v>
      </c>
      <c r="I1068">
        <v>55.5</v>
      </c>
      <c r="J1068" t="s">
        <v>15</v>
      </c>
      <c r="K1068">
        <v>200000</v>
      </c>
      <c r="L1068" t="s">
        <v>22</v>
      </c>
    </row>
    <row r="1069" spans="1:12" x14ac:dyDescent="0.3">
      <c r="A1069">
        <v>2004</v>
      </c>
      <c r="B1069" t="s">
        <v>34</v>
      </c>
      <c r="C1069">
        <v>50975</v>
      </c>
      <c r="D1069">
        <v>3522.8</v>
      </c>
      <c r="E1069">
        <v>27.2</v>
      </c>
      <c r="F1069" t="s">
        <v>13</v>
      </c>
      <c r="G1069" t="s">
        <v>26</v>
      </c>
      <c r="H1069">
        <v>4167</v>
      </c>
      <c r="I1069">
        <v>58.5</v>
      </c>
      <c r="J1069" t="s">
        <v>15</v>
      </c>
      <c r="K1069">
        <v>4847</v>
      </c>
      <c r="L1069" t="s">
        <v>22</v>
      </c>
    </row>
    <row r="1070" spans="1:12" x14ac:dyDescent="0.3">
      <c r="A1070">
        <v>2004</v>
      </c>
      <c r="B1070" t="s">
        <v>34</v>
      </c>
      <c r="C1070">
        <v>206</v>
      </c>
      <c r="D1070">
        <v>3522.8</v>
      </c>
      <c r="E1070">
        <v>27.2</v>
      </c>
      <c r="F1070" t="s">
        <v>13</v>
      </c>
      <c r="G1070" t="s">
        <v>26</v>
      </c>
      <c r="H1070">
        <v>4479</v>
      </c>
      <c r="I1070">
        <v>59.5</v>
      </c>
      <c r="J1070" t="s">
        <v>15</v>
      </c>
      <c r="K1070">
        <v>51239</v>
      </c>
      <c r="L1070" t="s">
        <v>22</v>
      </c>
    </row>
    <row r="1071" spans="1:12" x14ac:dyDescent="0.3">
      <c r="A1071">
        <v>2004</v>
      </c>
      <c r="B1071" t="s">
        <v>34</v>
      </c>
      <c r="C1071">
        <v>10922</v>
      </c>
      <c r="D1071">
        <v>3522.8</v>
      </c>
      <c r="E1071">
        <v>27.2</v>
      </c>
      <c r="F1071" t="s">
        <v>13</v>
      </c>
      <c r="G1071" t="s">
        <v>26</v>
      </c>
      <c r="H1071">
        <v>3699</v>
      </c>
      <c r="I1071">
        <v>55</v>
      </c>
      <c r="J1071" t="s">
        <v>15</v>
      </c>
      <c r="K1071">
        <v>216396</v>
      </c>
      <c r="L1071" t="s">
        <v>22</v>
      </c>
    </row>
    <row r="1072" spans="1:12" x14ac:dyDescent="0.3">
      <c r="A1072">
        <v>2004</v>
      </c>
      <c r="B1072" t="s">
        <v>34</v>
      </c>
      <c r="C1072">
        <v>51390</v>
      </c>
      <c r="D1072">
        <v>2903.1</v>
      </c>
      <c r="E1072">
        <v>27</v>
      </c>
      <c r="F1072" t="s">
        <v>13</v>
      </c>
      <c r="G1072" t="s">
        <v>26</v>
      </c>
      <c r="H1072">
        <v>4904</v>
      </c>
      <c r="I1072">
        <v>53</v>
      </c>
      <c r="J1072" t="s">
        <v>15</v>
      </c>
      <c r="K1072">
        <v>2644</v>
      </c>
      <c r="L1072" t="s">
        <v>22</v>
      </c>
    </row>
    <row r="1073" spans="1:12" x14ac:dyDescent="0.3">
      <c r="A1073">
        <v>2004</v>
      </c>
      <c r="B1073" t="s">
        <v>34</v>
      </c>
      <c r="C1073">
        <v>177</v>
      </c>
      <c r="D1073">
        <v>2903.1</v>
      </c>
      <c r="E1073">
        <v>27</v>
      </c>
      <c r="F1073" t="s">
        <v>13</v>
      </c>
      <c r="G1073" t="s">
        <v>26</v>
      </c>
      <c r="H1073">
        <v>2821</v>
      </c>
      <c r="I1073">
        <v>53.5</v>
      </c>
      <c r="J1073" t="s">
        <v>15</v>
      </c>
      <c r="K1073">
        <v>44235</v>
      </c>
      <c r="L1073" t="s">
        <v>22</v>
      </c>
    </row>
    <row r="1074" spans="1:12" x14ac:dyDescent="0.3">
      <c r="A1074">
        <v>2004</v>
      </c>
      <c r="B1074" t="s">
        <v>34</v>
      </c>
      <c r="C1074">
        <v>10723</v>
      </c>
      <c r="D1074">
        <v>2903.1</v>
      </c>
      <c r="E1074">
        <v>27</v>
      </c>
      <c r="F1074" t="s">
        <v>13</v>
      </c>
      <c r="G1074" t="s">
        <v>26</v>
      </c>
      <c r="H1074">
        <v>3472</v>
      </c>
      <c r="I1074">
        <v>52.5</v>
      </c>
      <c r="J1074" t="s">
        <v>15</v>
      </c>
      <c r="K1074">
        <v>203317</v>
      </c>
      <c r="L1074" t="s">
        <v>22</v>
      </c>
    </row>
    <row r="1075" spans="1:12" x14ac:dyDescent="0.3">
      <c r="A1075">
        <v>2004</v>
      </c>
      <c r="B1075" t="s">
        <v>34</v>
      </c>
      <c r="C1075">
        <v>51709</v>
      </c>
      <c r="D1075">
        <v>2996.6</v>
      </c>
      <c r="E1075">
        <v>27</v>
      </c>
      <c r="F1075" t="s">
        <v>13</v>
      </c>
      <c r="G1075" t="s">
        <v>26</v>
      </c>
      <c r="H1075">
        <v>3647</v>
      </c>
      <c r="I1075">
        <v>56</v>
      </c>
      <c r="J1075" t="s">
        <v>15</v>
      </c>
      <c r="K1075">
        <v>2134</v>
      </c>
      <c r="L1075" t="s">
        <v>22</v>
      </c>
    </row>
    <row r="1076" spans="1:12" x14ac:dyDescent="0.3">
      <c r="A1076">
        <v>2004</v>
      </c>
      <c r="B1076" t="s">
        <v>34</v>
      </c>
      <c r="C1076">
        <v>146</v>
      </c>
      <c r="D1076">
        <v>2996.6</v>
      </c>
      <c r="E1076">
        <v>27</v>
      </c>
      <c r="F1076" t="s">
        <v>13</v>
      </c>
      <c r="G1076" t="s">
        <v>26</v>
      </c>
      <c r="H1076">
        <v>393</v>
      </c>
      <c r="I1076">
        <v>57</v>
      </c>
      <c r="J1076" t="s">
        <v>15</v>
      </c>
      <c r="K1076">
        <v>45186</v>
      </c>
      <c r="L1076" t="s">
        <v>22</v>
      </c>
    </row>
    <row r="1077" spans="1:12" x14ac:dyDescent="0.3">
      <c r="A1077">
        <v>2004</v>
      </c>
      <c r="B1077" t="s">
        <v>34</v>
      </c>
      <c r="C1077">
        <v>10910</v>
      </c>
      <c r="D1077">
        <v>2996.6</v>
      </c>
      <c r="E1077">
        <v>27</v>
      </c>
      <c r="F1077" t="s">
        <v>36</v>
      </c>
      <c r="G1077" t="s">
        <v>26</v>
      </c>
      <c r="H1077">
        <v>167</v>
      </c>
      <c r="I1077">
        <v>57.5</v>
      </c>
      <c r="J1077" t="s">
        <v>15</v>
      </c>
      <c r="K1077">
        <v>238542</v>
      </c>
      <c r="L1077" t="s">
        <v>22</v>
      </c>
    </row>
    <row r="1078" spans="1:12" x14ac:dyDescent="0.3">
      <c r="A1078">
        <v>2004</v>
      </c>
      <c r="B1078" t="s">
        <v>34</v>
      </c>
      <c r="C1078">
        <v>51355</v>
      </c>
      <c r="D1078">
        <v>3522.8</v>
      </c>
      <c r="E1078">
        <v>27.2</v>
      </c>
      <c r="F1078" t="s">
        <v>36</v>
      </c>
      <c r="G1078" t="s">
        <v>26</v>
      </c>
      <c r="H1078">
        <v>71</v>
      </c>
      <c r="I1078">
        <v>57</v>
      </c>
      <c r="J1078" t="s">
        <v>15</v>
      </c>
      <c r="K1078">
        <v>1516</v>
      </c>
      <c r="L1078" t="s">
        <v>22</v>
      </c>
    </row>
    <row r="1079" spans="1:12" x14ac:dyDescent="0.3">
      <c r="A1079">
        <v>2004</v>
      </c>
      <c r="B1079" t="s">
        <v>34</v>
      </c>
      <c r="C1079">
        <v>160</v>
      </c>
      <c r="D1079">
        <v>3522.8</v>
      </c>
      <c r="E1079">
        <v>27.2</v>
      </c>
      <c r="F1079" t="s">
        <v>36</v>
      </c>
      <c r="G1079" t="s">
        <v>26</v>
      </c>
      <c r="H1079">
        <v>52</v>
      </c>
      <c r="I1079">
        <v>55</v>
      </c>
      <c r="J1079" t="s">
        <v>15</v>
      </c>
      <c r="K1079">
        <v>200000</v>
      </c>
      <c r="L1079" t="s">
        <v>22</v>
      </c>
    </row>
    <row r="1080" spans="1:12" x14ac:dyDescent="0.3">
      <c r="A1080">
        <v>2004</v>
      </c>
      <c r="B1080" t="s">
        <v>34</v>
      </c>
      <c r="C1080">
        <v>10912</v>
      </c>
      <c r="D1080">
        <v>3522.8</v>
      </c>
      <c r="E1080">
        <v>27.2</v>
      </c>
      <c r="F1080" t="s">
        <v>36</v>
      </c>
      <c r="G1080" t="s">
        <v>26</v>
      </c>
      <c r="H1080">
        <v>12</v>
      </c>
      <c r="I1080">
        <v>56</v>
      </c>
      <c r="J1080" t="s">
        <v>15</v>
      </c>
      <c r="K1080">
        <v>4847</v>
      </c>
      <c r="L1080" t="s">
        <v>22</v>
      </c>
    </row>
    <row r="1081" spans="1:12" x14ac:dyDescent="0.3">
      <c r="A1081">
        <v>2004</v>
      </c>
      <c r="B1081" t="s">
        <v>34</v>
      </c>
      <c r="C1081">
        <v>51353</v>
      </c>
      <c r="D1081">
        <v>3729.8</v>
      </c>
      <c r="E1081">
        <v>27.1</v>
      </c>
      <c r="F1081" t="s">
        <v>36</v>
      </c>
      <c r="G1081" t="s">
        <v>26</v>
      </c>
      <c r="H1081">
        <v>51</v>
      </c>
      <c r="I1081">
        <v>54</v>
      </c>
      <c r="J1081" t="s">
        <v>15</v>
      </c>
      <c r="K1081">
        <v>51239</v>
      </c>
      <c r="L1081" t="s">
        <v>22</v>
      </c>
    </row>
    <row r="1082" spans="1:12" x14ac:dyDescent="0.3">
      <c r="A1082">
        <v>2004</v>
      </c>
      <c r="B1082" t="s">
        <v>34</v>
      </c>
      <c r="C1082">
        <v>1279</v>
      </c>
      <c r="D1082">
        <v>3729.8</v>
      </c>
      <c r="E1082">
        <v>27.1</v>
      </c>
      <c r="F1082" t="s">
        <v>36</v>
      </c>
      <c r="G1082" t="s">
        <v>26</v>
      </c>
      <c r="H1082">
        <v>61</v>
      </c>
      <c r="I1082">
        <v>58</v>
      </c>
      <c r="J1082" t="s">
        <v>15</v>
      </c>
      <c r="K1082">
        <v>216396</v>
      </c>
      <c r="L1082" t="s">
        <v>22</v>
      </c>
    </row>
    <row r="1083" spans="1:12" x14ac:dyDescent="0.3">
      <c r="A1083">
        <v>2004</v>
      </c>
      <c r="B1083" t="s">
        <v>34</v>
      </c>
      <c r="C1083">
        <v>13283</v>
      </c>
      <c r="D1083">
        <v>3729.8</v>
      </c>
      <c r="E1083">
        <v>27.1</v>
      </c>
      <c r="F1083" t="s">
        <v>36</v>
      </c>
      <c r="G1083" t="s">
        <v>26</v>
      </c>
      <c r="H1083">
        <v>67</v>
      </c>
      <c r="I1083">
        <v>58</v>
      </c>
      <c r="J1083" t="s">
        <v>15</v>
      </c>
      <c r="K1083">
        <v>2644</v>
      </c>
      <c r="L1083" t="s">
        <v>22</v>
      </c>
    </row>
    <row r="1084" spans="1:12" x14ac:dyDescent="0.3">
      <c r="A1084">
        <v>2004</v>
      </c>
      <c r="B1084" t="s">
        <v>34</v>
      </c>
      <c r="C1084">
        <v>52119</v>
      </c>
      <c r="D1084">
        <v>2746.2</v>
      </c>
      <c r="E1084">
        <v>26.8</v>
      </c>
      <c r="F1084" t="s">
        <v>36</v>
      </c>
      <c r="G1084" t="s">
        <v>26</v>
      </c>
      <c r="H1084">
        <v>62</v>
      </c>
      <c r="I1084">
        <v>59</v>
      </c>
      <c r="J1084" t="s">
        <v>15</v>
      </c>
      <c r="K1084">
        <v>44235</v>
      </c>
      <c r="L1084" t="s">
        <v>22</v>
      </c>
    </row>
    <row r="1085" spans="1:12" x14ac:dyDescent="0.3">
      <c r="A1085">
        <v>2004</v>
      </c>
      <c r="B1085" t="s">
        <v>34</v>
      </c>
      <c r="C1085">
        <v>725</v>
      </c>
      <c r="D1085">
        <v>2746.2</v>
      </c>
      <c r="E1085">
        <v>26.8</v>
      </c>
      <c r="F1085" t="s">
        <v>36</v>
      </c>
      <c r="G1085" t="s">
        <v>26</v>
      </c>
      <c r="H1085">
        <v>32</v>
      </c>
      <c r="I1085">
        <v>50</v>
      </c>
      <c r="J1085" t="s">
        <v>15</v>
      </c>
      <c r="K1085">
        <v>203317</v>
      </c>
      <c r="L1085" t="s">
        <v>22</v>
      </c>
    </row>
    <row r="1086" spans="1:12" x14ac:dyDescent="0.3">
      <c r="A1086">
        <v>2004</v>
      </c>
      <c r="B1086" t="s">
        <v>34</v>
      </c>
      <c r="C1086">
        <v>12885</v>
      </c>
      <c r="D1086">
        <v>2746.2</v>
      </c>
      <c r="E1086">
        <v>26.8</v>
      </c>
      <c r="F1086" t="s">
        <v>36</v>
      </c>
      <c r="G1086" t="s">
        <v>26</v>
      </c>
      <c r="H1086">
        <v>22</v>
      </c>
      <c r="I1086">
        <v>54</v>
      </c>
      <c r="J1086" t="s">
        <v>15</v>
      </c>
      <c r="K1086">
        <v>2134</v>
      </c>
      <c r="L1086" t="s">
        <v>22</v>
      </c>
    </row>
    <row r="1087" spans="1:12" x14ac:dyDescent="0.3">
      <c r="A1087">
        <v>2004</v>
      </c>
      <c r="B1087" t="s">
        <v>34</v>
      </c>
      <c r="C1087">
        <v>51179</v>
      </c>
      <c r="D1087">
        <v>3360</v>
      </c>
      <c r="E1087">
        <v>37</v>
      </c>
      <c r="F1087" t="s">
        <v>36</v>
      </c>
      <c r="G1087" t="s">
        <v>14</v>
      </c>
      <c r="H1087">
        <v>25</v>
      </c>
      <c r="I1087">
        <v>53</v>
      </c>
      <c r="J1087" t="s">
        <v>28</v>
      </c>
      <c r="K1087">
        <v>45186</v>
      </c>
      <c r="L1087" t="s">
        <v>22</v>
      </c>
    </row>
    <row r="1088" spans="1:12" x14ac:dyDescent="0.3">
      <c r="A1088">
        <v>2004</v>
      </c>
      <c r="B1088" t="s">
        <v>34</v>
      </c>
      <c r="C1088">
        <v>468</v>
      </c>
      <c r="D1088">
        <v>3360</v>
      </c>
      <c r="E1088">
        <v>37</v>
      </c>
      <c r="F1088" t="s">
        <v>36</v>
      </c>
      <c r="G1088" t="s">
        <v>14</v>
      </c>
      <c r="H1088">
        <v>4</v>
      </c>
      <c r="I1088">
        <v>52</v>
      </c>
      <c r="J1088" t="s">
        <v>28</v>
      </c>
      <c r="K1088">
        <v>238542</v>
      </c>
      <c r="L1088" t="s">
        <v>22</v>
      </c>
    </row>
    <row r="1089" spans="1:12" x14ac:dyDescent="0.3">
      <c r="A1089">
        <v>2004</v>
      </c>
      <c r="B1089" t="s">
        <v>34</v>
      </c>
      <c r="C1089">
        <v>11841</v>
      </c>
      <c r="D1089">
        <v>3360</v>
      </c>
      <c r="E1089">
        <v>37</v>
      </c>
      <c r="F1089" t="s">
        <v>36</v>
      </c>
      <c r="G1089" t="s">
        <v>14</v>
      </c>
      <c r="H1089">
        <v>9</v>
      </c>
      <c r="I1089">
        <v>51</v>
      </c>
      <c r="J1089" t="s">
        <v>28</v>
      </c>
      <c r="K1089">
        <v>1516</v>
      </c>
      <c r="L1089" t="s">
        <v>22</v>
      </c>
    </row>
    <row r="1090" spans="1:12" x14ac:dyDescent="0.3">
      <c r="A1090">
        <v>2004</v>
      </c>
      <c r="B1090" t="s">
        <v>34</v>
      </c>
      <c r="C1090">
        <v>50975</v>
      </c>
      <c r="D1090">
        <v>3605.4</v>
      </c>
      <c r="E1090">
        <v>38</v>
      </c>
      <c r="F1090" t="s">
        <v>36</v>
      </c>
      <c r="G1090" t="s">
        <v>14</v>
      </c>
      <c r="H1090">
        <v>12</v>
      </c>
      <c r="I1090">
        <v>57</v>
      </c>
      <c r="J1090" t="s">
        <v>28</v>
      </c>
      <c r="K1090">
        <v>57259</v>
      </c>
      <c r="L1090" t="s">
        <v>22</v>
      </c>
    </row>
    <row r="1091" spans="1:12" x14ac:dyDescent="0.3">
      <c r="A1091">
        <v>2004</v>
      </c>
      <c r="B1091" t="s">
        <v>34</v>
      </c>
      <c r="C1091">
        <v>206</v>
      </c>
      <c r="D1091">
        <v>3605.4</v>
      </c>
      <c r="E1091">
        <v>38</v>
      </c>
      <c r="F1091" t="s">
        <v>36</v>
      </c>
      <c r="G1091" t="s">
        <v>14</v>
      </c>
      <c r="H1091">
        <v>2089</v>
      </c>
      <c r="I1091">
        <v>57</v>
      </c>
      <c r="J1091" t="s">
        <v>28</v>
      </c>
      <c r="K1091">
        <v>234779</v>
      </c>
      <c r="L1091" t="s">
        <v>22</v>
      </c>
    </row>
    <row r="1092" spans="1:12" x14ac:dyDescent="0.3">
      <c r="A1092">
        <v>2004</v>
      </c>
      <c r="B1092" t="s">
        <v>34</v>
      </c>
      <c r="C1092">
        <v>10922</v>
      </c>
      <c r="D1092">
        <v>3605.4</v>
      </c>
      <c r="E1092">
        <v>38</v>
      </c>
      <c r="F1092" t="s">
        <v>36</v>
      </c>
      <c r="G1092" t="s">
        <v>14</v>
      </c>
      <c r="H1092">
        <v>2810</v>
      </c>
      <c r="I1092">
        <v>60</v>
      </c>
      <c r="J1092" t="s">
        <v>28</v>
      </c>
      <c r="K1092">
        <v>1493</v>
      </c>
      <c r="L1092" t="s">
        <v>22</v>
      </c>
    </row>
    <row r="1093" spans="1:12" x14ac:dyDescent="0.3">
      <c r="A1093">
        <v>2004</v>
      </c>
      <c r="B1093" t="s">
        <v>34</v>
      </c>
      <c r="C1093">
        <v>51390</v>
      </c>
      <c r="D1093">
        <v>3512.4</v>
      </c>
      <c r="E1093">
        <v>39</v>
      </c>
      <c r="F1093" t="s">
        <v>36</v>
      </c>
      <c r="G1093" t="s">
        <v>14</v>
      </c>
      <c r="H1093">
        <v>841</v>
      </c>
      <c r="I1093">
        <v>57</v>
      </c>
      <c r="J1093" t="s">
        <v>29</v>
      </c>
      <c r="K1093">
        <v>64409</v>
      </c>
      <c r="L1093" t="s">
        <v>22</v>
      </c>
    </row>
    <row r="1094" spans="1:12" x14ac:dyDescent="0.3">
      <c r="A1094">
        <v>2004</v>
      </c>
      <c r="B1094" t="s">
        <v>12</v>
      </c>
      <c r="C1094">
        <v>177</v>
      </c>
      <c r="D1094">
        <v>3512.4</v>
      </c>
      <c r="E1094">
        <v>39</v>
      </c>
      <c r="F1094" t="s">
        <v>36</v>
      </c>
      <c r="G1094" t="s">
        <v>14</v>
      </c>
      <c r="H1094">
        <v>3550</v>
      </c>
      <c r="I1094">
        <v>57</v>
      </c>
      <c r="J1094" t="s">
        <v>29</v>
      </c>
      <c r="K1094">
        <v>249978</v>
      </c>
      <c r="L1094" t="s">
        <v>22</v>
      </c>
    </row>
    <row r="1095" spans="1:12" x14ac:dyDescent="0.3">
      <c r="A1095">
        <v>2004</v>
      </c>
      <c r="B1095" t="s">
        <v>12</v>
      </c>
      <c r="C1095">
        <v>10723</v>
      </c>
      <c r="D1095">
        <v>3512.4</v>
      </c>
      <c r="E1095">
        <v>39</v>
      </c>
      <c r="F1095" t="s">
        <v>36</v>
      </c>
      <c r="G1095" t="s">
        <v>14</v>
      </c>
      <c r="H1095">
        <v>109</v>
      </c>
      <c r="I1095">
        <v>54</v>
      </c>
      <c r="J1095" t="s">
        <v>29</v>
      </c>
      <c r="K1095">
        <v>637</v>
      </c>
      <c r="L1095" t="s">
        <v>22</v>
      </c>
    </row>
    <row r="1096" spans="1:12" x14ac:dyDescent="0.3">
      <c r="A1096">
        <v>2004</v>
      </c>
      <c r="B1096" t="s">
        <v>12</v>
      </c>
      <c r="C1096">
        <v>51709</v>
      </c>
      <c r="D1096">
        <v>3296</v>
      </c>
      <c r="E1096">
        <v>40</v>
      </c>
      <c r="F1096" t="s">
        <v>36</v>
      </c>
      <c r="G1096" t="s">
        <v>14</v>
      </c>
      <c r="H1096">
        <v>3368</v>
      </c>
      <c r="I1096">
        <v>54.5</v>
      </c>
      <c r="J1096" t="s">
        <v>29</v>
      </c>
      <c r="K1096">
        <v>43311</v>
      </c>
      <c r="L1096" t="s">
        <v>22</v>
      </c>
    </row>
    <row r="1097" spans="1:12" x14ac:dyDescent="0.3">
      <c r="A1097">
        <v>2004</v>
      </c>
      <c r="B1097" t="s">
        <v>12</v>
      </c>
      <c r="C1097">
        <v>146</v>
      </c>
      <c r="D1097">
        <v>3296</v>
      </c>
      <c r="E1097">
        <v>40</v>
      </c>
      <c r="F1097" t="s">
        <v>36</v>
      </c>
      <c r="G1097" t="s">
        <v>14</v>
      </c>
      <c r="H1097">
        <v>3671</v>
      </c>
      <c r="I1097">
        <v>56.6</v>
      </c>
      <c r="J1097" t="s">
        <v>29</v>
      </c>
      <c r="K1097">
        <v>24848</v>
      </c>
      <c r="L1097" t="s">
        <v>25</v>
      </c>
    </row>
    <row r="1098" spans="1:12" x14ac:dyDescent="0.3">
      <c r="A1098">
        <v>2004</v>
      </c>
      <c r="B1098" t="s">
        <v>12</v>
      </c>
      <c r="C1098">
        <v>10910</v>
      </c>
      <c r="D1098">
        <v>3296</v>
      </c>
      <c r="E1098">
        <v>40</v>
      </c>
      <c r="F1098" t="s">
        <v>36</v>
      </c>
      <c r="G1098" t="s">
        <v>14</v>
      </c>
      <c r="H1098">
        <v>2404</v>
      </c>
      <c r="I1098">
        <v>55.5</v>
      </c>
      <c r="J1098" t="s">
        <v>29</v>
      </c>
      <c r="K1098">
        <v>761</v>
      </c>
      <c r="L1098" t="s">
        <v>25</v>
      </c>
    </row>
    <row r="1099" spans="1:12" x14ac:dyDescent="0.3">
      <c r="A1099">
        <v>2004</v>
      </c>
      <c r="B1099" t="s">
        <v>12</v>
      </c>
      <c r="C1099">
        <v>51355</v>
      </c>
      <c r="D1099">
        <v>3550</v>
      </c>
      <c r="E1099">
        <v>41</v>
      </c>
      <c r="F1099" t="s">
        <v>36</v>
      </c>
      <c r="G1099" t="s">
        <v>14</v>
      </c>
      <c r="H1099">
        <v>2805</v>
      </c>
      <c r="I1099">
        <v>58.5</v>
      </c>
      <c r="J1099" t="s">
        <v>29</v>
      </c>
      <c r="K1099">
        <v>45608</v>
      </c>
      <c r="L1099" t="s">
        <v>25</v>
      </c>
    </row>
    <row r="1100" spans="1:12" x14ac:dyDescent="0.3">
      <c r="A1100">
        <v>2004</v>
      </c>
      <c r="B1100" t="s">
        <v>12</v>
      </c>
      <c r="C1100">
        <v>160</v>
      </c>
      <c r="D1100">
        <v>3550</v>
      </c>
      <c r="E1100">
        <v>41</v>
      </c>
      <c r="F1100" t="s">
        <v>36</v>
      </c>
      <c r="G1100" t="s">
        <v>14</v>
      </c>
      <c r="H1100">
        <v>2331</v>
      </c>
      <c r="I1100">
        <v>59.5</v>
      </c>
      <c r="J1100" t="s">
        <v>29</v>
      </c>
      <c r="K1100">
        <v>234581</v>
      </c>
      <c r="L1100" t="s">
        <v>25</v>
      </c>
    </row>
    <row r="1101" spans="1:12" x14ac:dyDescent="0.3">
      <c r="A1101">
        <v>2004</v>
      </c>
      <c r="B1101" t="s">
        <v>12</v>
      </c>
      <c r="C1101">
        <v>10912</v>
      </c>
      <c r="D1101">
        <v>3550</v>
      </c>
      <c r="E1101">
        <v>41</v>
      </c>
      <c r="F1101" t="s">
        <v>36</v>
      </c>
      <c r="G1101" t="s">
        <v>14</v>
      </c>
      <c r="H1101">
        <v>2088</v>
      </c>
      <c r="I1101">
        <v>55</v>
      </c>
      <c r="J1101" t="s">
        <v>29</v>
      </c>
      <c r="K1101">
        <v>646</v>
      </c>
      <c r="L1101" t="s">
        <v>25</v>
      </c>
    </row>
    <row r="1102" spans="1:12" x14ac:dyDescent="0.3">
      <c r="A1102">
        <v>2004</v>
      </c>
      <c r="B1102" t="s">
        <v>12</v>
      </c>
      <c r="C1102">
        <v>51353</v>
      </c>
      <c r="D1102">
        <v>3654</v>
      </c>
      <c r="E1102">
        <v>42</v>
      </c>
      <c r="F1102" t="s">
        <v>48</v>
      </c>
      <c r="G1102" t="s">
        <v>14</v>
      </c>
      <c r="H1102">
        <v>2628</v>
      </c>
      <c r="I1102">
        <v>53</v>
      </c>
      <c r="J1102" t="s">
        <v>29</v>
      </c>
      <c r="K1102">
        <v>43562</v>
      </c>
      <c r="L1102" t="s">
        <v>25</v>
      </c>
    </row>
    <row r="1103" spans="1:12" x14ac:dyDescent="0.3">
      <c r="A1103">
        <v>2004</v>
      </c>
      <c r="B1103" t="s">
        <v>12</v>
      </c>
      <c r="C1103">
        <v>142</v>
      </c>
      <c r="D1103">
        <v>3654</v>
      </c>
      <c r="E1103">
        <v>42</v>
      </c>
      <c r="F1103" t="s">
        <v>48</v>
      </c>
      <c r="G1103" t="s">
        <v>14</v>
      </c>
      <c r="H1103">
        <v>1939</v>
      </c>
      <c r="I1103">
        <v>53.5</v>
      </c>
      <c r="J1103" t="s">
        <v>29</v>
      </c>
      <c r="K1103">
        <v>200000</v>
      </c>
      <c r="L1103" t="s">
        <v>25</v>
      </c>
    </row>
    <row r="1104" spans="1:12" x14ac:dyDescent="0.3">
      <c r="A1104">
        <v>2004</v>
      </c>
      <c r="B1104" t="s">
        <v>12</v>
      </c>
      <c r="C1104">
        <v>10505</v>
      </c>
      <c r="D1104">
        <v>3654</v>
      </c>
      <c r="E1104">
        <v>42</v>
      </c>
      <c r="F1104" t="s">
        <v>48</v>
      </c>
      <c r="G1104" t="s">
        <v>14</v>
      </c>
      <c r="H1104">
        <v>1871</v>
      </c>
      <c r="I1104">
        <v>52.5</v>
      </c>
      <c r="J1104" t="s">
        <v>29</v>
      </c>
      <c r="K1104">
        <v>4847</v>
      </c>
      <c r="L1104" t="s">
        <v>25</v>
      </c>
    </row>
    <row r="1105" spans="1:12" x14ac:dyDescent="0.3">
      <c r="A1105">
        <v>2004</v>
      </c>
      <c r="B1105" t="s">
        <v>12</v>
      </c>
      <c r="C1105">
        <v>51040</v>
      </c>
      <c r="D1105">
        <v>233</v>
      </c>
      <c r="E1105">
        <v>43</v>
      </c>
      <c r="F1105" t="s">
        <v>48</v>
      </c>
      <c r="G1105" t="s">
        <v>14</v>
      </c>
      <c r="H1105">
        <v>1868</v>
      </c>
      <c r="I1105">
        <v>56</v>
      </c>
      <c r="J1105" t="s">
        <v>29</v>
      </c>
      <c r="K1105">
        <v>51239</v>
      </c>
      <c r="L1105" t="s">
        <v>25</v>
      </c>
    </row>
    <row r="1106" spans="1:12" x14ac:dyDescent="0.3">
      <c r="A1106">
        <v>2004</v>
      </c>
      <c r="B1106" t="s">
        <v>12</v>
      </c>
      <c r="C1106">
        <v>154</v>
      </c>
      <c r="D1106">
        <v>233</v>
      </c>
      <c r="E1106">
        <v>43</v>
      </c>
      <c r="F1106" t="s">
        <v>48</v>
      </c>
      <c r="G1106" t="s">
        <v>14</v>
      </c>
      <c r="H1106">
        <v>127919</v>
      </c>
      <c r="I1106">
        <v>57</v>
      </c>
      <c r="J1106" t="s">
        <v>29</v>
      </c>
      <c r="K1106">
        <v>216396</v>
      </c>
      <c r="L1106" t="s">
        <v>25</v>
      </c>
    </row>
    <row r="1107" spans="1:12" x14ac:dyDescent="0.3">
      <c r="A1107">
        <v>2004</v>
      </c>
      <c r="B1107" t="s">
        <v>12</v>
      </c>
      <c r="C1107">
        <v>10318</v>
      </c>
      <c r="D1107">
        <v>233</v>
      </c>
      <c r="E1107">
        <v>27</v>
      </c>
      <c r="F1107" t="s">
        <v>48</v>
      </c>
      <c r="G1107" t="s">
        <v>14</v>
      </c>
      <c r="H1107">
        <v>75340</v>
      </c>
      <c r="I1107">
        <v>57.5</v>
      </c>
      <c r="J1107" t="s">
        <v>29</v>
      </c>
      <c r="K1107">
        <v>2644</v>
      </c>
      <c r="L1107" t="s">
        <v>25</v>
      </c>
    </row>
    <row r="1108" spans="1:12" x14ac:dyDescent="0.3">
      <c r="A1108">
        <v>2004</v>
      </c>
      <c r="B1108" t="s">
        <v>17</v>
      </c>
      <c r="C1108">
        <v>48083</v>
      </c>
      <c r="D1108">
        <v>234</v>
      </c>
      <c r="E1108">
        <v>27</v>
      </c>
      <c r="F1108" t="s">
        <v>48</v>
      </c>
      <c r="G1108" t="s">
        <v>14</v>
      </c>
      <c r="H1108">
        <v>29170</v>
      </c>
      <c r="I1108">
        <v>57</v>
      </c>
      <c r="J1108" t="s">
        <v>30</v>
      </c>
      <c r="K1108">
        <v>44235</v>
      </c>
      <c r="L1108" t="s">
        <v>25</v>
      </c>
    </row>
    <row r="1109" spans="1:12" x14ac:dyDescent="0.3">
      <c r="A1109">
        <v>2004</v>
      </c>
      <c r="B1109" t="s">
        <v>17</v>
      </c>
      <c r="C1109">
        <v>143</v>
      </c>
      <c r="D1109">
        <v>234</v>
      </c>
      <c r="E1109">
        <v>27</v>
      </c>
      <c r="F1109" t="s">
        <v>48</v>
      </c>
      <c r="G1109" t="s">
        <v>14</v>
      </c>
      <c r="H1109">
        <v>1901</v>
      </c>
      <c r="I1109">
        <v>55</v>
      </c>
      <c r="J1109" t="s">
        <v>30</v>
      </c>
      <c r="K1109">
        <v>203317</v>
      </c>
      <c r="L1109" t="s">
        <v>25</v>
      </c>
    </row>
    <row r="1110" spans="1:12" x14ac:dyDescent="0.3">
      <c r="A1110">
        <v>2004</v>
      </c>
      <c r="B1110" t="s">
        <v>17</v>
      </c>
      <c r="C1110">
        <v>9283</v>
      </c>
      <c r="D1110">
        <v>234</v>
      </c>
      <c r="E1110">
        <v>27</v>
      </c>
      <c r="F1110" t="s">
        <v>48</v>
      </c>
      <c r="G1110" t="s">
        <v>14</v>
      </c>
      <c r="H1110">
        <v>972</v>
      </c>
      <c r="I1110">
        <v>56</v>
      </c>
      <c r="J1110" t="s">
        <v>30</v>
      </c>
      <c r="K1110">
        <v>2134</v>
      </c>
      <c r="L1110" t="s">
        <v>25</v>
      </c>
    </row>
    <row r="1111" spans="1:12" x14ac:dyDescent="0.3">
      <c r="A1111">
        <v>2004</v>
      </c>
      <c r="B1111" t="s">
        <v>17</v>
      </c>
      <c r="C1111">
        <v>47200</v>
      </c>
      <c r="D1111">
        <v>3105</v>
      </c>
      <c r="E1111">
        <v>27</v>
      </c>
      <c r="F1111" t="s">
        <v>48</v>
      </c>
      <c r="G1111" t="s">
        <v>14</v>
      </c>
      <c r="H1111">
        <v>874</v>
      </c>
      <c r="I1111">
        <v>54</v>
      </c>
      <c r="J1111" t="s">
        <v>30</v>
      </c>
      <c r="K1111">
        <v>45186</v>
      </c>
      <c r="L1111" t="s">
        <v>25</v>
      </c>
    </row>
    <row r="1112" spans="1:12" x14ac:dyDescent="0.3">
      <c r="A1112">
        <v>2004</v>
      </c>
      <c r="B1112" t="s">
        <v>17</v>
      </c>
      <c r="C1112">
        <v>158</v>
      </c>
      <c r="D1112">
        <v>3105</v>
      </c>
      <c r="E1112">
        <v>27</v>
      </c>
      <c r="F1112" t="s">
        <v>48</v>
      </c>
      <c r="G1112" t="s">
        <v>14</v>
      </c>
      <c r="H1112">
        <v>592</v>
      </c>
      <c r="I1112">
        <v>58</v>
      </c>
      <c r="J1112" t="s">
        <v>30</v>
      </c>
      <c r="K1112">
        <v>238542</v>
      </c>
      <c r="L1112" t="s">
        <v>25</v>
      </c>
    </row>
    <row r="1113" spans="1:12" x14ac:dyDescent="0.3">
      <c r="A1113">
        <v>2004</v>
      </c>
      <c r="B1113" t="s">
        <v>17</v>
      </c>
      <c r="C1113">
        <v>8982</v>
      </c>
      <c r="D1113">
        <v>3105</v>
      </c>
      <c r="E1113">
        <v>27.2</v>
      </c>
      <c r="F1113" t="s">
        <v>48</v>
      </c>
      <c r="G1113" t="s">
        <v>14</v>
      </c>
      <c r="H1113">
        <v>864</v>
      </c>
      <c r="I1113">
        <v>58</v>
      </c>
      <c r="J1113" t="s">
        <v>30</v>
      </c>
      <c r="K1113">
        <v>1516</v>
      </c>
      <c r="L1113" t="s">
        <v>25</v>
      </c>
    </row>
    <row r="1114" spans="1:12" x14ac:dyDescent="0.3">
      <c r="A1114">
        <v>2004</v>
      </c>
      <c r="B1114" t="s">
        <v>17</v>
      </c>
      <c r="C1114">
        <v>46990</v>
      </c>
      <c r="D1114">
        <v>236</v>
      </c>
      <c r="E1114">
        <v>27.2</v>
      </c>
      <c r="F1114" t="s">
        <v>48</v>
      </c>
      <c r="G1114" t="s">
        <v>14</v>
      </c>
      <c r="H1114">
        <v>5373</v>
      </c>
      <c r="I1114">
        <v>59</v>
      </c>
      <c r="J1114" t="s">
        <v>30</v>
      </c>
      <c r="K1114">
        <v>57259</v>
      </c>
      <c r="L1114" t="s">
        <v>25</v>
      </c>
    </row>
    <row r="1115" spans="1:12" x14ac:dyDescent="0.3">
      <c r="A1115">
        <v>2004</v>
      </c>
      <c r="B1115" t="s">
        <v>17</v>
      </c>
      <c r="C1115">
        <v>103</v>
      </c>
      <c r="D1115">
        <v>236</v>
      </c>
      <c r="E1115">
        <v>27.2</v>
      </c>
      <c r="F1115" t="s">
        <v>48</v>
      </c>
      <c r="G1115" t="s">
        <v>14</v>
      </c>
      <c r="H1115">
        <v>6589</v>
      </c>
      <c r="I1115">
        <v>50</v>
      </c>
      <c r="J1115" t="s">
        <v>30</v>
      </c>
      <c r="K1115">
        <v>234779</v>
      </c>
      <c r="L1115" t="s">
        <v>25</v>
      </c>
    </row>
    <row r="1116" spans="1:12" x14ac:dyDescent="0.3">
      <c r="A1116">
        <v>2004</v>
      </c>
      <c r="B1116" t="s">
        <v>17</v>
      </c>
      <c r="C1116">
        <v>8239</v>
      </c>
      <c r="D1116">
        <v>2903.1</v>
      </c>
      <c r="E1116">
        <v>27</v>
      </c>
      <c r="F1116" t="s">
        <v>48</v>
      </c>
      <c r="G1116" t="s">
        <v>14</v>
      </c>
      <c r="H1116">
        <v>5107</v>
      </c>
      <c r="I1116">
        <v>54</v>
      </c>
      <c r="J1116" t="s">
        <v>30</v>
      </c>
      <c r="K1116">
        <v>1493</v>
      </c>
      <c r="L1116" t="s">
        <v>25</v>
      </c>
    </row>
    <row r="1117" spans="1:12" x14ac:dyDescent="0.3">
      <c r="A1117">
        <v>2004</v>
      </c>
      <c r="B1117" t="s">
        <v>17</v>
      </c>
      <c r="C1117">
        <v>44563</v>
      </c>
      <c r="D1117">
        <v>2903.1</v>
      </c>
      <c r="E1117">
        <v>27</v>
      </c>
      <c r="F1117" t="s">
        <v>48</v>
      </c>
      <c r="G1117" t="s">
        <v>14</v>
      </c>
      <c r="H1117">
        <v>5518</v>
      </c>
      <c r="I1117">
        <v>53</v>
      </c>
      <c r="J1117" t="s">
        <v>30</v>
      </c>
      <c r="K1117">
        <v>64409</v>
      </c>
      <c r="L1117" t="s">
        <v>25</v>
      </c>
    </row>
    <row r="1118" spans="1:12" x14ac:dyDescent="0.3">
      <c r="A1118">
        <v>2004</v>
      </c>
      <c r="B1118" t="s">
        <v>17</v>
      </c>
      <c r="C1118">
        <v>96</v>
      </c>
      <c r="D1118">
        <v>2903.1</v>
      </c>
      <c r="E1118">
        <v>27</v>
      </c>
      <c r="F1118" t="s">
        <v>48</v>
      </c>
      <c r="G1118" t="s">
        <v>14</v>
      </c>
      <c r="H1118">
        <v>4912</v>
      </c>
      <c r="I1118">
        <v>52</v>
      </c>
      <c r="J1118" t="s">
        <v>30</v>
      </c>
      <c r="K1118">
        <v>249978</v>
      </c>
      <c r="L1118" t="s">
        <v>25</v>
      </c>
    </row>
    <row r="1119" spans="1:12" x14ac:dyDescent="0.3">
      <c r="A1119">
        <v>2004</v>
      </c>
      <c r="B1119" t="s">
        <v>17</v>
      </c>
      <c r="C1119">
        <v>6949</v>
      </c>
      <c r="D1119">
        <v>2996.6</v>
      </c>
      <c r="E1119">
        <v>27</v>
      </c>
      <c r="F1119" t="s">
        <v>48</v>
      </c>
      <c r="G1119" t="s">
        <v>14</v>
      </c>
      <c r="H1119">
        <v>3830</v>
      </c>
      <c r="I1119">
        <v>51</v>
      </c>
      <c r="J1119" t="s">
        <v>30</v>
      </c>
      <c r="K1119">
        <v>637</v>
      </c>
      <c r="L1119" t="s">
        <v>25</v>
      </c>
    </row>
    <row r="1120" spans="1:12" x14ac:dyDescent="0.3">
      <c r="A1120">
        <v>2004</v>
      </c>
      <c r="B1120" t="s">
        <v>17</v>
      </c>
      <c r="C1120">
        <v>44663</v>
      </c>
      <c r="D1120">
        <v>2996.6</v>
      </c>
      <c r="E1120">
        <v>27</v>
      </c>
      <c r="F1120" t="s">
        <v>48</v>
      </c>
      <c r="G1120" t="s">
        <v>14</v>
      </c>
      <c r="H1120">
        <v>4</v>
      </c>
      <c r="I1120">
        <v>57</v>
      </c>
      <c r="J1120" t="s">
        <v>30</v>
      </c>
      <c r="K1120">
        <v>43311</v>
      </c>
      <c r="L1120" t="s">
        <v>25</v>
      </c>
    </row>
    <row r="1121" spans="1:12" x14ac:dyDescent="0.3">
      <c r="A1121">
        <v>2004</v>
      </c>
      <c r="B1121" t="s">
        <v>18</v>
      </c>
      <c r="C1121">
        <v>110</v>
      </c>
      <c r="D1121">
        <v>2996.6</v>
      </c>
      <c r="E1121">
        <v>27</v>
      </c>
      <c r="F1121" t="s">
        <v>48</v>
      </c>
      <c r="G1121" t="s">
        <v>14</v>
      </c>
      <c r="H1121">
        <v>9</v>
      </c>
      <c r="I1121">
        <v>57</v>
      </c>
      <c r="J1121" t="s">
        <v>30</v>
      </c>
      <c r="K1121">
        <v>24848</v>
      </c>
      <c r="L1121" t="s">
        <v>25</v>
      </c>
    </row>
    <row r="1122" spans="1:12" x14ac:dyDescent="0.3">
      <c r="A1122">
        <v>2004</v>
      </c>
      <c r="B1122" t="s">
        <v>18</v>
      </c>
      <c r="C1122">
        <v>6824</v>
      </c>
      <c r="D1122">
        <v>3522.8</v>
      </c>
      <c r="E1122">
        <v>27.2</v>
      </c>
      <c r="F1122" t="s">
        <v>48</v>
      </c>
      <c r="G1122" t="s">
        <v>14</v>
      </c>
      <c r="H1122">
        <v>12</v>
      </c>
      <c r="I1122">
        <v>60</v>
      </c>
      <c r="J1122" t="s">
        <v>30</v>
      </c>
      <c r="K1122">
        <v>761</v>
      </c>
      <c r="L1122" t="s">
        <v>25</v>
      </c>
    </row>
    <row r="1123" spans="1:12" x14ac:dyDescent="0.3">
      <c r="A1123">
        <v>2004</v>
      </c>
      <c r="B1123" t="s">
        <v>18</v>
      </c>
      <c r="C1123">
        <v>43013</v>
      </c>
      <c r="D1123">
        <v>3522.8</v>
      </c>
      <c r="E1123">
        <v>27.2</v>
      </c>
      <c r="F1123" t="s">
        <v>48</v>
      </c>
      <c r="G1123" t="s">
        <v>14</v>
      </c>
      <c r="H1123">
        <v>2089</v>
      </c>
      <c r="I1123">
        <v>57</v>
      </c>
      <c r="J1123" t="s">
        <v>32</v>
      </c>
      <c r="K1123">
        <v>45608</v>
      </c>
      <c r="L1123" t="s">
        <v>25</v>
      </c>
    </row>
    <row r="1124" spans="1:12" x14ac:dyDescent="0.3">
      <c r="A1124">
        <v>2004</v>
      </c>
      <c r="B1124" t="s">
        <v>18</v>
      </c>
      <c r="C1124">
        <v>95</v>
      </c>
      <c r="D1124">
        <v>3522.8</v>
      </c>
      <c r="E1124">
        <v>27.2</v>
      </c>
      <c r="F1124" t="s">
        <v>48</v>
      </c>
      <c r="G1124" t="s">
        <v>14</v>
      </c>
      <c r="H1124">
        <v>2810</v>
      </c>
      <c r="I1124">
        <v>57</v>
      </c>
      <c r="J1124" t="s">
        <v>32</v>
      </c>
      <c r="K1124">
        <v>234581</v>
      </c>
      <c r="L1124" t="s">
        <v>25</v>
      </c>
    </row>
    <row r="1125" spans="1:12" x14ac:dyDescent="0.3">
      <c r="A1125">
        <v>2004</v>
      </c>
      <c r="B1125" t="s">
        <v>18</v>
      </c>
      <c r="C1125">
        <v>6441</v>
      </c>
      <c r="D1125">
        <v>2903.1</v>
      </c>
      <c r="E1125">
        <v>27.1</v>
      </c>
      <c r="F1125" t="s">
        <v>48</v>
      </c>
      <c r="G1125" t="s">
        <v>14</v>
      </c>
      <c r="H1125">
        <v>841</v>
      </c>
      <c r="I1125">
        <v>54</v>
      </c>
      <c r="J1125" t="s">
        <v>32</v>
      </c>
      <c r="K1125">
        <v>646</v>
      </c>
      <c r="L1125" t="s">
        <v>25</v>
      </c>
    </row>
    <row r="1126" spans="1:12" x14ac:dyDescent="0.3">
      <c r="A1126">
        <v>2004</v>
      </c>
      <c r="B1126" t="s">
        <v>18</v>
      </c>
      <c r="C1126">
        <v>4012</v>
      </c>
      <c r="D1126">
        <v>2903.1</v>
      </c>
      <c r="E1126">
        <v>27.1</v>
      </c>
      <c r="F1126" t="s">
        <v>48</v>
      </c>
      <c r="G1126" t="s">
        <v>14</v>
      </c>
      <c r="H1126">
        <v>3550</v>
      </c>
      <c r="I1126">
        <v>54.5</v>
      </c>
      <c r="J1126" t="s">
        <v>32</v>
      </c>
      <c r="K1126">
        <v>43562</v>
      </c>
      <c r="L1126" t="s">
        <v>25</v>
      </c>
    </row>
    <row r="1127" spans="1:12" x14ac:dyDescent="0.3">
      <c r="A1127">
        <v>2004</v>
      </c>
      <c r="B1127" t="s">
        <v>18</v>
      </c>
      <c r="C1127">
        <v>4877</v>
      </c>
      <c r="D1127">
        <v>2903.1</v>
      </c>
      <c r="E1127">
        <v>27.1</v>
      </c>
      <c r="F1127" t="s">
        <v>48</v>
      </c>
      <c r="G1127" t="s">
        <v>14</v>
      </c>
      <c r="H1127">
        <v>109</v>
      </c>
      <c r="I1127">
        <v>56.6</v>
      </c>
      <c r="J1127" t="s">
        <v>32</v>
      </c>
      <c r="K1127">
        <v>200000</v>
      </c>
      <c r="L1127" t="s">
        <v>25</v>
      </c>
    </row>
    <row r="1128" spans="1:12" x14ac:dyDescent="0.3">
      <c r="A1128">
        <v>2004</v>
      </c>
      <c r="B1128" t="s">
        <v>18</v>
      </c>
      <c r="C1128">
        <v>4930</v>
      </c>
      <c r="D1128">
        <v>2996.6</v>
      </c>
      <c r="E1128">
        <v>26.8</v>
      </c>
      <c r="F1128" t="s">
        <v>48</v>
      </c>
      <c r="G1128" t="s">
        <v>14</v>
      </c>
      <c r="H1128">
        <v>3368</v>
      </c>
      <c r="I1128">
        <v>55.5</v>
      </c>
      <c r="J1128" t="s">
        <v>32</v>
      </c>
      <c r="K1128">
        <v>4847</v>
      </c>
      <c r="L1128" t="s">
        <v>25</v>
      </c>
    </row>
    <row r="1129" spans="1:12" x14ac:dyDescent="0.3">
      <c r="A1129">
        <v>2004</v>
      </c>
      <c r="B1129" t="s">
        <v>18</v>
      </c>
      <c r="C1129">
        <v>4954</v>
      </c>
      <c r="D1129">
        <v>2996.6</v>
      </c>
      <c r="E1129">
        <v>26.8</v>
      </c>
      <c r="F1129" t="s">
        <v>48</v>
      </c>
      <c r="G1129" t="s">
        <v>14</v>
      </c>
      <c r="H1129">
        <v>3671</v>
      </c>
      <c r="I1129">
        <v>58.5</v>
      </c>
      <c r="J1129" t="s">
        <v>32</v>
      </c>
      <c r="K1129">
        <v>51239</v>
      </c>
      <c r="L1129" t="s">
        <v>25</v>
      </c>
    </row>
    <row r="1130" spans="1:12" x14ac:dyDescent="0.3">
      <c r="A1130">
        <v>2004</v>
      </c>
      <c r="B1130" t="s">
        <v>18</v>
      </c>
      <c r="C1130">
        <v>5019</v>
      </c>
      <c r="D1130">
        <v>2996.6</v>
      </c>
      <c r="E1130">
        <v>26.8</v>
      </c>
      <c r="F1130" t="s">
        <v>48</v>
      </c>
      <c r="G1130" t="s">
        <v>14</v>
      </c>
      <c r="H1130">
        <v>2404</v>
      </c>
      <c r="I1130">
        <v>59.5</v>
      </c>
      <c r="J1130" t="s">
        <v>32</v>
      </c>
      <c r="K1130">
        <v>216396</v>
      </c>
      <c r="L1130" t="s">
        <v>25</v>
      </c>
    </row>
    <row r="1131" spans="1:12" x14ac:dyDescent="0.3">
      <c r="A1131">
        <v>2004</v>
      </c>
      <c r="B1131" t="s">
        <v>18</v>
      </c>
      <c r="C1131">
        <v>5127</v>
      </c>
      <c r="D1131">
        <v>3522.8</v>
      </c>
      <c r="E1131">
        <v>37</v>
      </c>
      <c r="F1131" t="s">
        <v>48</v>
      </c>
      <c r="G1131" t="s">
        <v>21</v>
      </c>
      <c r="H1131">
        <v>2805</v>
      </c>
      <c r="I1131">
        <v>55</v>
      </c>
      <c r="J1131" t="s">
        <v>32</v>
      </c>
      <c r="K1131">
        <v>2644</v>
      </c>
      <c r="L1131" t="s">
        <v>25</v>
      </c>
    </row>
    <row r="1132" spans="1:12" x14ac:dyDescent="0.3">
      <c r="A1132">
        <v>2004</v>
      </c>
      <c r="B1132" t="s">
        <v>18</v>
      </c>
      <c r="C1132">
        <v>5174</v>
      </c>
      <c r="D1132">
        <v>3522.8</v>
      </c>
      <c r="E1132">
        <v>37</v>
      </c>
      <c r="F1132" t="s">
        <v>36</v>
      </c>
      <c r="G1132" t="s">
        <v>21</v>
      </c>
      <c r="H1132">
        <v>2331</v>
      </c>
      <c r="I1132">
        <v>53</v>
      </c>
      <c r="J1132" t="s">
        <v>32</v>
      </c>
      <c r="K1132">
        <v>44235</v>
      </c>
      <c r="L1132" t="s">
        <v>25</v>
      </c>
    </row>
    <row r="1133" spans="1:12" x14ac:dyDescent="0.3">
      <c r="A1133">
        <v>2004</v>
      </c>
      <c r="B1133" t="s">
        <v>18</v>
      </c>
      <c r="C1133">
        <v>5294</v>
      </c>
      <c r="D1133">
        <v>3522.8</v>
      </c>
      <c r="E1133">
        <v>37</v>
      </c>
      <c r="F1133" t="s">
        <v>36</v>
      </c>
      <c r="G1133" t="s">
        <v>21</v>
      </c>
      <c r="H1133">
        <v>2088</v>
      </c>
      <c r="I1133">
        <v>53.5</v>
      </c>
      <c r="J1133" t="s">
        <v>32</v>
      </c>
      <c r="K1133">
        <v>203317</v>
      </c>
      <c r="L1133" t="s">
        <v>25</v>
      </c>
    </row>
    <row r="1134" spans="1:12" x14ac:dyDescent="0.3">
      <c r="A1134">
        <v>2004</v>
      </c>
      <c r="B1134" t="s">
        <v>18</v>
      </c>
      <c r="C1134">
        <v>5474</v>
      </c>
      <c r="D1134">
        <v>3729.8</v>
      </c>
      <c r="E1134">
        <v>38</v>
      </c>
      <c r="F1134" t="s">
        <v>36</v>
      </c>
      <c r="G1134" t="s">
        <v>21</v>
      </c>
      <c r="H1134">
        <v>2628</v>
      </c>
      <c r="I1134">
        <v>52.5</v>
      </c>
      <c r="J1134" t="s">
        <v>32</v>
      </c>
      <c r="K1134">
        <v>2134</v>
      </c>
      <c r="L1134" t="s">
        <v>25</v>
      </c>
    </row>
    <row r="1135" spans="1:12" x14ac:dyDescent="0.3">
      <c r="A1135">
        <v>2004</v>
      </c>
      <c r="B1135" t="s">
        <v>18</v>
      </c>
      <c r="C1135">
        <v>5864</v>
      </c>
      <c r="D1135">
        <v>3729.8</v>
      </c>
      <c r="E1135">
        <v>38</v>
      </c>
      <c r="F1135" t="s">
        <v>36</v>
      </c>
      <c r="G1135" t="s">
        <v>21</v>
      </c>
      <c r="H1135">
        <v>1939</v>
      </c>
      <c r="I1135">
        <v>56</v>
      </c>
      <c r="J1135" t="s">
        <v>32</v>
      </c>
      <c r="K1135">
        <v>45186</v>
      </c>
      <c r="L1135" t="s">
        <v>25</v>
      </c>
    </row>
    <row r="1136" spans="1:12" x14ac:dyDescent="0.3">
      <c r="A1136">
        <v>2004</v>
      </c>
      <c r="B1136" t="s">
        <v>20</v>
      </c>
      <c r="C1136">
        <v>7028</v>
      </c>
      <c r="D1136">
        <v>3729.8</v>
      </c>
      <c r="E1136">
        <v>38</v>
      </c>
      <c r="F1136" t="s">
        <v>36</v>
      </c>
      <c r="G1136" t="s">
        <v>21</v>
      </c>
      <c r="H1136">
        <v>1871</v>
      </c>
      <c r="I1136">
        <v>57</v>
      </c>
      <c r="J1136" t="s">
        <v>32</v>
      </c>
      <c r="K1136">
        <v>238542</v>
      </c>
      <c r="L1136" t="s">
        <v>25</v>
      </c>
    </row>
    <row r="1137" spans="1:12" x14ac:dyDescent="0.3">
      <c r="A1137">
        <v>2004</v>
      </c>
      <c r="B1137" t="s">
        <v>20</v>
      </c>
      <c r="C1137">
        <v>7403</v>
      </c>
      <c r="D1137">
        <v>2746.2</v>
      </c>
      <c r="E1137">
        <v>39</v>
      </c>
      <c r="F1137" t="s">
        <v>36</v>
      </c>
      <c r="G1137" t="s">
        <v>21</v>
      </c>
      <c r="H1137">
        <v>1868</v>
      </c>
      <c r="I1137">
        <v>57.5</v>
      </c>
      <c r="J1137" t="s">
        <v>32</v>
      </c>
      <c r="K1137">
        <v>1516</v>
      </c>
      <c r="L1137" t="s">
        <v>25</v>
      </c>
    </row>
    <row r="1138" spans="1:12" x14ac:dyDescent="0.3">
      <c r="A1138">
        <v>2004</v>
      </c>
      <c r="B1138" t="s">
        <v>20</v>
      </c>
      <c r="C1138">
        <v>7501</v>
      </c>
      <c r="D1138">
        <v>2746.2</v>
      </c>
      <c r="E1138">
        <v>39</v>
      </c>
      <c r="F1138" t="s">
        <v>36</v>
      </c>
      <c r="G1138" t="s">
        <v>21</v>
      </c>
      <c r="H1138">
        <v>127919</v>
      </c>
      <c r="I1138">
        <v>57</v>
      </c>
      <c r="J1138" t="s">
        <v>33</v>
      </c>
      <c r="K1138">
        <v>200000</v>
      </c>
      <c r="L1138" t="s">
        <v>25</v>
      </c>
    </row>
    <row r="1139" spans="1:12" x14ac:dyDescent="0.3">
      <c r="A1139">
        <v>2004</v>
      </c>
      <c r="B1139" t="s">
        <v>20</v>
      </c>
      <c r="C1139">
        <v>7714</v>
      </c>
      <c r="D1139">
        <v>2746.2</v>
      </c>
      <c r="E1139">
        <v>39</v>
      </c>
      <c r="F1139" t="s">
        <v>36</v>
      </c>
      <c r="G1139" t="s">
        <v>21</v>
      </c>
      <c r="H1139">
        <v>75340</v>
      </c>
      <c r="I1139">
        <v>55</v>
      </c>
      <c r="J1139" t="s">
        <v>33</v>
      </c>
      <c r="K1139">
        <v>4847</v>
      </c>
      <c r="L1139" t="s">
        <v>25</v>
      </c>
    </row>
    <row r="1140" spans="1:12" x14ac:dyDescent="0.3">
      <c r="A1140">
        <v>2004</v>
      </c>
      <c r="B1140" t="s">
        <v>20</v>
      </c>
      <c r="C1140">
        <v>7856</v>
      </c>
      <c r="D1140">
        <v>3360</v>
      </c>
      <c r="E1140">
        <v>40</v>
      </c>
      <c r="F1140" t="s">
        <v>36</v>
      </c>
      <c r="G1140" t="s">
        <v>21</v>
      </c>
      <c r="H1140">
        <v>29170</v>
      </c>
      <c r="I1140">
        <v>56</v>
      </c>
      <c r="J1140" t="s">
        <v>33</v>
      </c>
      <c r="K1140">
        <v>51239</v>
      </c>
      <c r="L1140" t="s">
        <v>25</v>
      </c>
    </row>
    <row r="1141" spans="1:12" x14ac:dyDescent="0.3">
      <c r="A1141">
        <v>2004</v>
      </c>
      <c r="B1141" t="s">
        <v>20</v>
      </c>
      <c r="C1141">
        <v>32</v>
      </c>
      <c r="D1141">
        <v>3360</v>
      </c>
      <c r="E1141">
        <v>40</v>
      </c>
      <c r="F1141" t="s">
        <v>36</v>
      </c>
      <c r="G1141" t="s">
        <v>21</v>
      </c>
      <c r="H1141">
        <v>1901</v>
      </c>
      <c r="I1141">
        <v>54</v>
      </c>
      <c r="J1141" t="s">
        <v>33</v>
      </c>
      <c r="K1141">
        <v>216396</v>
      </c>
      <c r="L1141" t="s">
        <v>25</v>
      </c>
    </row>
    <row r="1142" spans="1:12" x14ac:dyDescent="0.3">
      <c r="A1142">
        <v>2004</v>
      </c>
      <c r="B1142" t="s">
        <v>20</v>
      </c>
      <c r="C1142">
        <v>1</v>
      </c>
      <c r="D1142">
        <v>3360</v>
      </c>
      <c r="E1142">
        <v>40</v>
      </c>
      <c r="F1142" t="s">
        <v>36</v>
      </c>
      <c r="G1142" t="s">
        <v>21</v>
      </c>
      <c r="H1142">
        <v>972</v>
      </c>
      <c r="I1142">
        <v>58</v>
      </c>
      <c r="J1142" t="s">
        <v>33</v>
      </c>
      <c r="K1142">
        <v>2644</v>
      </c>
      <c r="L1142" t="s">
        <v>25</v>
      </c>
    </row>
    <row r="1143" spans="1:12" x14ac:dyDescent="0.3">
      <c r="A1143">
        <v>2004</v>
      </c>
      <c r="B1143" t="s">
        <v>20</v>
      </c>
      <c r="C1143">
        <v>30</v>
      </c>
      <c r="D1143">
        <v>3605.4</v>
      </c>
      <c r="E1143">
        <v>41</v>
      </c>
      <c r="F1143" t="s">
        <v>36</v>
      </c>
      <c r="G1143" t="s">
        <v>21</v>
      </c>
      <c r="H1143">
        <v>874</v>
      </c>
      <c r="I1143">
        <v>58</v>
      </c>
      <c r="J1143" t="s">
        <v>33</v>
      </c>
      <c r="K1143">
        <v>44235</v>
      </c>
      <c r="L1143" t="s">
        <v>25</v>
      </c>
    </row>
    <row r="1144" spans="1:12" x14ac:dyDescent="0.3">
      <c r="A1144">
        <v>2004</v>
      </c>
      <c r="B1144" t="s">
        <v>20</v>
      </c>
      <c r="C1144">
        <v>6</v>
      </c>
      <c r="D1144">
        <v>3605.4</v>
      </c>
      <c r="E1144">
        <v>41</v>
      </c>
      <c r="F1144" t="s">
        <v>36</v>
      </c>
      <c r="G1144" t="s">
        <v>21</v>
      </c>
      <c r="H1144">
        <v>592</v>
      </c>
      <c r="I1144">
        <v>59</v>
      </c>
      <c r="J1144" t="s">
        <v>33</v>
      </c>
      <c r="K1144">
        <v>203317</v>
      </c>
      <c r="L1144" t="s">
        <v>25</v>
      </c>
    </row>
    <row r="1145" spans="1:12" x14ac:dyDescent="0.3">
      <c r="A1145">
        <v>2004</v>
      </c>
      <c r="B1145" t="s">
        <v>20</v>
      </c>
      <c r="C1145">
        <v>15</v>
      </c>
      <c r="D1145">
        <v>3605.4</v>
      </c>
      <c r="E1145">
        <v>41</v>
      </c>
      <c r="F1145" t="s">
        <v>36</v>
      </c>
      <c r="G1145" t="s">
        <v>21</v>
      </c>
      <c r="H1145">
        <v>864</v>
      </c>
      <c r="I1145">
        <v>50</v>
      </c>
      <c r="J1145" t="s">
        <v>33</v>
      </c>
      <c r="K1145">
        <v>2134</v>
      </c>
      <c r="L1145" t="s">
        <v>25</v>
      </c>
    </row>
    <row r="1146" spans="1:12" x14ac:dyDescent="0.3">
      <c r="A1146">
        <v>2004</v>
      </c>
      <c r="B1146" t="s">
        <v>20</v>
      </c>
      <c r="C1146">
        <v>4</v>
      </c>
      <c r="D1146">
        <v>3512.4</v>
      </c>
      <c r="E1146">
        <v>42</v>
      </c>
      <c r="F1146" t="s">
        <v>36</v>
      </c>
      <c r="G1146" t="s">
        <v>21</v>
      </c>
      <c r="H1146">
        <v>5373</v>
      </c>
      <c r="I1146">
        <v>54</v>
      </c>
      <c r="J1146" t="s">
        <v>33</v>
      </c>
      <c r="K1146">
        <v>45186</v>
      </c>
      <c r="L1146" t="s">
        <v>25</v>
      </c>
    </row>
    <row r="1147" spans="1:12" x14ac:dyDescent="0.3">
      <c r="A1147">
        <v>2004</v>
      </c>
      <c r="B1147" t="s">
        <v>20</v>
      </c>
      <c r="C1147">
        <v>39</v>
      </c>
      <c r="D1147">
        <v>3512.4</v>
      </c>
      <c r="E1147">
        <v>42</v>
      </c>
      <c r="F1147" t="s">
        <v>36</v>
      </c>
      <c r="G1147" t="s">
        <v>21</v>
      </c>
      <c r="H1147">
        <v>6589</v>
      </c>
      <c r="I1147">
        <v>53</v>
      </c>
      <c r="J1147" t="s">
        <v>33</v>
      </c>
      <c r="K1147">
        <v>238542</v>
      </c>
      <c r="L1147" t="s">
        <v>25</v>
      </c>
    </row>
    <row r="1148" spans="1:12" x14ac:dyDescent="0.3">
      <c r="A1148">
        <v>2004</v>
      </c>
      <c r="B1148" t="s">
        <v>20</v>
      </c>
      <c r="C1148">
        <v>6</v>
      </c>
      <c r="D1148">
        <v>3512.4</v>
      </c>
      <c r="E1148">
        <v>42</v>
      </c>
      <c r="F1148" t="s">
        <v>36</v>
      </c>
      <c r="G1148" t="s">
        <v>21</v>
      </c>
      <c r="H1148">
        <v>5107</v>
      </c>
      <c r="I1148">
        <v>52</v>
      </c>
      <c r="J1148" t="s">
        <v>33</v>
      </c>
      <c r="K1148">
        <v>1516</v>
      </c>
      <c r="L1148" t="s">
        <v>25</v>
      </c>
    </row>
    <row r="1149" spans="1:12" x14ac:dyDescent="0.3">
      <c r="A1149">
        <v>2004</v>
      </c>
      <c r="B1149" t="s">
        <v>20</v>
      </c>
      <c r="C1149">
        <v>12</v>
      </c>
      <c r="D1149">
        <v>3296</v>
      </c>
      <c r="E1149">
        <v>43</v>
      </c>
      <c r="F1149" t="s">
        <v>36</v>
      </c>
      <c r="G1149" t="s">
        <v>21</v>
      </c>
      <c r="H1149">
        <v>5518</v>
      </c>
      <c r="I1149">
        <v>51</v>
      </c>
      <c r="J1149" t="s">
        <v>33</v>
      </c>
      <c r="K1149">
        <v>57259</v>
      </c>
      <c r="L1149" t="s">
        <v>25</v>
      </c>
    </row>
    <row r="1150" spans="1:12" x14ac:dyDescent="0.3">
      <c r="A1150">
        <v>2004</v>
      </c>
      <c r="B1150" t="s">
        <v>20</v>
      </c>
      <c r="C1150">
        <v>3</v>
      </c>
      <c r="D1150">
        <v>3296</v>
      </c>
      <c r="E1150">
        <v>27</v>
      </c>
      <c r="F1150" t="s">
        <v>36</v>
      </c>
      <c r="G1150" t="s">
        <v>21</v>
      </c>
      <c r="H1150">
        <v>4912</v>
      </c>
      <c r="I1150">
        <v>57</v>
      </c>
      <c r="J1150" t="s">
        <v>33</v>
      </c>
      <c r="K1150">
        <v>234779</v>
      </c>
      <c r="L1150" t="s">
        <v>25</v>
      </c>
    </row>
    <row r="1151" spans="1:12" x14ac:dyDescent="0.3">
      <c r="A1151">
        <v>2004</v>
      </c>
      <c r="B1151" t="s">
        <v>20</v>
      </c>
      <c r="C1151">
        <v>17</v>
      </c>
      <c r="D1151">
        <v>3296</v>
      </c>
      <c r="E1151">
        <v>27</v>
      </c>
      <c r="F1151" t="s">
        <v>36</v>
      </c>
      <c r="G1151" t="s">
        <v>21</v>
      </c>
      <c r="H1151">
        <v>3830</v>
      </c>
      <c r="I1151">
        <v>57</v>
      </c>
      <c r="J1151" t="s">
        <v>33</v>
      </c>
      <c r="K1151">
        <v>1493</v>
      </c>
      <c r="L1151" t="s">
        <v>25</v>
      </c>
    </row>
    <row r="1152" spans="1:12" x14ac:dyDescent="0.3">
      <c r="A1152">
        <v>2004</v>
      </c>
      <c r="B1152" t="s">
        <v>20</v>
      </c>
      <c r="C1152">
        <v>3</v>
      </c>
      <c r="D1152">
        <v>3550</v>
      </c>
      <c r="E1152">
        <v>27</v>
      </c>
      <c r="F1152" t="s">
        <v>36</v>
      </c>
      <c r="G1152" t="s">
        <v>21</v>
      </c>
      <c r="H1152">
        <v>4</v>
      </c>
      <c r="I1152">
        <v>60</v>
      </c>
      <c r="J1152" t="s">
        <v>33</v>
      </c>
      <c r="K1152">
        <v>64409</v>
      </c>
      <c r="L1152" t="s">
        <v>25</v>
      </c>
    </row>
    <row r="1153" spans="1:12" x14ac:dyDescent="0.3">
      <c r="A1153">
        <v>2004</v>
      </c>
      <c r="B1153" t="s">
        <v>20</v>
      </c>
      <c r="C1153">
        <v>9</v>
      </c>
      <c r="D1153">
        <v>3550</v>
      </c>
      <c r="E1153">
        <v>27</v>
      </c>
      <c r="F1153" t="s">
        <v>36</v>
      </c>
      <c r="G1153" t="s">
        <v>21</v>
      </c>
      <c r="H1153">
        <v>9</v>
      </c>
      <c r="I1153">
        <v>57</v>
      </c>
      <c r="J1153" t="s">
        <v>35</v>
      </c>
      <c r="K1153">
        <v>249978</v>
      </c>
      <c r="L1153" t="s">
        <v>25</v>
      </c>
    </row>
    <row r="1154" spans="1:12" x14ac:dyDescent="0.3">
      <c r="A1154">
        <v>2004</v>
      </c>
      <c r="B1154" t="s">
        <v>20</v>
      </c>
      <c r="C1154">
        <v>21</v>
      </c>
      <c r="D1154">
        <v>3550</v>
      </c>
      <c r="E1154">
        <v>27</v>
      </c>
      <c r="F1154" t="s">
        <v>36</v>
      </c>
      <c r="G1154" t="s">
        <v>21</v>
      </c>
      <c r="H1154">
        <v>12</v>
      </c>
      <c r="I1154">
        <v>57</v>
      </c>
      <c r="J1154" t="s">
        <v>35</v>
      </c>
      <c r="K1154">
        <v>637</v>
      </c>
      <c r="L1154" t="s">
        <v>25</v>
      </c>
    </row>
    <row r="1155" spans="1:12" x14ac:dyDescent="0.3">
      <c r="A1155">
        <v>2004</v>
      </c>
      <c r="B1155" t="s">
        <v>20</v>
      </c>
      <c r="C1155">
        <v>11</v>
      </c>
      <c r="D1155">
        <v>3654</v>
      </c>
      <c r="E1155">
        <v>27</v>
      </c>
      <c r="F1155" t="s">
        <v>36</v>
      </c>
      <c r="G1155" t="s">
        <v>21</v>
      </c>
      <c r="H1155">
        <v>2089</v>
      </c>
      <c r="I1155">
        <v>54</v>
      </c>
      <c r="J1155" t="s">
        <v>35</v>
      </c>
      <c r="K1155">
        <v>43311</v>
      </c>
      <c r="L1155" t="s">
        <v>25</v>
      </c>
    </row>
    <row r="1156" spans="1:12" x14ac:dyDescent="0.3">
      <c r="A1156">
        <v>2004</v>
      </c>
      <c r="B1156" t="s">
        <v>23</v>
      </c>
      <c r="C1156">
        <v>4</v>
      </c>
      <c r="D1156">
        <v>3654</v>
      </c>
      <c r="E1156">
        <v>27.2</v>
      </c>
      <c r="F1156" t="s">
        <v>36</v>
      </c>
      <c r="G1156" t="s">
        <v>21</v>
      </c>
      <c r="H1156">
        <v>2810</v>
      </c>
      <c r="I1156">
        <v>54.5</v>
      </c>
      <c r="J1156" t="s">
        <v>35</v>
      </c>
      <c r="K1156">
        <v>24848</v>
      </c>
      <c r="L1156" t="s">
        <v>25</v>
      </c>
    </row>
    <row r="1157" spans="1:12" x14ac:dyDescent="0.3">
      <c r="A1157">
        <v>2004</v>
      </c>
      <c r="B1157" t="s">
        <v>23</v>
      </c>
      <c r="C1157">
        <v>15</v>
      </c>
      <c r="D1157">
        <v>3654</v>
      </c>
      <c r="E1157">
        <v>27.2</v>
      </c>
      <c r="F1157" t="s">
        <v>36</v>
      </c>
      <c r="G1157" t="s">
        <v>21</v>
      </c>
      <c r="H1157">
        <v>841</v>
      </c>
      <c r="I1157">
        <v>56.6</v>
      </c>
      <c r="J1157" t="s">
        <v>35</v>
      </c>
      <c r="K1157">
        <v>761</v>
      </c>
      <c r="L1157" t="s">
        <v>25</v>
      </c>
    </row>
    <row r="1158" spans="1:12" x14ac:dyDescent="0.3">
      <c r="A1158">
        <v>2004</v>
      </c>
      <c r="B1158" t="s">
        <v>23</v>
      </c>
      <c r="C1158">
        <v>8</v>
      </c>
      <c r="D1158">
        <v>233</v>
      </c>
      <c r="E1158">
        <v>27.2</v>
      </c>
      <c r="F1158" t="s">
        <v>36</v>
      </c>
      <c r="G1158" t="s">
        <v>21</v>
      </c>
      <c r="H1158">
        <v>3550</v>
      </c>
      <c r="I1158">
        <v>55.5</v>
      </c>
      <c r="J1158" t="s">
        <v>35</v>
      </c>
      <c r="K1158">
        <v>45608</v>
      </c>
      <c r="L1158" t="s">
        <v>25</v>
      </c>
    </row>
    <row r="1159" spans="1:12" x14ac:dyDescent="0.3">
      <c r="A1159">
        <v>2004</v>
      </c>
      <c r="B1159" t="s">
        <v>23</v>
      </c>
      <c r="C1159">
        <v>29</v>
      </c>
      <c r="D1159">
        <v>233</v>
      </c>
      <c r="E1159">
        <v>27</v>
      </c>
      <c r="F1159" t="s">
        <v>36</v>
      </c>
      <c r="G1159" t="s">
        <v>21</v>
      </c>
      <c r="H1159">
        <v>109</v>
      </c>
      <c r="I1159">
        <v>58.5</v>
      </c>
      <c r="J1159" t="s">
        <v>35</v>
      </c>
      <c r="K1159">
        <v>234581</v>
      </c>
      <c r="L1159" t="s">
        <v>25</v>
      </c>
    </row>
    <row r="1160" spans="1:12" x14ac:dyDescent="0.3">
      <c r="A1160">
        <v>2004</v>
      </c>
      <c r="B1160" t="s">
        <v>23</v>
      </c>
      <c r="C1160">
        <v>1</v>
      </c>
      <c r="D1160">
        <v>233</v>
      </c>
      <c r="E1160">
        <v>27</v>
      </c>
      <c r="F1160" t="s">
        <v>36</v>
      </c>
      <c r="G1160" t="s">
        <v>21</v>
      </c>
      <c r="H1160">
        <v>3368</v>
      </c>
      <c r="I1160">
        <v>59.5</v>
      </c>
      <c r="J1160" t="s">
        <v>35</v>
      </c>
      <c r="K1160">
        <v>646</v>
      </c>
      <c r="L1160" t="s">
        <v>25</v>
      </c>
    </row>
    <row r="1161" spans="1:12" x14ac:dyDescent="0.3">
      <c r="A1161">
        <v>2004</v>
      </c>
      <c r="B1161" t="s">
        <v>23</v>
      </c>
      <c r="C1161">
        <v>13736</v>
      </c>
      <c r="D1161">
        <v>234</v>
      </c>
      <c r="E1161">
        <v>27</v>
      </c>
      <c r="F1161" t="s">
        <v>36</v>
      </c>
      <c r="G1161" t="s">
        <v>21</v>
      </c>
      <c r="H1161">
        <v>3671</v>
      </c>
      <c r="I1161">
        <v>55</v>
      </c>
      <c r="J1161" t="s">
        <v>35</v>
      </c>
      <c r="K1161">
        <v>43562</v>
      </c>
      <c r="L1161" t="s">
        <v>25</v>
      </c>
    </row>
    <row r="1162" spans="1:12" x14ac:dyDescent="0.3">
      <c r="A1162">
        <v>2004</v>
      </c>
      <c r="B1162" t="s">
        <v>23</v>
      </c>
      <c r="C1162">
        <v>14003</v>
      </c>
      <c r="D1162">
        <v>234</v>
      </c>
      <c r="E1162">
        <v>27</v>
      </c>
      <c r="F1162" t="s">
        <v>36</v>
      </c>
      <c r="G1162" t="s">
        <v>21</v>
      </c>
      <c r="H1162">
        <v>2404</v>
      </c>
      <c r="I1162">
        <v>53</v>
      </c>
      <c r="J1162" t="s">
        <v>35</v>
      </c>
      <c r="K1162">
        <v>200000</v>
      </c>
      <c r="L1162" t="s">
        <v>25</v>
      </c>
    </row>
    <row r="1163" spans="1:12" x14ac:dyDescent="0.3">
      <c r="A1163">
        <v>2004</v>
      </c>
      <c r="B1163" t="s">
        <v>23</v>
      </c>
      <c r="C1163">
        <v>14179</v>
      </c>
      <c r="D1163">
        <v>234</v>
      </c>
      <c r="E1163">
        <v>27</v>
      </c>
      <c r="F1163" t="s">
        <v>36</v>
      </c>
      <c r="G1163" t="s">
        <v>21</v>
      </c>
      <c r="H1163">
        <v>2805</v>
      </c>
      <c r="I1163">
        <v>53.5</v>
      </c>
      <c r="J1163" t="s">
        <v>35</v>
      </c>
      <c r="K1163">
        <v>4847</v>
      </c>
      <c r="L1163" t="s">
        <v>25</v>
      </c>
    </row>
    <row r="1164" spans="1:12" x14ac:dyDescent="0.3">
      <c r="A1164">
        <v>2004</v>
      </c>
      <c r="B1164" t="s">
        <v>23</v>
      </c>
      <c r="C1164">
        <v>14319</v>
      </c>
      <c r="D1164">
        <v>3105</v>
      </c>
      <c r="E1164">
        <v>27</v>
      </c>
      <c r="F1164" t="s">
        <v>36</v>
      </c>
      <c r="G1164" t="s">
        <v>21</v>
      </c>
      <c r="H1164">
        <v>2331</v>
      </c>
      <c r="I1164">
        <v>52.5</v>
      </c>
      <c r="J1164" t="s">
        <v>35</v>
      </c>
      <c r="K1164">
        <v>51239</v>
      </c>
      <c r="L1164" t="s">
        <v>25</v>
      </c>
    </row>
    <row r="1165" spans="1:12" x14ac:dyDescent="0.3">
      <c r="A1165">
        <v>2004</v>
      </c>
      <c r="B1165" t="s">
        <v>23</v>
      </c>
      <c r="C1165">
        <v>14464</v>
      </c>
      <c r="D1165">
        <v>3105</v>
      </c>
      <c r="E1165">
        <v>27.2</v>
      </c>
      <c r="F1165" t="s">
        <v>36</v>
      </c>
      <c r="G1165" t="s">
        <v>21</v>
      </c>
      <c r="H1165">
        <v>2088</v>
      </c>
      <c r="I1165">
        <v>56</v>
      </c>
      <c r="J1165" t="s">
        <v>35</v>
      </c>
      <c r="K1165">
        <v>216396</v>
      </c>
      <c r="L1165" t="s">
        <v>25</v>
      </c>
    </row>
    <row r="1166" spans="1:12" x14ac:dyDescent="0.3">
      <c r="A1166">
        <v>2004</v>
      </c>
      <c r="B1166" t="s">
        <v>23</v>
      </c>
      <c r="C1166">
        <v>14876</v>
      </c>
      <c r="D1166">
        <v>3105</v>
      </c>
      <c r="E1166">
        <v>27.2</v>
      </c>
      <c r="F1166" t="s">
        <v>27</v>
      </c>
      <c r="G1166" t="s">
        <v>21</v>
      </c>
      <c r="H1166">
        <v>2628</v>
      </c>
      <c r="I1166">
        <v>57</v>
      </c>
      <c r="J1166" t="s">
        <v>35</v>
      </c>
      <c r="K1166">
        <v>2644</v>
      </c>
      <c r="L1166" t="s">
        <v>25</v>
      </c>
    </row>
    <row r="1167" spans="1:12" x14ac:dyDescent="0.3">
      <c r="A1167">
        <v>2004</v>
      </c>
      <c r="B1167" t="s">
        <v>23</v>
      </c>
      <c r="C1167">
        <v>14976</v>
      </c>
      <c r="D1167">
        <v>236</v>
      </c>
      <c r="E1167">
        <v>27.2</v>
      </c>
      <c r="F1167" t="s">
        <v>27</v>
      </c>
      <c r="G1167" t="s">
        <v>21</v>
      </c>
      <c r="H1167">
        <v>1939</v>
      </c>
      <c r="I1167">
        <v>57.5</v>
      </c>
      <c r="J1167" t="s">
        <v>35</v>
      </c>
      <c r="K1167">
        <v>44235</v>
      </c>
      <c r="L1167" t="s">
        <v>25</v>
      </c>
    </row>
    <row r="1168" spans="1:12" x14ac:dyDescent="0.3">
      <c r="A1168">
        <v>2004</v>
      </c>
      <c r="B1168" t="s">
        <v>23</v>
      </c>
      <c r="C1168">
        <v>15009</v>
      </c>
      <c r="D1168">
        <v>236</v>
      </c>
      <c r="E1168">
        <v>27.1</v>
      </c>
      <c r="F1168" t="s">
        <v>27</v>
      </c>
      <c r="G1168" t="s">
        <v>21</v>
      </c>
      <c r="H1168">
        <v>1871</v>
      </c>
      <c r="I1168">
        <v>57</v>
      </c>
      <c r="J1168" t="s">
        <v>37</v>
      </c>
      <c r="K1168">
        <v>203317</v>
      </c>
      <c r="L1168" t="s">
        <v>25</v>
      </c>
    </row>
    <row r="1169" spans="1:12" x14ac:dyDescent="0.3">
      <c r="A1169">
        <v>2004</v>
      </c>
      <c r="B1169" t="s">
        <v>23</v>
      </c>
      <c r="C1169">
        <v>15114</v>
      </c>
      <c r="D1169">
        <v>2903.1</v>
      </c>
      <c r="E1169">
        <v>27.1</v>
      </c>
      <c r="F1169" t="s">
        <v>27</v>
      </c>
      <c r="G1169" t="s">
        <v>21</v>
      </c>
      <c r="H1169">
        <v>1868</v>
      </c>
      <c r="I1169">
        <v>55</v>
      </c>
      <c r="J1169" t="s">
        <v>37</v>
      </c>
      <c r="K1169">
        <v>2134</v>
      </c>
      <c r="L1169" t="s">
        <v>25</v>
      </c>
    </row>
    <row r="1170" spans="1:12" x14ac:dyDescent="0.3">
      <c r="A1170">
        <v>2004</v>
      </c>
      <c r="B1170" t="s">
        <v>23</v>
      </c>
      <c r="C1170">
        <v>16224</v>
      </c>
      <c r="D1170">
        <v>2903.1</v>
      </c>
      <c r="E1170">
        <v>27.1</v>
      </c>
      <c r="F1170" t="s">
        <v>27</v>
      </c>
      <c r="G1170" t="s">
        <v>21</v>
      </c>
      <c r="H1170">
        <v>127919</v>
      </c>
      <c r="I1170">
        <v>56</v>
      </c>
      <c r="J1170" t="s">
        <v>37</v>
      </c>
      <c r="K1170">
        <v>45186</v>
      </c>
      <c r="L1170" t="s">
        <v>25</v>
      </c>
    </row>
    <row r="1171" spans="1:12" x14ac:dyDescent="0.3">
      <c r="A1171">
        <v>2004</v>
      </c>
      <c r="B1171" t="s">
        <v>23</v>
      </c>
      <c r="C1171">
        <v>17095</v>
      </c>
      <c r="D1171">
        <v>2903.1</v>
      </c>
      <c r="E1171">
        <v>26.8</v>
      </c>
      <c r="F1171" t="s">
        <v>27</v>
      </c>
      <c r="G1171" t="s">
        <v>21</v>
      </c>
      <c r="H1171">
        <v>75340</v>
      </c>
      <c r="I1171">
        <v>54</v>
      </c>
      <c r="J1171" t="s">
        <v>37</v>
      </c>
      <c r="K1171">
        <v>238542</v>
      </c>
      <c r="L1171" t="s">
        <v>25</v>
      </c>
    </row>
    <row r="1172" spans="1:12" x14ac:dyDescent="0.3">
      <c r="A1172">
        <v>2004</v>
      </c>
      <c r="B1172" t="s">
        <v>23</v>
      </c>
      <c r="C1172">
        <v>17512</v>
      </c>
      <c r="D1172">
        <v>2996.6</v>
      </c>
      <c r="E1172">
        <v>26.8</v>
      </c>
      <c r="F1172" t="s">
        <v>27</v>
      </c>
      <c r="G1172" t="s">
        <v>21</v>
      </c>
      <c r="H1172">
        <v>29170</v>
      </c>
      <c r="I1172">
        <v>58</v>
      </c>
      <c r="J1172" t="s">
        <v>37</v>
      </c>
      <c r="K1172">
        <v>1516</v>
      </c>
      <c r="L1172" t="s">
        <v>25</v>
      </c>
    </row>
    <row r="1173" spans="1:12" x14ac:dyDescent="0.3">
      <c r="A1173">
        <v>2004</v>
      </c>
      <c r="B1173" t="s">
        <v>23</v>
      </c>
      <c r="C1173">
        <v>17587</v>
      </c>
      <c r="D1173">
        <v>2996.6</v>
      </c>
      <c r="E1173">
        <v>26.8</v>
      </c>
      <c r="F1173" t="s">
        <v>27</v>
      </c>
      <c r="G1173" t="s">
        <v>21</v>
      </c>
      <c r="H1173">
        <v>1901</v>
      </c>
      <c r="I1173">
        <v>58</v>
      </c>
      <c r="J1173" t="s">
        <v>37</v>
      </c>
      <c r="K1173">
        <v>57259</v>
      </c>
      <c r="L1173" t="s">
        <v>25</v>
      </c>
    </row>
    <row r="1174" spans="1:12" x14ac:dyDescent="0.3">
      <c r="A1174">
        <v>2004</v>
      </c>
      <c r="B1174" t="s">
        <v>23</v>
      </c>
      <c r="C1174">
        <v>17771</v>
      </c>
      <c r="D1174">
        <v>2996.6</v>
      </c>
      <c r="E1174">
        <v>37</v>
      </c>
      <c r="F1174" t="s">
        <v>27</v>
      </c>
      <c r="G1174" t="s">
        <v>26</v>
      </c>
      <c r="H1174">
        <v>972</v>
      </c>
      <c r="I1174">
        <v>59</v>
      </c>
      <c r="J1174" t="s">
        <v>37</v>
      </c>
      <c r="K1174">
        <v>234779</v>
      </c>
      <c r="L1174" t="s">
        <v>25</v>
      </c>
    </row>
    <row r="1175" spans="1:12" x14ac:dyDescent="0.3">
      <c r="A1175">
        <v>2004</v>
      </c>
      <c r="B1175" t="s">
        <v>23</v>
      </c>
      <c r="C1175">
        <v>17825</v>
      </c>
      <c r="D1175">
        <v>3522.8</v>
      </c>
      <c r="E1175">
        <v>37</v>
      </c>
      <c r="F1175" t="s">
        <v>27</v>
      </c>
      <c r="G1175" t="s">
        <v>26</v>
      </c>
      <c r="H1175">
        <v>874</v>
      </c>
      <c r="I1175">
        <v>50</v>
      </c>
      <c r="J1175" t="s">
        <v>37</v>
      </c>
      <c r="K1175">
        <v>1493</v>
      </c>
      <c r="L1175" t="s">
        <v>25</v>
      </c>
    </row>
    <row r="1176" spans="1:12" x14ac:dyDescent="0.3">
      <c r="A1176">
        <v>2004</v>
      </c>
      <c r="B1176" t="s">
        <v>23</v>
      </c>
      <c r="C1176">
        <v>3147</v>
      </c>
      <c r="D1176">
        <v>3522.8</v>
      </c>
      <c r="E1176">
        <v>37</v>
      </c>
      <c r="F1176" t="s">
        <v>27</v>
      </c>
      <c r="G1176" t="s">
        <v>26</v>
      </c>
      <c r="H1176">
        <v>592</v>
      </c>
      <c r="I1176">
        <v>54</v>
      </c>
      <c r="J1176" t="s">
        <v>37</v>
      </c>
      <c r="K1176">
        <v>64409</v>
      </c>
      <c r="L1176" t="s">
        <v>25</v>
      </c>
    </row>
    <row r="1177" spans="1:12" x14ac:dyDescent="0.3">
      <c r="A1177">
        <v>2004</v>
      </c>
      <c r="B1177" t="s">
        <v>23</v>
      </c>
      <c r="C1177">
        <v>2578</v>
      </c>
      <c r="D1177">
        <v>3522.8</v>
      </c>
      <c r="E1177">
        <v>38</v>
      </c>
      <c r="F1177" t="s">
        <v>27</v>
      </c>
      <c r="G1177" t="s">
        <v>26</v>
      </c>
      <c r="H1177">
        <v>864</v>
      </c>
      <c r="I1177">
        <v>53</v>
      </c>
      <c r="J1177" t="s">
        <v>37</v>
      </c>
      <c r="K1177">
        <v>249978</v>
      </c>
      <c r="L1177" t="s">
        <v>25</v>
      </c>
    </row>
    <row r="1178" spans="1:12" x14ac:dyDescent="0.3">
      <c r="A1178">
        <v>2004</v>
      </c>
      <c r="B1178" t="s">
        <v>23</v>
      </c>
      <c r="C1178">
        <v>1591</v>
      </c>
      <c r="D1178">
        <v>2903.1</v>
      </c>
      <c r="E1178">
        <v>38</v>
      </c>
      <c r="F1178" t="s">
        <v>27</v>
      </c>
      <c r="G1178" t="s">
        <v>26</v>
      </c>
      <c r="H1178">
        <v>5373</v>
      </c>
      <c r="I1178">
        <v>52</v>
      </c>
      <c r="J1178" t="s">
        <v>37</v>
      </c>
      <c r="K1178">
        <v>637</v>
      </c>
      <c r="L1178" t="s">
        <v>25</v>
      </c>
    </row>
    <row r="1179" spans="1:12" x14ac:dyDescent="0.3">
      <c r="A1179">
        <v>2004</v>
      </c>
      <c r="B1179" t="s">
        <v>23</v>
      </c>
      <c r="C1179">
        <v>1298</v>
      </c>
      <c r="D1179">
        <v>2903.1</v>
      </c>
      <c r="E1179">
        <v>38</v>
      </c>
      <c r="F1179" t="s">
        <v>27</v>
      </c>
      <c r="G1179" t="s">
        <v>26</v>
      </c>
      <c r="H1179">
        <v>6589</v>
      </c>
      <c r="I1179">
        <v>51</v>
      </c>
      <c r="J1179" t="s">
        <v>37</v>
      </c>
      <c r="K1179">
        <v>43311</v>
      </c>
      <c r="L1179" t="s">
        <v>25</v>
      </c>
    </row>
    <row r="1180" spans="1:12" x14ac:dyDescent="0.3">
      <c r="A1180">
        <v>2004</v>
      </c>
      <c r="B1180" t="s">
        <v>23</v>
      </c>
      <c r="C1180">
        <v>4</v>
      </c>
      <c r="D1180">
        <v>2903.1</v>
      </c>
      <c r="E1180">
        <v>39</v>
      </c>
      <c r="F1180" t="s">
        <v>27</v>
      </c>
      <c r="G1180" t="s">
        <v>26</v>
      </c>
      <c r="H1180">
        <v>5107</v>
      </c>
      <c r="I1180">
        <v>57</v>
      </c>
      <c r="J1180" t="s">
        <v>37</v>
      </c>
      <c r="K1180">
        <v>24848</v>
      </c>
      <c r="L1180" t="s">
        <v>25</v>
      </c>
    </row>
    <row r="1181" spans="1:12" x14ac:dyDescent="0.3">
      <c r="A1181">
        <v>2004</v>
      </c>
      <c r="B1181" t="s">
        <v>23</v>
      </c>
      <c r="C1181">
        <v>1122</v>
      </c>
      <c r="D1181">
        <v>2996.6</v>
      </c>
      <c r="E1181">
        <v>39</v>
      </c>
      <c r="F1181" t="s">
        <v>27</v>
      </c>
      <c r="G1181" t="s">
        <v>26</v>
      </c>
      <c r="H1181">
        <v>5518</v>
      </c>
      <c r="I1181">
        <v>57</v>
      </c>
      <c r="J1181" t="s">
        <v>37</v>
      </c>
      <c r="K1181">
        <v>761</v>
      </c>
      <c r="L1181" t="s">
        <v>22</v>
      </c>
    </row>
    <row r="1182" spans="1:12" x14ac:dyDescent="0.3">
      <c r="A1182">
        <v>2004</v>
      </c>
      <c r="B1182" t="s">
        <v>23</v>
      </c>
      <c r="C1182">
        <v>917</v>
      </c>
      <c r="D1182">
        <v>2996.6</v>
      </c>
      <c r="E1182">
        <v>39</v>
      </c>
      <c r="F1182" t="s">
        <v>27</v>
      </c>
      <c r="G1182" t="s">
        <v>26</v>
      </c>
      <c r="H1182">
        <v>4912</v>
      </c>
      <c r="I1182">
        <v>60</v>
      </c>
      <c r="J1182" t="s">
        <v>37</v>
      </c>
      <c r="K1182">
        <v>45608</v>
      </c>
      <c r="L1182" t="s">
        <v>22</v>
      </c>
    </row>
    <row r="1183" spans="1:12" x14ac:dyDescent="0.3">
      <c r="A1183">
        <v>2004</v>
      </c>
      <c r="B1183" t="s">
        <v>23</v>
      </c>
      <c r="C1183">
        <v>819</v>
      </c>
      <c r="D1183">
        <v>2996.6</v>
      </c>
      <c r="E1183">
        <v>40</v>
      </c>
      <c r="F1183" t="s">
        <v>27</v>
      </c>
      <c r="G1183" t="s">
        <v>26</v>
      </c>
      <c r="H1183">
        <v>3830</v>
      </c>
      <c r="I1183">
        <v>57</v>
      </c>
      <c r="J1183" t="s">
        <v>39</v>
      </c>
      <c r="K1183">
        <v>234581</v>
      </c>
      <c r="L1183" t="s">
        <v>22</v>
      </c>
    </row>
    <row r="1184" spans="1:12" x14ac:dyDescent="0.3">
      <c r="A1184">
        <v>2004</v>
      </c>
      <c r="B1184" t="s">
        <v>23</v>
      </c>
      <c r="C1184">
        <v>619</v>
      </c>
      <c r="D1184">
        <v>3522.8</v>
      </c>
      <c r="E1184">
        <v>40</v>
      </c>
      <c r="F1184" t="s">
        <v>27</v>
      </c>
      <c r="G1184" t="s">
        <v>26</v>
      </c>
      <c r="H1184">
        <v>313547</v>
      </c>
      <c r="I1184">
        <v>57</v>
      </c>
      <c r="J1184" t="s">
        <v>39</v>
      </c>
      <c r="K1184">
        <v>646</v>
      </c>
      <c r="L1184" t="s">
        <v>22</v>
      </c>
    </row>
    <row r="1185" spans="1:12" x14ac:dyDescent="0.3">
      <c r="A1185">
        <v>2013</v>
      </c>
      <c r="B1185" t="s">
        <v>23</v>
      </c>
      <c r="C1185">
        <v>391</v>
      </c>
      <c r="D1185">
        <v>3522.8</v>
      </c>
      <c r="E1185">
        <v>40</v>
      </c>
      <c r="F1185" t="s">
        <v>27</v>
      </c>
      <c r="G1185" t="s">
        <v>26</v>
      </c>
      <c r="H1185">
        <v>2783</v>
      </c>
      <c r="I1185">
        <v>54</v>
      </c>
      <c r="J1185" t="s">
        <v>39</v>
      </c>
      <c r="K1185">
        <v>43562</v>
      </c>
      <c r="L1185" t="s">
        <v>22</v>
      </c>
    </row>
    <row r="1186" spans="1:12" x14ac:dyDescent="0.3">
      <c r="A1186">
        <v>2014</v>
      </c>
      <c r="B1186" t="s">
        <v>23</v>
      </c>
      <c r="C1186">
        <v>211</v>
      </c>
      <c r="D1186">
        <v>3522.8</v>
      </c>
      <c r="E1186">
        <v>41</v>
      </c>
      <c r="F1186" t="s">
        <v>27</v>
      </c>
      <c r="G1186" t="s">
        <v>26</v>
      </c>
      <c r="H1186">
        <v>1533</v>
      </c>
      <c r="I1186">
        <v>54.5</v>
      </c>
      <c r="J1186" t="s">
        <v>39</v>
      </c>
      <c r="K1186">
        <v>200000</v>
      </c>
      <c r="L1186" t="s">
        <v>22</v>
      </c>
    </row>
    <row r="1187" spans="1:12" x14ac:dyDescent="0.3">
      <c r="A1187">
        <v>2015</v>
      </c>
      <c r="B1187" t="s">
        <v>23</v>
      </c>
      <c r="C1187">
        <v>153</v>
      </c>
      <c r="D1187">
        <v>3729.8</v>
      </c>
      <c r="E1187">
        <v>41</v>
      </c>
      <c r="F1187" t="s">
        <v>27</v>
      </c>
      <c r="G1187" t="s">
        <v>26</v>
      </c>
      <c r="H1187">
        <v>1647</v>
      </c>
      <c r="I1187">
        <v>56.6</v>
      </c>
      <c r="J1187" t="s">
        <v>39</v>
      </c>
      <c r="K1187">
        <v>4847</v>
      </c>
      <c r="L1187" t="s">
        <v>22</v>
      </c>
    </row>
    <row r="1188" spans="1:12" x14ac:dyDescent="0.3">
      <c r="A1188">
        <v>2016</v>
      </c>
      <c r="B1188" t="s">
        <v>23</v>
      </c>
      <c r="C1188">
        <v>111</v>
      </c>
      <c r="D1188">
        <v>3729.8</v>
      </c>
      <c r="E1188">
        <v>41</v>
      </c>
      <c r="F1188" t="s">
        <v>27</v>
      </c>
      <c r="G1188" t="s">
        <v>26</v>
      </c>
      <c r="H1188">
        <v>975</v>
      </c>
      <c r="I1188">
        <v>55.5</v>
      </c>
      <c r="J1188" t="s">
        <v>39</v>
      </c>
      <c r="K1188">
        <v>51239</v>
      </c>
      <c r="L1188" t="s">
        <v>22</v>
      </c>
    </row>
    <row r="1189" spans="1:12" x14ac:dyDescent="0.3">
      <c r="A1189">
        <v>2017</v>
      </c>
      <c r="B1189" t="s">
        <v>23</v>
      </c>
      <c r="C1189">
        <v>76</v>
      </c>
      <c r="D1189">
        <v>3729.8</v>
      </c>
      <c r="E1189">
        <v>42</v>
      </c>
      <c r="F1189" t="s">
        <v>27</v>
      </c>
      <c r="G1189" t="s">
        <v>26</v>
      </c>
      <c r="H1189">
        <v>2</v>
      </c>
      <c r="I1189">
        <v>58.5</v>
      </c>
      <c r="J1189" t="s">
        <v>39</v>
      </c>
      <c r="K1189">
        <v>216396</v>
      </c>
      <c r="L1189" t="s">
        <v>22</v>
      </c>
    </row>
    <row r="1190" spans="1:12" x14ac:dyDescent="0.3">
      <c r="A1190">
        <v>2018</v>
      </c>
      <c r="B1190" t="s">
        <v>23</v>
      </c>
      <c r="C1190">
        <v>53</v>
      </c>
      <c r="D1190">
        <v>2746.2</v>
      </c>
      <c r="E1190">
        <v>42</v>
      </c>
      <c r="F1190" t="s">
        <v>27</v>
      </c>
      <c r="G1190" t="s">
        <v>26</v>
      </c>
      <c r="H1190">
        <v>836</v>
      </c>
      <c r="I1190">
        <v>59.5</v>
      </c>
      <c r="J1190" t="s">
        <v>39</v>
      </c>
      <c r="K1190">
        <v>2644</v>
      </c>
      <c r="L1190" t="s">
        <v>22</v>
      </c>
    </row>
    <row r="1191" spans="1:12" x14ac:dyDescent="0.3">
      <c r="A1191">
        <v>2004</v>
      </c>
      <c r="B1191" t="s">
        <v>23</v>
      </c>
      <c r="C1191">
        <v>2688</v>
      </c>
      <c r="D1191">
        <v>2746.2</v>
      </c>
      <c r="E1191">
        <v>42</v>
      </c>
      <c r="F1191" t="s">
        <v>27</v>
      </c>
      <c r="G1191" t="s">
        <v>26</v>
      </c>
      <c r="H1191">
        <v>806</v>
      </c>
      <c r="I1191">
        <v>55</v>
      </c>
      <c r="J1191" t="s">
        <v>39</v>
      </c>
      <c r="K1191">
        <v>44235</v>
      </c>
      <c r="L1191" t="s">
        <v>22</v>
      </c>
    </row>
    <row r="1192" spans="1:12" x14ac:dyDescent="0.3">
      <c r="A1192">
        <v>2005</v>
      </c>
      <c r="B1192" t="s">
        <v>23</v>
      </c>
      <c r="C1192">
        <v>2311</v>
      </c>
      <c r="D1192">
        <v>2746.2</v>
      </c>
      <c r="E1192">
        <v>43</v>
      </c>
      <c r="F1192" t="s">
        <v>27</v>
      </c>
      <c r="G1192" t="s">
        <v>26</v>
      </c>
      <c r="H1192">
        <v>880</v>
      </c>
      <c r="I1192">
        <v>53</v>
      </c>
      <c r="J1192" t="s">
        <v>39</v>
      </c>
      <c r="K1192">
        <v>203317</v>
      </c>
      <c r="L1192" t="s">
        <v>22</v>
      </c>
    </row>
    <row r="1193" spans="1:12" x14ac:dyDescent="0.3">
      <c r="A1193">
        <v>2006</v>
      </c>
      <c r="B1193" t="s">
        <v>23</v>
      </c>
      <c r="C1193">
        <v>2188</v>
      </c>
      <c r="D1193">
        <v>3360</v>
      </c>
      <c r="E1193">
        <v>43</v>
      </c>
      <c r="F1193" t="s">
        <v>27</v>
      </c>
      <c r="G1193" t="s">
        <v>26</v>
      </c>
      <c r="H1193">
        <v>770</v>
      </c>
      <c r="I1193">
        <v>53.5</v>
      </c>
      <c r="J1193" t="s">
        <v>39</v>
      </c>
      <c r="K1193">
        <v>2134</v>
      </c>
      <c r="L1193" t="s">
        <v>22</v>
      </c>
    </row>
    <row r="1194" spans="1:12" x14ac:dyDescent="0.3">
      <c r="A1194">
        <v>2007</v>
      </c>
      <c r="B1194" t="s">
        <v>23</v>
      </c>
      <c r="C1194">
        <v>1998</v>
      </c>
      <c r="D1194">
        <v>3360</v>
      </c>
      <c r="E1194">
        <v>128</v>
      </c>
      <c r="F1194" t="s">
        <v>27</v>
      </c>
      <c r="G1194" t="s">
        <v>26</v>
      </c>
      <c r="H1194">
        <v>395</v>
      </c>
      <c r="I1194">
        <v>52.5</v>
      </c>
      <c r="J1194" t="s">
        <v>39</v>
      </c>
      <c r="K1194">
        <v>45186</v>
      </c>
      <c r="L1194" t="s">
        <v>22</v>
      </c>
    </row>
    <row r="1195" spans="1:12" x14ac:dyDescent="0.3">
      <c r="A1195">
        <v>2008</v>
      </c>
      <c r="B1195" t="s">
        <v>23</v>
      </c>
      <c r="C1195">
        <v>2006</v>
      </c>
      <c r="D1195">
        <v>3360</v>
      </c>
      <c r="E1195">
        <v>129</v>
      </c>
      <c r="F1195" t="s">
        <v>27</v>
      </c>
      <c r="G1195" t="s">
        <v>26</v>
      </c>
      <c r="H1195">
        <v>187</v>
      </c>
      <c r="I1195">
        <v>56</v>
      </c>
      <c r="J1195" t="s">
        <v>39</v>
      </c>
      <c r="K1195">
        <v>238542</v>
      </c>
      <c r="L1195" t="s">
        <v>22</v>
      </c>
    </row>
    <row r="1196" spans="1:12" x14ac:dyDescent="0.3">
      <c r="A1196">
        <v>2009</v>
      </c>
      <c r="B1196" t="s">
        <v>23</v>
      </c>
      <c r="C1196">
        <v>2034</v>
      </c>
      <c r="D1196">
        <v>3605.4</v>
      </c>
      <c r="E1196">
        <v>130</v>
      </c>
      <c r="F1196" t="s">
        <v>27</v>
      </c>
      <c r="G1196" t="s">
        <v>26</v>
      </c>
      <c r="H1196">
        <v>187</v>
      </c>
      <c r="I1196">
        <v>57</v>
      </c>
      <c r="J1196" t="s">
        <v>39</v>
      </c>
      <c r="K1196">
        <v>1516</v>
      </c>
      <c r="L1196" t="s">
        <v>22</v>
      </c>
    </row>
    <row r="1197" spans="1:12" x14ac:dyDescent="0.3">
      <c r="A1197">
        <v>2010</v>
      </c>
      <c r="B1197" t="s">
        <v>23</v>
      </c>
      <c r="C1197">
        <v>2035</v>
      </c>
      <c r="D1197">
        <v>3605.4</v>
      </c>
      <c r="E1197">
        <v>131</v>
      </c>
      <c r="F1197" t="s">
        <v>27</v>
      </c>
      <c r="G1197" t="s">
        <v>26</v>
      </c>
      <c r="H1197">
        <v>121</v>
      </c>
      <c r="I1197">
        <v>57.5</v>
      </c>
      <c r="J1197" t="s">
        <v>39</v>
      </c>
      <c r="K1197">
        <v>200000</v>
      </c>
      <c r="L1197" t="s">
        <v>22</v>
      </c>
    </row>
    <row r="1198" spans="1:12" x14ac:dyDescent="0.3">
      <c r="A1198">
        <v>2011</v>
      </c>
      <c r="B1198" t="s">
        <v>23</v>
      </c>
      <c r="C1198">
        <v>2074</v>
      </c>
      <c r="D1198">
        <v>2903.1</v>
      </c>
      <c r="E1198">
        <v>132</v>
      </c>
      <c r="F1198" t="s">
        <v>27</v>
      </c>
      <c r="G1198" t="s">
        <v>26</v>
      </c>
      <c r="H1198">
        <v>103</v>
      </c>
      <c r="I1198">
        <v>57</v>
      </c>
      <c r="J1198" t="s">
        <v>40</v>
      </c>
      <c r="K1198">
        <v>4847</v>
      </c>
      <c r="L1198" t="s">
        <v>22</v>
      </c>
    </row>
    <row r="1199" spans="1:12" x14ac:dyDescent="0.3">
      <c r="A1199">
        <v>2012</v>
      </c>
      <c r="B1199" t="s">
        <v>23</v>
      </c>
      <c r="C1199">
        <v>2127</v>
      </c>
      <c r="D1199">
        <v>2903.1</v>
      </c>
      <c r="E1199">
        <v>133</v>
      </c>
      <c r="F1199" t="s">
        <v>27</v>
      </c>
      <c r="G1199" t="s">
        <v>26</v>
      </c>
      <c r="H1199">
        <v>71</v>
      </c>
      <c r="I1199">
        <v>55</v>
      </c>
      <c r="J1199" t="s">
        <v>40</v>
      </c>
      <c r="K1199">
        <v>51239</v>
      </c>
      <c r="L1199" t="s">
        <v>22</v>
      </c>
    </row>
    <row r="1200" spans="1:12" x14ac:dyDescent="0.3">
      <c r="A1200">
        <v>2013</v>
      </c>
      <c r="B1200" t="s">
        <v>23</v>
      </c>
      <c r="C1200">
        <v>2090</v>
      </c>
      <c r="D1200">
        <v>2903.1</v>
      </c>
      <c r="E1200">
        <v>134</v>
      </c>
      <c r="F1200" t="s">
        <v>27</v>
      </c>
      <c r="G1200" t="s">
        <v>26</v>
      </c>
      <c r="H1200">
        <v>3961</v>
      </c>
      <c r="I1200">
        <v>56</v>
      </c>
      <c r="J1200" t="s">
        <v>40</v>
      </c>
      <c r="K1200">
        <v>216396</v>
      </c>
      <c r="L1200" t="s">
        <v>22</v>
      </c>
    </row>
    <row r="1201" spans="1:12" x14ac:dyDescent="0.3">
      <c r="A1201">
        <v>2014</v>
      </c>
      <c r="B1201" t="s">
        <v>23</v>
      </c>
      <c r="C1201">
        <v>2059</v>
      </c>
      <c r="D1201">
        <v>2996.6</v>
      </c>
      <c r="E1201">
        <v>135</v>
      </c>
      <c r="F1201" t="s">
        <v>27</v>
      </c>
      <c r="G1201" t="s">
        <v>26</v>
      </c>
      <c r="H1201">
        <v>4247</v>
      </c>
      <c r="I1201">
        <v>54</v>
      </c>
      <c r="J1201" t="s">
        <v>40</v>
      </c>
      <c r="K1201">
        <v>2644</v>
      </c>
      <c r="L1201" t="s">
        <v>22</v>
      </c>
    </row>
    <row r="1202" spans="1:12" x14ac:dyDescent="0.3">
      <c r="A1202">
        <v>2015</v>
      </c>
      <c r="B1202" t="s">
        <v>23</v>
      </c>
      <c r="C1202">
        <v>2050</v>
      </c>
      <c r="D1202">
        <v>2996.6</v>
      </c>
      <c r="E1202">
        <v>136</v>
      </c>
      <c r="F1202" t="s">
        <v>45</v>
      </c>
      <c r="G1202" t="s">
        <v>26</v>
      </c>
      <c r="H1202">
        <v>3290</v>
      </c>
      <c r="I1202">
        <v>58</v>
      </c>
      <c r="J1202" t="s">
        <v>40</v>
      </c>
      <c r="K1202">
        <v>44235</v>
      </c>
      <c r="L1202" t="s">
        <v>22</v>
      </c>
    </row>
    <row r="1203" spans="1:12" x14ac:dyDescent="0.3">
      <c r="A1203">
        <v>2016</v>
      </c>
      <c r="B1203" t="s">
        <v>23</v>
      </c>
      <c r="C1203">
        <v>1865</v>
      </c>
      <c r="D1203">
        <v>2996.6</v>
      </c>
      <c r="E1203">
        <v>137</v>
      </c>
      <c r="F1203" t="s">
        <v>45</v>
      </c>
      <c r="G1203" t="s">
        <v>26</v>
      </c>
      <c r="H1203">
        <v>3138</v>
      </c>
      <c r="I1203">
        <v>58</v>
      </c>
      <c r="J1203" t="s">
        <v>40</v>
      </c>
      <c r="K1203">
        <v>203317</v>
      </c>
      <c r="L1203" t="s">
        <v>22</v>
      </c>
    </row>
    <row r="1204" spans="1:12" x14ac:dyDescent="0.3">
      <c r="A1204">
        <v>2017</v>
      </c>
      <c r="B1204" t="s">
        <v>23</v>
      </c>
      <c r="C1204">
        <v>1841</v>
      </c>
      <c r="D1204">
        <v>3522.8</v>
      </c>
      <c r="E1204">
        <v>138</v>
      </c>
      <c r="F1204" t="s">
        <v>45</v>
      </c>
      <c r="G1204" t="s">
        <v>26</v>
      </c>
      <c r="H1204">
        <v>3423</v>
      </c>
      <c r="I1204">
        <v>59</v>
      </c>
      <c r="J1204" t="s">
        <v>40</v>
      </c>
      <c r="K1204">
        <v>2134</v>
      </c>
      <c r="L1204" t="s">
        <v>22</v>
      </c>
    </row>
    <row r="1205" spans="1:12" x14ac:dyDescent="0.3">
      <c r="A1205">
        <v>2018</v>
      </c>
      <c r="B1205" t="s">
        <v>23</v>
      </c>
      <c r="C1205">
        <v>1799</v>
      </c>
      <c r="D1205">
        <v>3522.8</v>
      </c>
      <c r="E1205">
        <v>139</v>
      </c>
      <c r="F1205" t="s">
        <v>45</v>
      </c>
      <c r="G1205" t="s">
        <v>26</v>
      </c>
      <c r="H1205">
        <v>3899</v>
      </c>
      <c r="I1205">
        <v>50</v>
      </c>
      <c r="J1205" t="s">
        <v>40</v>
      </c>
      <c r="K1205">
        <v>45186</v>
      </c>
      <c r="L1205" t="s">
        <v>22</v>
      </c>
    </row>
    <row r="1206" spans="1:12" x14ac:dyDescent="0.3">
      <c r="A1206">
        <v>2004</v>
      </c>
      <c r="B1206" t="s">
        <v>23</v>
      </c>
      <c r="C1206">
        <v>1468</v>
      </c>
      <c r="D1206">
        <v>3522.8</v>
      </c>
      <c r="E1206">
        <v>140</v>
      </c>
      <c r="F1206" t="s">
        <v>45</v>
      </c>
      <c r="G1206" t="s">
        <v>26</v>
      </c>
      <c r="H1206">
        <v>4015</v>
      </c>
      <c r="I1206">
        <v>54</v>
      </c>
      <c r="J1206" t="s">
        <v>40</v>
      </c>
      <c r="K1206">
        <v>238542</v>
      </c>
      <c r="L1206" t="s">
        <v>22</v>
      </c>
    </row>
    <row r="1207" spans="1:12" x14ac:dyDescent="0.3">
      <c r="A1207">
        <v>2005</v>
      </c>
      <c r="B1207" t="s">
        <v>23</v>
      </c>
      <c r="C1207">
        <v>568</v>
      </c>
      <c r="D1207">
        <v>3729.8</v>
      </c>
      <c r="E1207">
        <v>141</v>
      </c>
      <c r="F1207" t="s">
        <v>45</v>
      </c>
      <c r="G1207" t="s">
        <v>26</v>
      </c>
      <c r="H1207">
        <v>4279</v>
      </c>
      <c r="I1207">
        <v>53</v>
      </c>
      <c r="J1207" t="s">
        <v>40</v>
      </c>
      <c r="K1207">
        <v>1516</v>
      </c>
      <c r="L1207" t="s">
        <v>22</v>
      </c>
    </row>
    <row r="1208" spans="1:12" x14ac:dyDescent="0.3">
      <c r="A1208">
        <v>2006</v>
      </c>
      <c r="B1208" t="s">
        <v>23</v>
      </c>
      <c r="C1208">
        <v>407</v>
      </c>
      <c r="D1208">
        <v>2903.1</v>
      </c>
      <c r="E1208">
        <v>142</v>
      </c>
      <c r="F1208" t="s">
        <v>45</v>
      </c>
      <c r="G1208" t="s">
        <v>26</v>
      </c>
      <c r="H1208">
        <v>4167</v>
      </c>
      <c r="I1208">
        <v>52</v>
      </c>
      <c r="J1208" t="s">
        <v>40</v>
      </c>
      <c r="K1208">
        <v>57259</v>
      </c>
      <c r="L1208" t="s">
        <v>22</v>
      </c>
    </row>
    <row r="1209" spans="1:12" x14ac:dyDescent="0.3">
      <c r="A1209">
        <v>2007</v>
      </c>
      <c r="B1209" t="s">
        <v>23</v>
      </c>
      <c r="C1209">
        <v>177</v>
      </c>
      <c r="D1209">
        <v>2903.1</v>
      </c>
      <c r="E1209">
        <v>143</v>
      </c>
      <c r="F1209" t="s">
        <v>45</v>
      </c>
      <c r="G1209" t="s">
        <v>26</v>
      </c>
      <c r="H1209">
        <v>4479</v>
      </c>
      <c r="I1209">
        <v>51</v>
      </c>
      <c r="J1209" t="s">
        <v>40</v>
      </c>
      <c r="K1209">
        <v>234779</v>
      </c>
      <c r="L1209" t="s">
        <v>22</v>
      </c>
    </row>
    <row r="1210" spans="1:12" x14ac:dyDescent="0.3">
      <c r="A1210">
        <v>2008</v>
      </c>
      <c r="B1210" t="s">
        <v>23</v>
      </c>
      <c r="C1210">
        <v>51</v>
      </c>
      <c r="D1210">
        <v>2903.1</v>
      </c>
      <c r="E1210">
        <v>144</v>
      </c>
      <c r="F1210" t="s">
        <v>45</v>
      </c>
      <c r="G1210" t="s">
        <v>26</v>
      </c>
      <c r="H1210">
        <v>3699</v>
      </c>
      <c r="I1210">
        <v>57</v>
      </c>
      <c r="J1210" t="s">
        <v>40</v>
      </c>
      <c r="K1210">
        <v>1493</v>
      </c>
      <c r="L1210" t="s">
        <v>22</v>
      </c>
    </row>
    <row r="1211" spans="1:12" x14ac:dyDescent="0.3">
      <c r="A1211">
        <v>2009</v>
      </c>
      <c r="B1211" t="s">
        <v>23</v>
      </c>
      <c r="C1211">
        <v>173</v>
      </c>
      <c r="D1211">
        <v>2996.6</v>
      </c>
      <c r="E1211">
        <v>145</v>
      </c>
      <c r="F1211" t="s">
        <v>45</v>
      </c>
      <c r="G1211" t="s">
        <v>26</v>
      </c>
      <c r="H1211">
        <v>4904</v>
      </c>
      <c r="I1211">
        <v>57</v>
      </c>
      <c r="J1211" t="s">
        <v>40</v>
      </c>
      <c r="K1211">
        <v>64409</v>
      </c>
      <c r="L1211" t="s">
        <v>22</v>
      </c>
    </row>
    <row r="1212" spans="1:12" x14ac:dyDescent="0.3">
      <c r="A1212">
        <v>2010</v>
      </c>
      <c r="B1212" t="s">
        <v>23</v>
      </c>
      <c r="C1212">
        <v>201</v>
      </c>
      <c r="D1212">
        <v>2996.6</v>
      </c>
      <c r="E1212">
        <v>146</v>
      </c>
      <c r="F1212" t="s">
        <v>45</v>
      </c>
      <c r="G1212" t="s">
        <v>26</v>
      </c>
      <c r="H1212">
        <v>2821</v>
      </c>
      <c r="I1212">
        <v>60</v>
      </c>
      <c r="J1212" t="s">
        <v>40</v>
      </c>
      <c r="K1212">
        <v>249978</v>
      </c>
      <c r="L1212" t="s">
        <v>22</v>
      </c>
    </row>
    <row r="1213" spans="1:12" x14ac:dyDescent="0.3">
      <c r="A1213">
        <v>2011</v>
      </c>
      <c r="B1213" t="s">
        <v>23</v>
      </c>
      <c r="C1213">
        <v>206</v>
      </c>
      <c r="D1213">
        <v>2996.6</v>
      </c>
      <c r="E1213">
        <v>147</v>
      </c>
      <c r="F1213" t="s">
        <v>45</v>
      </c>
      <c r="G1213" t="s">
        <v>26</v>
      </c>
      <c r="H1213">
        <v>3472</v>
      </c>
      <c r="I1213">
        <v>57</v>
      </c>
      <c r="J1213" t="s">
        <v>42</v>
      </c>
      <c r="K1213">
        <v>637</v>
      </c>
      <c r="L1213" t="s">
        <v>22</v>
      </c>
    </row>
    <row r="1214" spans="1:12" x14ac:dyDescent="0.3">
      <c r="A1214">
        <v>2012</v>
      </c>
      <c r="B1214" t="s">
        <v>23</v>
      </c>
      <c r="C1214">
        <v>243</v>
      </c>
      <c r="D1214">
        <v>3522.8</v>
      </c>
      <c r="E1214">
        <v>148</v>
      </c>
      <c r="F1214" t="s">
        <v>45</v>
      </c>
      <c r="G1214" t="s">
        <v>26</v>
      </c>
      <c r="H1214">
        <v>3647</v>
      </c>
      <c r="I1214">
        <v>57</v>
      </c>
      <c r="J1214" t="s">
        <v>42</v>
      </c>
      <c r="K1214">
        <v>43311</v>
      </c>
      <c r="L1214" t="s">
        <v>22</v>
      </c>
    </row>
    <row r="1215" spans="1:12" x14ac:dyDescent="0.3">
      <c r="A1215">
        <v>2013</v>
      </c>
      <c r="B1215" t="s">
        <v>23</v>
      </c>
      <c r="C1215">
        <v>123</v>
      </c>
      <c r="D1215">
        <v>3522.8</v>
      </c>
      <c r="E1215">
        <v>149</v>
      </c>
      <c r="F1215" t="s">
        <v>45</v>
      </c>
      <c r="G1215" t="s">
        <v>26</v>
      </c>
      <c r="H1215">
        <v>393</v>
      </c>
      <c r="I1215">
        <v>54</v>
      </c>
      <c r="J1215" t="s">
        <v>42</v>
      </c>
      <c r="K1215">
        <v>24848</v>
      </c>
      <c r="L1215" t="s">
        <v>22</v>
      </c>
    </row>
    <row r="1216" spans="1:12" x14ac:dyDescent="0.3">
      <c r="A1216">
        <v>2014</v>
      </c>
      <c r="B1216" t="s">
        <v>23</v>
      </c>
      <c r="C1216">
        <v>82</v>
      </c>
      <c r="D1216">
        <v>3522.8</v>
      </c>
      <c r="E1216">
        <v>150</v>
      </c>
      <c r="F1216" t="s">
        <v>45</v>
      </c>
      <c r="G1216" t="s">
        <v>26</v>
      </c>
      <c r="H1216">
        <v>167</v>
      </c>
      <c r="I1216">
        <v>54.5</v>
      </c>
      <c r="J1216" t="s">
        <v>42</v>
      </c>
      <c r="K1216">
        <v>761</v>
      </c>
      <c r="L1216" t="s">
        <v>22</v>
      </c>
    </row>
    <row r="1217" spans="1:12" x14ac:dyDescent="0.3">
      <c r="A1217">
        <v>2015</v>
      </c>
      <c r="B1217" t="s">
        <v>23</v>
      </c>
      <c r="C1217">
        <v>74</v>
      </c>
      <c r="D1217">
        <v>3729.8</v>
      </c>
      <c r="E1217">
        <v>151</v>
      </c>
      <c r="F1217" t="s">
        <v>45</v>
      </c>
      <c r="G1217" t="s">
        <v>26</v>
      </c>
      <c r="H1217">
        <v>71</v>
      </c>
      <c r="I1217">
        <v>56.6</v>
      </c>
      <c r="J1217" t="s">
        <v>42</v>
      </c>
      <c r="K1217">
        <v>45608</v>
      </c>
      <c r="L1217" t="s">
        <v>22</v>
      </c>
    </row>
    <row r="1218" spans="1:12" x14ac:dyDescent="0.3">
      <c r="A1218">
        <v>2016</v>
      </c>
      <c r="B1218" t="s">
        <v>23</v>
      </c>
      <c r="C1218">
        <v>18</v>
      </c>
      <c r="D1218">
        <v>3729.8</v>
      </c>
      <c r="E1218">
        <v>152</v>
      </c>
      <c r="F1218" t="s">
        <v>45</v>
      </c>
      <c r="G1218" t="s">
        <v>14</v>
      </c>
      <c r="H1218">
        <v>52</v>
      </c>
      <c r="I1218">
        <v>55.5</v>
      </c>
      <c r="J1218" t="s">
        <v>42</v>
      </c>
      <c r="K1218">
        <v>234581</v>
      </c>
      <c r="L1218" t="s">
        <v>22</v>
      </c>
    </row>
    <row r="1219" spans="1:12" x14ac:dyDescent="0.3">
      <c r="A1219">
        <v>2017</v>
      </c>
      <c r="B1219" t="s">
        <v>23</v>
      </c>
      <c r="C1219">
        <v>37</v>
      </c>
      <c r="D1219">
        <v>3729.8</v>
      </c>
      <c r="E1219">
        <v>153</v>
      </c>
      <c r="F1219" t="s">
        <v>45</v>
      </c>
      <c r="G1219" t="s">
        <v>14</v>
      </c>
      <c r="H1219">
        <v>313547</v>
      </c>
      <c r="I1219">
        <v>58.5</v>
      </c>
      <c r="J1219" t="s">
        <v>42</v>
      </c>
      <c r="K1219">
        <v>646</v>
      </c>
      <c r="L1219" t="s">
        <v>22</v>
      </c>
    </row>
    <row r="1220" spans="1:12" x14ac:dyDescent="0.3">
      <c r="A1220">
        <v>2018</v>
      </c>
      <c r="B1220" t="s">
        <v>23</v>
      </c>
      <c r="C1220">
        <v>35</v>
      </c>
      <c r="D1220">
        <v>2746.2</v>
      </c>
      <c r="E1220">
        <v>154</v>
      </c>
      <c r="F1220" t="s">
        <v>45</v>
      </c>
      <c r="G1220" t="s">
        <v>14</v>
      </c>
      <c r="H1220">
        <v>2783</v>
      </c>
      <c r="I1220">
        <v>59.5</v>
      </c>
      <c r="J1220" t="s">
        <v>42</v>
      </c>
      <c r="K1220">
        <v>43562</v>
      </c>
      <c r="L1220" t="s">
        <v>22</v>
      </c>
    </row>
    <row r="1221" spans="1:12" x14ac:dyDescent="0.3">
      <c r="A1221">
        <v>2004</v>
      </c>
      <c r="B1221" t="s">
        <v>23</v>
      </c>
      <c r="C1221">
        <v>5974</v>
      </c>
      <c r="D1221">
        <v>2746.2</v>
      </c>
      <c r="E1221">
        <v>155</v>
      </c>
      <c r="F1221" t="s">
        <v>45</v>
      </c>
      <c r="G1221" t="s">
        <v>14</v>
      </c>
      <c r="H1221">
        <v>1533</v>
      </c>
      <c r="I1221">
        <v>55</v>
      </c>
      <c r="J1221" t="s">
        <v>42</v>
      </c>
      <c r="K1221">
        <v>200000</v>
      </c>
      <c r="L1221" t="s">
        <v>22</v>
      </c>
    </row>
    <row r="1222" spans="1:12" x14ac:dyDescent="0.3">
      <c r="A1222">
        <v>2005</v>
      </c>
      <c r="B1222" t="s">
        <v>23</v>
      </c>
      <c r="C1222">
        <v>6631</v>
      </c>
      <c r="D1222">
        <v>2746.2</v>
      </c>
      <c r="E1222">
        <v>156</v>
      </c>
      <c r="F1222" t="s">
        <v>45</v>
      </c>
      <c r="G1222" t="s">
        <v>14</v>
      </c>
      <c r="H1222">
        <v>1647</v>
      </c>
      <c r="I1222">
        <v>53</v>
      </c>
      <c r="J1222" t="s">
        <v>42</v>
      </c>
      <c r="K1222">
        <v>4847</v>
      </c>
      <c r="L1222" t="s">
        <v>22</v>
      </c>
    </row>
    <row r="1223" spans="1:12" x14ac:dyDescent="0.3">
      <c r="A1223">
        <v>2006</v>
      </c>
      <c r="B1223" t="s">
        <v>23</v>
      </c>
      <c r="C1223">
        <v>6705</v>
      </c>
      <c r="D1223">
        <v>3360</v>
      </c>
      <c r="E1223">
        <v>157</v>
      </c>
      <c r="F1223" t="s">
        <v>45</v>
      </c>
      <c r="G1223" t="s">
        <v>14</v>
      </c>
      <c r="H1223">
        <v>975</v>
      </c>
      <c r="I1223">
        <v>53.5</v>
      </c>
      <c r="J1223" t="s">
        <v>42</v>
      </c>
      <c r="K1223">
        <v>51239</v>
      </c>
      <c r="L1223" t="s">
        <v>22</v>
      </c>
    </row>
    <row r="1224" spans="1:12" x14ac:dyDescent="0.3">
      <c r="A1224">
        <v>2007</v>
      </c>
      <c r="B1224" t="s">
        <v>23</v>
      </c>
      <c r="C1224">
        <v>5876</v>
      </c>
      <c r="D1224">
        <v>3360</v>
      </c>
      <c r="E1224">
        <v>158</v>
      </c>
      <c r="F1224" t="s">
        <v>45</v>
      </c>
      <c r="G1224" t="s">
        <v>14</v>
      </c>
      <c r="H1224">
        <v>2</v>
      </c>
      <c r="I1224">
        <v>52.5</v>
      </c>
      <c r="J1224" t="s">
        <v>42</v>
      </c>
      <c r="K1224">
        <v>216396</v>
      </c>
      <c r="L1224" t="s">
        <v>22</v>
      </c>
    </row>
    <row r="1225" spans="1:12" x14ac:dyDescent="0.3">
      <c r="A1225">
        <v>2008</v>
      </c>
      <c r="B1225" t="s">
        <v>23</v>
      </c>
      <c r="C1225">
        <v>326</v>
      </c>
      <c r="D1225">
        <v>3360</v>
      </c>
      <c r="E1225">
        <v>159</v>
      </c>
      <c r="F1225" t="s">
        <v>45</v>
      </c>
      <c r="G1225" t="s">
        <v>14</v>
      </c>
      <c r="H1225">
        <v>836</v>
      </c>
      <c r="I1225">
        <v>56</v>
      </c>
      <c r="J1225" t="s">
        <v>42</v>
      </c>
      <c r="K1225">
        <v>2644</v>
      </c>
      <c r="L1225" t="s">
        <v>22</v>
      </c>
    </row>
    <row r="1226" spans="1:12" x14ac:dyDescent="0.3">
      <c r="A1226">
        <v>2009</v>
      </c>
      <c r="B1226" t="s">
        <v>23</v>
      </c>
      <c r="C1226">
        <v>6470</v>
      </c>
      <c r="D1226">
        <v>3605.4</v>
      </c>
      <c r="E1226">
        <v>160</v>
      </c>
      <c r="F1226" t="s">
        <v>45</v>
      </c>
      <c r="G1226" t="s">
        <v>14</v>
      </c>
      <c r="H1226">
        <v>806</v>
      </c>
      <c r="I1226">
        <v>59.5</v>
      </c>
      <c r="J1226" t="s">
        <v>42</v>
      </c>
      <c r="K1226">
        <v>44235</v>
      </c>
      <c r="L1226" t="s">
        <v>22</v>
      </c>
    </row>
    <row r="1227" spans="1:12" x14ac:dyDescent="0.3">
      <c r="A1227">
        <v>2010</v>
      </c>
      <c r="B1227" t="s">
        <v>23</v>
      </c>
      <c r="C1227">
        <v>6709</v>
      </c>
      <c r="D1227">
        <v>3605.4</v>
      </c>
      <c r="E1227">
        <v>161</v>
      </c>
      <c r="F1227" t="s">
        <v>45</v>
      </c>
      <c r="G1227" t="s">
        <v>14</v>
      </c>
      <c r="H1227">
        <v>880</v>
      </c>
      <c r="I1227">
        <v>55</v>
      </c>
      <c r="J1227" t="s">
        <v>42</v>
      </c>
      <c r="K1227">
        <v>203317</v>
      </c>
      <c r="L1227" t="s">
        <v>22</v>
      </c>
    </row>
    <row r="1228" spans="1:12" x14ac:dyDescent="0.3">
      <c r="A1228">
        <v>2011</v>
      </c>
      <c r="B1228" t="s">
        <v>23</v>
      </c>
      <c r="C1228">
        <v>6186</v>
      </c>
      <c r="D1228">
        <v>3605.4</v>
      </c>
      <c r="E1228">
        <v>162</v>
      </c>
      <c r="F1228" t="s">
        <v>45</v>
      </c>
      <c r="G1228" t="s">
        <v>14</v>
      </c>
      <c r="H1228">
        <v>770</v>
      </c>
      <c r="I1228">
        <v>53</v>
      </c>
      <c r="J1228" t="s">
        <v>43</v>
      </c>
      <c r="K1228">
        <v>2134</v>
      </c>
      <c r="L1228" t="s">
        <v>22</v>
      </c>
    </row>
    <row r="1229" spans="1:12" x14ac:dyDescent="0.3">
      <c r="A1229">
        <v>2012</v>
      </c>
      <c r="B1229" t="s">
        <v>23</v>
      </c>
      <c r="C1229">
        <v>6503</v>
      </c>
      <c r="D1229">
        <v>3512.4</v>
      </c>
      <c r="E1229">
        <v>163</v>
      </c>
      <c r="F1229" t="s">
        <v>45</v>
      </c>
      <c r="G1229" t="s">
        <v>14</v>
      </c>
      <c r="H1229">
        <v>395</v>
      </c>
      <c r="I1229">
        <v>53.5</v>
      </c>
      <c r="J1229" t="s">
        <v>43</v>
      </c>
      <c r="K1229">
        <v>45186</v>
      </c>
      <c r="L1229" t="s">
        <v>22</v>
      </c>
    </row>
    <row r="1230" spans="1:12" x14ac:dyDescent="0.3">
      <c r="A1230">
        <v>2013</v>
      </c>
      <c r="B1230" t="s">
        <v>23</v>
      </c>
      <c r="C1230">
        <v>5220</v>
      </c>
      <c r="D1230">
        <v>3512.4</v>
      </c>
      <c r="E1230">
        <v>164</v>
      </c>
      <c r="F1230" t="s">
        <v>45</v>
      </c>
      <c r="G1230" t="s">
        <v>14</v>
      </c>
      <c r="H1230">
        <v>187</v>
      </c>
      <c r="I1230">
        <v>52.5</v>
      </c>
      <c r="J1230" t="s">
        <v>43</v>
      </c>
      <c r="K1230">
        <v>238542</v>
      </c>
      <c r="L1230" t="s">
        <v>22</v>
      </c>
    </row>
    <row r="1231" spans="1:12" x14ac:dyDescent="0.3">
      <c r="A1231">
        <v>2014</v>
      </c>
      <c r="B1231" t="s">
        <v>23</v>
      </c>
      <c r="C1231">
        <v>4677</v>
      </c>
      <c r="D1231">
        <v>3512.4</v>
      </c>
      <c r="E1231">
        <v>165</v>
      </c>
      <c r="F1231" t="s">
        <v>45</v>
      </c>
      <c r="G1231" t="s">
        <v>14</v>
      </c>
      <c r="H1231">
        <v>187</v>
      </c>
      <c r="I1231">
        <v>56</v>
      </c>
      <c r="J1231" t="s">
        <v>43</v>
      </c>
      <c r="K1231">
        <v>1516</v>
      </c>
      <c r="L1231" t="s">
        <v>22</v>
      </c>
    </row>
    <row r="1232" spans="1:12" x14ac:dyDescent="0.3">
      <c r="A1232">
        <v>2015</v>
      </c>
      <c r="B1232" t="s">
        <v>23</v>
      </c>
      <c r="C1232">
        <v>4803</v>
      </c>
      <c r="D1232">
        <v>3296</v>
      </c>
      <c r="E1232">
        <v>166</v>
      </c>
      <c r="F1232" t="s">
        <v>45</v>
      </c>
      <c r="G1232" t="s">
        <v>14</v>
      </c>
      <c r="H1232">
        <v>121</v>
      </c>
      <c r="I1232">
        <v>57</v>
      </c>
      <c r="J1232" t="s">
        <v>43</v>
      </c>
      <c r="K1232">
        <v>57259</v>
      </c>
      <c r="L1232" t="s">
        <v>22</v>
      </c>
    </row>
    <row r="1233" spans="1:12" x14ac:dyDescent="0.3">
      <c r="A1233">
        <v>2016</v>
      </c>
      <c r="B1233" t="s">
        <v>23</v>
      </c>
      <c r="C1233">
        <v>3739</v>
      </c>
      <c r="D1233">
        <v>3296</v>
      </c>
      <c r="E1233">
        <v>167</v>
      </c>
      <c r="F1233" t="s">
        <v>45</v>
      </c>
      <c r="G1233" t="s">
        <v>14</v>
      </c>
      <c r="H1233">
        <v>103</v>
      </c>
      <c r="I1233">
        <v>57.5</v>
      </c>
      <c r="J1233" t="s">
        <v>43</v>
      </c>
      <c r="K1233">
        <v>234779</v>
      </c>
      <c r="L1233" t="s">
        <v>22</v>
      </c>
    </row>
    <row r="1234" spans="1:12" x14ac:dyDescent="0.3">
      <c r="A1234">
        <v>2017</v>
      </c>
      <c r="B1234" t="s">
        <v>23</v>
      </c>
      <c r="C1234">
        <v>3529</v>
      </c>
      <c r="D1234">
        <v>3296</v>
      </c>
      <c r="E1234">
        <v>168</v>
      </c>
      <c r="F1234" t="s">
        <v>45</v>
      </c>
      <c r="G1234" t="s">
        <v>14</v>
      </c>
      <c r="H1234">
        <v>71</v>
      </c>
      <c r="I1234">
        <v>57</v>
      </c>
      <c r="J1234" t="s">
        <v>43</v>
      </c>
      <c r="K1234">
        <v>1493</v>
      </c>
      <c r="L1234" t="s">
        <v>22</v>
      </c>
    </row>
    <row r="1235" spans="1:12" x14ac:dyDescent="0.3">
      <c r="A1235">
        <v>2018</v>
      </c>
      <c r="B1235" t="s">
        <v>23</v>
      </c>
      <c r="C1235">
        <v>3649</v>
      </c>
      <c r="D1235">
        <v>3550</v>
      </c>
      <c r="E1235">
        <v>169</v>
      </c>
      <c r="F1235" t="s">
        <v>45</v>
      </c>
      <c r="G1235" t="s">
        <v>14</v>
      </c>
      <c r="H1235">
        <v>3961</v>
      </c>
      <c r="I1235">
        <v>55</v>
      </c>
      <c r="J1235" t="s">
        <v>43</v>
      </c>
      <c r="K1235">
        <v>64409</v>
      </c>
      <c r="L1235" t="s">
        <v>22</v>
      </c>
    </row>
    <row r="1236" spans="1:12" x14ac:dyDescent="0.3">
      <c r="A1236">
        <v>2004</v>
      </c>
      <c r="B1236" t="s">
        <v>23</v>
      </c>
      <c r="C1236">
        <v>1374</v>
      </c>
      <c r="D1236">
        <v>3550</v>
      </c>
      <c r="E1236">
        <v>170</v>
      </c>
      <c r="F1236" t="s">
        <v>45</v>
      </c>
      <c r="G1236" t="s">
        <v>14</v>
      </c>
      <c r="H1236">
        <v>4247</v>
      </c>
      <c r="I1236">
        <v>56</v>
      </c>
      <c r="J1236" t="s">
        <v>43</v>
      </c>
      <c r="K1236">
        <v>249978</v>
      </c>
      <c r="L1236" t="s">
        <v>22</v>
      </c>
    </row>
    <row r="1237" spans="1:12" x14ac:dyDescent="0.3">
      <c r="A1237">
        <v>2005</v>
      </c>
      <c r="B1237" t="s">
        <v>23</v>
      </c>
      <c r="C1237">
        <v>933</v>
      </c>
      <c r="D1237">
        <v>3550</v>
      </c>
      <c r="E1237">
        <v>171</v>
      </c>
      <c r="F1237" t="s">
        <v>45</v>
      </c>
      <c r="G1237" t="s">
        <v>14</v>
      </c>
      <c r="H1237">
        <v>3290</v>
      </c>
      <c r="I1237">
        <v>54</v>
      </c>
      <c r="J1237" t="s">
        <v>43</v>
      </c>
      <c r="K1237">
        <v>637</v>
      </c>
      <c r="L1237" t="s">
        <v>22</v>
      </c>
    </row>
    <row r="1238" spans="1:12" x14ac:dyDescent="0.3">
      <c r="A1238">
        <v>2006</v>
      </c>
      <c r="B1238" t="s">
        <v>23</v>
      </c>
      <c r="C1238">
        <v>345</v>
      </c>
      <c r="D1238">
        <v>3654</v>
      </c>
      <c r="E1238">
        <v>172</v>
      </c>
      <c r="F1238" t="s">
        <v>45</v>
      </c>
      <c r="G1238" t="s">
        <v>14</v>
      </c>
      <c r="H1238">
        <v>3138</v>
      </c>
      <c r="I1238">
        <v>58</v>
      </c>
      <c r="J1238" t="s">
        <v>43</v>
      </c>
      <c r="K1238">
        <v>43311</v>
      </c>
      <c r="L1238" t="s">
        <v>22</v>
      </c>
    </row>
    <row r="1239" spans="1:12" x14ac:dyDescent="0.3">
      <c r="A1239">
        <v>2007</v>
      </c>
      <c r="B1239" t="s">
        <v>23</v>
      </c>
      <c r="C1239">
        <v>29</v>
      </c>
      <c r="D1239">
        <v>3654</v>
      </c>
      <c r="E1239">
        <v>173</v>
      </c>
      <c r="F1239" t="s">
        <v>45</v>
      </c>
      <c r="G1239" t="s">
        <v>14</v>
      </c>
      <c r="H1239">
        <v>3423</v>
      </c>
      <c r="I1239">
        <v>58</v>
      </c>
      <c r="J1239" t="s">
        <v>43</v>
      </c>
      <c r="K1239">
        <v>24848</v>
      </c>
      <c r="L1239" t="s">
        <v>22</v>
      </c>
    </row>
    <row r="1240" spans="1:12" x14ac:dyDescent="0.3">
      <c r="A1240">
        <v>2008</v>
      </c>
      <c r="B1240" t="s">
        <v>23</v>
      </c>
      <c r="C1240">
        <v>11</v>
      </c>
      <c r="D1240">
        <v>3654</v>
      </c>
      <c r="E1240">
        <v>174</v>
      </c>
      <c r="F1240" t="s">
        <v>45</v>
      </c>
      <c r="G1240" t="s">
        <v>14</v>
      </c>
      <c r="H1240">
        <v>3899</v>
      </c>
      <c r="I1240">
        <v>59</v>
      </c>
      <c r="J1240" t="s">
        <v>43</v>
      </c>
      <c r="K1240">
        <v>761</v>
      </c>
      <c r="L1240" t="s">
        <v>22</v>
      </c>
    </row>
    <row r="1241" spans="1:12" x14ac:dyDescent="0.3">
      <c r="A1241">
        <v>2009</v>
      </c>
      <c r="B1241" t="s">
        <v>23</v>
      </c>
      <c r="C1241">
        <v>10</v>
      </c>
      <c r="D1241">
        <v>233</v>
      </c>
      <c r="E1241">
        <v>175</v>
      </c>
      <c r="F1241" t="s">
        <v>45</v>
      </c>
      <c r="G1241" t="s">
        <v>14</v>
      </c>
      <c r="H1241">
        <v>4015</v>
      </c>
      <c r="I1241">
        <v>50</v>
      </c>
      <c r="J1241" t="s">
        <v>43</v>
      </c>
      <c r="K1241">
        <v>45608</v>
      </c>
      <c r="L1241" t="s">
        <v>22</v>
      </c>
    </row>
    <row r="1242" spans="1:12" x14ac:dyDescent="0.3">
      <c r="A1242">
        <v>2010</v>
      </c>
      <c r="B1242" t="s">
        <v>23</v>
      </c>
      <c r="C1242">
        <v>7</v>
      </c>
      <c r="D1242">
        <v>233</v>
      </c>
      <c r="E1242">
        <v>176</v>
      </c>
      <c r="F1242" t="s">
        <v>45</v>
      </c>
      <c r="G1242" t="s">
        <v>14</v>
      </c>
      <c r="H1242">
        <v>4279</v>
      </c>
      <c r="I1242">
        <v>54</v>
      </c>
      <c r="J1242" t="s">
        <v>43</v>
      </c>
      <c r="K1242">
        <v>234581</v>
      </c>
      <c r="L1242" t="s">
        <v>22</v>
      </c>
    </row>
    <row r="1243" spans="1:12" x14ac:dyDescent="0.3">
      <c r="A1243">
        <v>2011</v>
      </c>
      <c r="B1243" t="s">
        <v>23</v>
      </c>
      <c r="C1243">
        <v>10</v>
      </c>
      <c r="D1243">
        <v>233</v>
      </c>
      <c r="E1243">
        <v>177</v>
      </c>
      <c r="F1243" t="s">
        <v>45</v>
      </c>
      <c r="G1243" t="s">
        <v>14</v>
      </c>
      <c r="H1243">
        <v>4167</v>
      </c>
      <c r="I1243">
        <v>53</v>
      </c>
      <c r="J1243" t="s">
        <v>15</v>
      </c>
      <c r="K1243">
        <v>646</v>
      </c>
      <c r="L1243" t="s">
        <v>22</v>
      </c>
    </row>
    <row r="1244" spans="1:12" x14ac:dyDescent="0.3">
      <c r="A1244">
        <v>2012</v>
      </c>
      <c r="B1244" t="s">
        <v>23</v>
      </c>
      <c r="C1244">
        <v>56</v>
      </c>
      <c r="D1244">
        <v>234</v>
      </c>
      <c r="E1244">
        <v>178</v>
      </c>
      <c r="F1244" t="s">
        <v>45</v>
      </c>
      <c r="G1244" t="s">
        <v>14</v>
      </c>
      <c r="H1244">
        <v>4479</v>
      </c>
      <c r="I1244">
        <v>59.5</v>
      </c>
      <c r="J1244" t="s">
        <v>15</v>
      </c>
      <c r="K1244">
        <v>43562</v>
      </c>
      <c r="L1244" t="s">
        <v>22</v>
      </c>
    </row>
    <row r="1245" spans="1:12" x14ac:dyDescent="0.3">
      <c r="A1245">
        <v>2013</v>
      </c>
      <c r="B1245" t="s">
        <v>23</v>
      </c>
      <c r="C1245">
        <v>68</v>
      </c>
      <c r="D1245">
        <v>234</v>
      </c>
      <c r="E1245">
        <v>179</v>
      </c>
      <c r="F1245" t="s">
        <v>45</v>
      </c>
      <c r="G1245" t="s">
        <v>14</v>
      </c>
      <c r="H1245">
        <v>3699</v>
      </c>
      <c r="I1245">
        <v>55</v>
      </c>
      <c r="J1245" t="s">
        <v>15</v>
      </c>
      <c r="K1245">
        <v>200000</v>
      </c>
      <c r="L1245" t="s">
        <v>22</v>
      </c>
    </row>
    <row r="1246" spans="1:12" x14ac:dyDescent="0.3">
      <c r="A1246">
        <v>2014</v>
      </c>
      <c r="B1246" t="s">
        <v>23</v>
      </c>
      <c r="C1246">
        <v>56</v>
      </c>
      <c r="D1246">
        <v>234</v>
      </c>
      <c r="E1246">
        <v>180</v>
      </c>
      <c r="F1246" t="s">
        <v>45</v>
      </c>
      <c r="G1246" t="s">
        <v>14</v>
      </c>
      <c r="H1246">
        <v>4904</v>
      </c>
      <c r="I1246">
        <v>53</v>
      </c>
      <c r="J1246" t="s">
        <v>15</v>
      </c>
      <c r="K1246">
        <v>4847</v>
      </c>
      <c r="L1246" t="s">
        <v>22</v>
      </c>
    </row>
    <row r="1247" spans="1:12" x14ac:dyDescent="0.3">
      <c r="A1247">
        <v>2015</v>
      </c>
      <c r="B1247" t="s">
        <v>23</v>
      </c>
      <c r="C1247">
        <v>66</v>
      </c>
      <c r="D1247">
        <v>3105</v>
      </c>
      <c r="E1247">
        <v>181</v>
      </c>
      <c r="F1247" t="s">
        <v>45</v>
      </c>
      <c r="G1247" t="s">
        <v>14</v>
      </c>
      <c r="H1247">
        <v>2821</v>
      </c>
      <c r="I1247">
        <v>53.5</v>
      </c>
      <c r="J1247" t="s">
        <v>15</v>
      </c>
      <c r="K1247">
        <v>51239</v>
      </c>
      <c r="L1247" t="s">
        <v>22</v>
      </c>
    </row>
    <row r="1248" spans="1:12" x14ac:dyDescent="0.3">
      <c r="A1248">
        <v>2016</v>
      </c>
      <c r="B1248" t="s">
        <v>23</v>
      </c>
      <c r="C1248">
        <v>55</v>
      </c>
      <c r="D1248">
        <v>3105</v>
      </c>
      <c r="E1248">
        <v>182</v>
      </c>
      <c r="F1248" t="s">
        <v>45</v>
      </c>
      <c r="G1248" t="s">
        <v>14</v>
      </c>
      <c r="H1248">
        <v>3472</v>
      </c>
      <c r="I1248">
        <v>52.5</v>
      </c>
      <c r="J1248" t="s">
        <v>15</v>
      </c>
      <c r="K1248">
        <v>216396</v>
      </c>
      <c r="L1248" t="s">
        <v>22</v>
      </c>
    </row>
    <row r="1249" spans="1:12" x14ac:dyDescent="0.3">
      <c r="A1249">
        <v>2017</v>
      </c>
      <c r="B1249" t="s">
        <v>23</v>
      </c>
      <c r="C1249">
        <v>42</v>
      </c>
      <c r="D1249">
        <v>3105</v>
      </c>
      <c r="E1249">
        <v>183</v>
      </c>
      <c r="F1249" t="s">
        <v>45</v>
      </c>
      <c r="G1249" t="s">
        <v>14</v>
      </c>
      <c r="H1249">
        <v>3647</v>
      </c>
      <c r="I1249">
        <v>56</v>
      </c>
      <c r="J1249" t="s">
        <v>15</v>
      </c>
      <c r="K1249">
        <v>2644</v>
      </c>
      <c r="L1249" t="s">
        <v>22</v>
      </c>
    </row>
    <row r="1250" spans="1:12" x14ac:dyDescent="0.3">
      <c r="A1250">
        <v>2018</v>
      </c>
      <c r="B1250" t="s">
        <v>23</v>
      </c>
      <c r="C1250">
        <v>51179</v>
      </c>
      <c r="D1250">
        <v>236</v>
      </c>
      <c r="E1250">
        <v>184</v>
      </c>
      <c r="F1250" t="s">
        <v>45</v>
      </c>
      <c r="G1250" t="s">
        <v>14</v>
      </c>
      <c r="H1250">
        <v>393</v>
      </c>
      <c r="I1250">
        <v>57</v>
      </c>
      <c r="J1250" t="s">
        <v>15</v>
      </c>
      <c r="K1250">
        <v>44235</v>
      </c>
      <c r="L1250" t="s">
        <v>22</v>
      </c>
    </row>
    <row r="1251" spans="1:12" x14ac:dyDescent="0.3">
      <c r="A1251">
        <v>2004</v>
      </c>
      <c r="B1251" t="s">
        <v>23</v>
      </c>
      <c r="C1251">
        <v>468</v>
      </c>
      <c r="D1251">
        <v>236</v>
      </c>
      <c r="E1251">
        <v>185</v>
      </c>
      <c r="F1251" t="s">
        <v>45</v>
      </c>
      <c r="G1251" t="s">
        <v>14</v>
      </c>
      <c r="H1251">
        <v>167</v>
      </c>
      <c r="I1251">
        <v>57.5</v>
      </c>
      <c r="J1251" t="s">
        <v>15</v>
      </c>
      <c r="K1251">
        <v>203317</v>
      </c>
      <c r="L1251" t="s">
        <v>22</v>
      </c>
    </row>
    <row r="1252" spans="1:12" x14ac:dyDescent="0.3">
      <c r="A1252">
        <v>2005</v>
      </c>
      <c r="B1252" t="s">
        <v>23</v>
      </c>
      <c r="C1252">
        <v>11841</v>
      </c>
      <c r="D1252">
        <v>2903.1</v>
      </c>
      <c r="E1252">
        <v>186</v>
      </c>
      <c r="F1252" t="s">
        <v>48</v>
      </c>
      <c r="G1252" t="s">
        <v>14</v>
      </c>
      <c r="H1252">
        <v>71</v>
      </c>
      <c r="I1252">
        <v>57</v>
      </c>
      <c r="J1252" t="s">
        <v>15</v>
      </c>
      <c r="K1252">
        <v>2134</v>
      </c>
      <c r="L1252" t="s">
        <v>22</v>
      </c>
    </row>
    <row r="1253" spans="1:12" x14ac:dyDescent="0.3">
      <c r="A1253">
        <v>2006</v>
      </c>
      <c r="B1253" t="s">
        <v>23</v>
      </c>
      <c r="C1253">
        <v>50975</v>
      </c>
      <c r="D1253">
        <v>2903.1</v>
      </c>
      <c r="E1253">
        <v>187</v>
      </c>
      <c r="F1253" t="s">
        <v>48</v>
      </c>
      <c r="G1253" t="s">
        <v>14</v>
      </c>
      <c r="H1253">
        <v>52</v>
      </c>
      <c r="I1253">
        <v>55</v>
      </c>
      <c r="J1253" t="s">
        <v>15</v>
      </c>
      <c r="K1253">
        <v>45186</v>
      </c>
      <c r="L1253" t="s">
        <v>22</v>
      </c>
    </row>
    <row r="1254" spans="1:12" x14ac:dyDescent="0.3">
      <c r="A1254">
        <v>2007</v>
      </c>
      <c r="B1254" t="s">
        <v>23</v>
      </c>
      <c r="C1254">
        <v>206</v>
      </c>
      <c r="D1254">
        <v>2903.1</v>
      </c>
      <c r="E1254">
        <v>188</v>
      </c>
      <c r="F1254" t="s">
        <v>48</v>
      </c>
      <c r="G1254" t="s">
        <v>14</v>
      </c>
      <c r="H1254">
        <v>2570</v>
      </c>
      <c r="I1254">
        <v>56</v>
      </c>
      <c r="J1254" t="s">
        <v>15</v>
      </c>
      <c r="K1254">
        <v>238542</v>
      </c>
      <c r="L1254" t="s">
        <v>22</v>
      </c>
    </row>
    <row r="1255" spans="1:12" x14ac:dyDescent="0.3">
      <c r="A1255">
        <v>2008</v>
      </c>
      <c r="B1255" t="s">
        <v>23</v>
      </c>
      <c r="C1255">
        <v>10922</v>
      </c>
      <c r="D1255">
        <v>2996.6</v>
      </c>
      <c r="E1255">
        <v>189</v>
      </c>
      <c r="F1255" t="s">
        <v>48</v>
      </c>
      <c r="G1255" t="s">
        <v>14</v>
      </c>
      <c r="H1255">
        <v>27170</v>
      </c>
      <c r="I1255">
        <v>54</v>
      </c>
      <c r="J1255" t="s">
        <v>15</v>
      </c>
      <c r="K1255">
        <v>1516</v>
      </c>
      <c r="L1255" t="s">
        <v>22</v>
      </c>
    </row>
    <row r="1256" spans="1:12" x14ac:dyDescent="0.3">
      <c r="A1256">
        <v>2009</v>
      </c>
      <c r="B1256" t="s">
        <v>23</v>
      </c>
      <c r="C1256">
        <v>51390</v>
      </c>
      <c r="D1256">
        <v>2996.6</v>
      </c>
      <c r="E1256">
        <v>190</v>
      </c>
      <c r="F1256" t="s">
        <v>48</v>
      </c>
      <c r="G1256" t="s">
        <v>14</v>
      </c>
      <c r="H1256">
        <v>114744</v>
      </c>
      <c r="I1256">
        <v>58</v>
      </c>
      <c r="J1256" t="s">
        <v>15</v>
      </c>
      <c r="K1256">
        <v>200000</v>
      </c>
      <c r="L1256" t="s">
        <v>22</v>
      </c>
    </row>
    <row r="1257" spans="1:12" x14ac:dyDescent="0.3">
      <c r="A1257">
        <v>2010</v>
      </c>
      <c r="B1257" t="s">
        <v>23</v>
      </c>
      <c r="C1257">
        <v>177</v>
      </c>
      <c r="D1257">
        <v>2996.6</v>
      </c>
      <c r="E1257">
        <v>191</v>
      </c>
      <c r="F1257" t="s">
        <v>48</v>
      </c>
      <c r="G1257" t="s">
        <v>14</v>
      </c>
      <c r="H1257">
        <v>1402</v>
      </c>
      <c r="I1257">
        <v>58</v>
      </c>
      <c r="J1257" t="s">
        <v>15</v>
      </c>
      <c r="K1257">
        <v>4847</v>
      </c>
      <c r="L1257" t="s">
        <v>22</v>
      </c>
    </row>
    <row r="1258" spans="1:12" x14ac:dyDescent="0.3">
      <c r="A1258">
        <v>2011</v>
      </c>
      <c r="B1258" t="s">
        <v>23</v>
      </c>
      <c r="C1258">
        <v>10723</v>
      </c>
      <c r="D1258">
        <v>3522.8</v>
      </c>
      <c r="E1258">
        <v>192</v>
      </c>
      <c r="F1258" t="s">
        <v>48</v>
      </c>
      <c r="G1258" t="s">
        <v>14</v>
      </c>
      <c r="H1258">
        <v>23456</v>
      </c>
      <c r="I1258">
        <v>59</v>
      </c>
      <c r="J1258" t="s">
        <v>15</v>
      </c>
      <c r="K1258">
        <v>51239</v>
      </c>
      <c r="L1258" t="s">
        <v>22</v>
      </c>
    </row>
    <row r="1259" spans="1:12" x14ac:dyDescent="0.3">
      <c r="A1259">
        <v>2012</v>
      </c>
      <c r="B1259" t="s">
        <v>23</v>
      </c>
      <c r="C1259">
        <v>51709</v>
      </c>
      <c r="D1259">
        <v>3522.8</v>
      </c>
      <c r="E1259">
        <v>193</v>
      </c>
      <c r="F1259" t="s">
        <v>48</v>
      </c>
      <c r="G1259" t="s">
        <v>14</v>
      </c>
      <c r="H1259">
        <v>107809</v>
      </c>
      <c r="I1259">
        <v>50</v>
      </c>
      <c r="J1259" t="s">
        <v>35</v>
      </c>
      <c r="K1259">
        <v>216396</v>
      </c>
      <c r="L1259" t="s">
        <v>22</v>
      </c>
    </row>
    <row r="1260" spans="1:12" x14ac:dyDescent="0.3">
      <c r="A1260">
        <v>2013</v>
      </c>
      <c r="B1260" t="s">
        <v>23</v>
      </c>
      <c r="C1260">
        <v>146</v>
      </c>
      <c r="D1260">
        <v>3522.8</v>
      </c>
      <c r="E1260">
        <v>194</v>
      </c>
      <c r="F1260" t="s">
        <v>48</v>
      </c>
      <c r="G1260" t="s">
        <v>14</v>
      </c>
      <c r="H1260">
        <v>1132</v>
      </c>
      <c r="I1260">
        <v>54</v>
      </c>
      <c r="J1260" t="s">
        <v>35</v>
      </c>
      <c r="K1260">
        <v>2644</v>
      </c>
      <c r="L1260" t="s">
        <v>22</v>
      </c>
    </row>
    <row r="1261" spans="1:12" x14ac:dyDescent="0.3">
      <c r="A1261">
        <v>2014</v>
      </c>
      <c r="B1261" t="s">
        <v>31</v>
      </c>
      <c r="C1261">
        <v>10910</v>
      </c>
      <c r="D1261">
        <v>3729.8</v>
      </c>
      <c r="E1261">
        <v>195</v>
      </c>
      <c r="F1261" t="s">
        <v>48</v>
      </c>
      <c r="G1261" t="s">
        <v>14</v>
      </c>
      <c r="H1261">
        <v>23960</v>
      </c>
      <c r="I1261">
        <v>53</v>
      </c>
      <c r="J1261" t="s">
        <v>35</v>
      </c>
      <c r="K1261">
        <v>44235</v>
      </c>
      <c r="L1261" t="s">
        <v>22</v>
      </c>
    </row>
    <row r="1262" spans="1:12" x14ac:dyDescent="0.3">
      <c r="A1262">
        <v>2015</v>
      </c>
      <c r="B1262" t="s">
        <v>31</v>
      </c>
      <c r="C1262">
        <v>51355</v>
      </c>
      <c r="D1262">
        <v>3729.8</v>
      </c>
      <c r="E1262">
        <v>196</v>
      </c>
      <c r="F1262" t="s">
        <v>48</v>
      </c>
      <c r="G1262" t="s">
        <v>21</v>
      </c>
      <c r="H1262">
        <v>126487</v>
      </c>
      <c r="I1262">
        <v>59.5</v>
      </c>
      <c r="J1262" t="s">
        <v>35</v>
      </c>
      <c r="K1262">
        <v>203317</v>
      </c>
      <c r="L1262" t="s">
        <v>22</v>
      </c>
    </row>
    <row r="1263" spans="1:12" x14ac:dyDescent="0.3">
      <c r="A1263">
        <v>2016</v>
      </c>
      <c r="B1263" t="s">
        <v>31</v>
      </c>
      <c r="C1263">
        <v>160</v>
      </c>
      <c r="D1263">
        <v>3729.8</v>
      </c>
      <c r="E1263">
        <v>197</v>
      </c>
      <c r="F1263" t="s">
        <v>44</v>
      </c>
      <c r="G1263" t="s">
        <v>21</v>
      </c>
      <c r="H1263">
        <v>804</v>
      </c>
      <c r="I1263">
        <v>55</v>
      </c>
      <c r="J1263" t="s">
        <v>35</v>
      </c>
      <c r="K1263">
        <v>2134</v>
      </c>
      <c r="L1263" t="s">
        <v>22</v>
      </c>
    </row>
    <row r="1264" spans="1:12" x14ac:dyDescent="0.3">
      <c r="A1264">
        <v>2017</v>
      </c>
      <c r="B1264" t="s">
        <v>31</v>
      </c>
      <c r="C1264">
        <v>10912</v>
      </c>
      <c r="D1264">
        <v>2746.2</v>
      </c>
      <c r="E1264">
        <v>198</v>
      </c>
      <c r="F1264" t="s">
        <v>44</v>
      </c>
      <c r="G1264" t="s">
        <v>21</v>
      </c>
      <c r="H1264">
        <v>30362</v>
      </c>
      <c r="I1264">
        <v>53</v>
      </c>
      <c r="J1264" t="s">
        <v>35</v>
      </c>
      <c r="K1264">
        <v>45186</v>
      </c>
      <c r="L1264" t="s">
        <v>22</v>
      </c>
    </row>
    <row r="1265" spans="1:12" x14ac:dyDescent="0.3">
      <c r="A1265">
        <v>2018</v>
      </c>
      <c r="B1265" t="s">
        <v>31</v>
      </c>
      <c r="C1265">
        <v>51353</v>
      </c>
      <c r="D1265">
        <v>2746.2</v>
      </c>
      <c r="E1265">
        <v>199</v>
      </c>
      <c r="F1265" t="s">
        <v>44</v>
      </c>
      <c r="G1265" t="s">
        <v>21</v>
      </c>
      <c r="H1265">
        <v>124492</v>
      </c>
      <c r="I1265">
        <v>53.5</v>
      </c>
      <c r="J1265" t="s">
        <v>35</v>
      </c>
      <c r="K1265">
        <v>238542</v>
      </c>
      <c r="L1265" t="s">
        <v>22</v>
      </c>
    </row>
    <row r="1266" spans="1:12" x14ac:dyDescent="0.3">
      <c r="A1266">
        <v>2004</v>
      </c>
      <c r="B1266" t="s">
        <v>31</v>
      </c>
      <c r="C1266">
        <v>142</v>
      </c>
      <c r="D1266">
        <v>2746.2</v>
      </c>
      <c r="E1266">
        <v>200</v>
      </c>
      <c r="F1266" t="s">
        <v>44</v>
      </c>
      <c r="G1266" t="s">
        <v>21</v>
      </c>
      <c r="H1266">
        <v>792</v>
      </c>
      <c r="I1266">
        <v>52.5</v>
      </c>
      <c r="J1266" t="s">
        <v>35</v>
      </c>
      <c r="K1266">
        <v>1516</v>
      </c>
      <c r="L1266" t="s">
        <v>22</v>
      </c>
    </row>
    <row r="1267" spans="1:12" x14ac:dyDescent="0.3">
      <c r="A1267">
        <v>2005</v>
      </c>
      <c r="B1267" t="s">
        <v>31</v>
      </c>
      <c r="C1267">
        <v>10505</v>
      </c>
      <c r="D1267">
        <v>3360</v>
      </c>
      <c r="E1267">
        <v>201</v>
      </c>
      <c r="F1267" t="s">
        <v>44</v>
      </c>
      <c r="G1267" t="s">
        <v>21</v>
      </c>
      <c r="H1267">
        <v>34153</v>
      </c>
      <c r="I1267">
        <v>56</v>
      </c>
      <c r="J1267" t="s">
        <v>35</v>
      </c>
      <c r="K1267">
        <v>57259</v>
      </c>
      <c r="L1267" t="s">
        <v>22</v>
      </c>
    </row>
    <row r="1268" spans="1:12" x14ac:dyDescent="0.3">
      <c r="A1268">
        <v>2006</v>
      </c>
      <c r="B1268" t="s">
        <v>31</v>
      </c>
      <c r="C1268">
        <v>51040</v>
      </c>
      <c r="D1268">
        <v>3360</v>
      </c>
      <c r="E1268">
        <v>202</v>
      </c>
      <c r="F1268" t="s">
        <v>44</v>
      </c>
      <c r="G1268" t="s">
        <v>21</v>
      </c>
      <c r="H1268">
        <v>2570</v>
      </c>
      <c r="I1268">
        <v>57</v>
      </c>
      <c r="J1268" t="s">
        <v>35</v>
      </c>
      <c r="K1268">
        <v>234779</v>
      </c>
      <c r="L1268" t="s">
        <v>22</v>
      </c>
    </row>
    <row r="1269" spans="1:12" x14ac:dyDescent="0.3">
      <c r="A1269">
        <v>2007</v>
      </c>
      <c r="B1269" t="s">
        <v>31</v>
      </c>
      <c r="C1269">
        <v>154</v>
      </c>
      <c r="D1269">
        <v>3360</v>
      </c>
      <c r="E1269">
        <v>203</v>
      </c>
      <c r="F1269" t="s">
        <v>44</v>
      </c>
      <c r="G1269" t="s">
        <v>21</v>
      </c>
      <c r="H1269">
        <v>27170</v>
      </c>
      <c r="I1269">
        <v>57.5</v>
      </c>
      <c r="J1269" t="s">
        <v>35</v>
      </c>
      <c r="K1269">
        <v>1493</v>
      </c>
      <c r="L1269" t="s">
        <v>22</v>
      </c>
    </row>
    <row r="1270" spans="1:12" x14ac:dyDescent="0.3">
      <c r="A1270">
        <v>2008</v>
      </c>
      <c r="B1270" t="s">
        <v>31</v>
      </c>
      <c r="C1270">
        <v>10318</v>
      </c>
      <c r="D1270">
        <v>3605.4</v>
      </c>
      <c r="E1270">
        <v>204</v>
      </c>
      <c r="F1270" t="s">
        <v>44</v>
      </c>
      <c r="G1270" t="s">
        <v>21</v>
      </c>
      <c r="H1270">
        <v>114744</v>
      </c>
      <c r="I1270">
        <v>57</v>
      </c>
      <c r="J1270" t="s">
        <v>35</v>
      </c>
      <c r="K1270">
        <v>64409</v>
      </c>
      <c r="L1270" t="s">
        <v>22</v>
      </c>
    </row>
    <row r="1271" spans="1:12" x14ac:dyDescent="0.3">
      <c r="A1271">
        <v>2009</v>
      </c>
      <c r="B1271" t="s">
        <v>31</v>
      </c>
      <c r="C1271">
        <v>48083</v>
      </c>
      <c r="D1271">
        <v>3605.4</v>
      </c>
      <c r="E1271">
        <v>205</v>
      </c>
      <c r="F1271" t="s">
        <v>44</v>
      </c>
      <c r="G1271" t="s">
        <v>21</v>
      </c>
      <c r="H1271">
        <v>1402</v>
      </c>
      <c r="I1271">
        <v>55</v>
      </c>
      <c r="J1271" t="s">
        <v>35</v>
      </c>
      <c r="K1271">
        <v>249978</v>
      </c>
      <c r="L1271" t="s">
        <v>22</v>
      </c>
    </row>
    <row r="1272" spans="1:12" x14ac:dyDescent="0.3">
      <c r="A1272">
        <v>2010</v>
      </c>
      <c r="B1272" t="s">
        <v>31</v>
      </c>
      <c r="C1272">
        <v>143</v>
      </c>
      <c r="D1272">
        <v>3605.4</v>
      </c>
      <c r="E1272">
        <v>206</v>
      </c>
      <c r="F1272" t="s">
        <v>44</v>
      </c>
      <c r="G1272" t="s">
        <v>21</v>
      </c>
      <c r="H1272">
        <v>23456</v>
      </c>
      <c r="I1272">
        <v>56</v>
      </c>
      <c r="J1272" t="s">
        <v>35</v>
      </c>
      <c r="K1272">
        <v>637</v>
      </c>
      <c r="L1272" t="s">
        <v>22</v>
      </c>
    </row>
    <row r="1273" spans="1:12" x14ac:dyDescent="0.3">
      <c r="A1273">
        <v>2011</v>
      </c>
      <c r="B1273" t="s">
        <v>31</v>
      </c>
      <c r="C1273">
        <v>9283</v>
      </c>
      <c r="D1273">
        <v>3512.4</v>
      </c>
      <c r="E1273">
        <v>207</v>
      </c>
      <c r="F1273" t="s">
        <v>44</v>
      </c>
      <c r="G1273" t="s">
        <v>21</v>
      </c>
      <c r="H1273">
        <v>107809</v>
      </c>
      <c r="I1273">
        <v>54</v>
      </c>
      <c r="J1273" t="s">
        <v>35</v>
      </c>
      <c r="K1273">
        <v>43311</v>
      </c>
      <c r="L1273" t="s">
        <v>22</v>
      </c>
    </row>
    <row r="1274" spans="1:12" x14ac:dyDescent="0.3">
      <c r="A1274">
        <v>2012</v>
      </c>
      <c r="B1274" t="s">
        <v>31</v>
      </c>
      <c r="C1274">
        <v>47200</v>
      </c>
      <c r="D1274">
        <v>3512.4</v>
      </c>
      <c r="E1274">
        <v>208</v>
      </c>
      <c r="F1274" t="s">
        <v>27</v>
      </c>
      <c r="G1274" t="s">
        <v>14</v>
      </c>
      <c r="H1274">
        <v>1132</v>
      </c>
      <c r="I1274">
        <v>57</v>
      </c>
      <c r="J1274" t="s">
        <v>15</v>
      </c>
      <c r="K1274">
        <v>200000</v>
      </c>
      <c r="L1274" t="s">
        <v>22</v>
      </c>
    </row>
    <row r="1275" spans="1:12" x14ac:dyDescent="0.3">
      <c r="A1275">
        <v>2013</v>
      </c>
      <c r="B1275" t="s">
        <v>31</v>
      </c>
      <c r="C1275">
        <v>158</v>
      </c>
      <c r="D1275">
        <v>3512.4</v>
      </c>
      <c r="E1275">
        <v>209</v>
      </c>
      <c r="F1275" t="s">
        <v>27</v>
      </c>
      <c r="G1275" t="s">
        <v>14</v>
      </c>
      <c r="H1275">
        <v>23960</v>
      </c>
      <c r="I1275">
        <v>57.5</v>
      </c>
      <c r="J1275" t="s">
        <v>15</v>
      </c>
      <c r="K1275">
        <v>4847</v>
      </c>
      <c r="L1275" t="s">
        <v>22</v>
      </c>
    </row>
    <row r="1276" spans="1:12" x14ac:dyDescent="0.3">
      <c r="A1276">
        <v>2014</v>
      </c>
      <c r="B1276" t="s">
        <v>31</v>
      </c>
      <c r="C1276">
        <v>8982</v>
      </c>
      <c r="D1276">
        <v>3296</v>
      </c>
      <c r="E1276">
        <v>210</v>
      </c>
      <c r="F1276" t="s">
        <v>27</v>
      </c>
      <c r="G1276" t="s">
        <v>14</v>
      </c>
      <c r="H1276">
        <v>126487</v>
      </c>
      <c r="I1276">
        <v>57</v>
      </c>
      <c r="J1276" t="s">
        <v>15</v>
      </c>
      <c r="K1276">
        <v>51239</v>
      </c>
      <c r="L1276" t="s">
        <v>22</v>
      </c>
    </row>
    <row r="1277" spans="1:12" x14ac:dyDescent="0.3">
      <c r="A1277">
        <v>2015</v>
      </c>
      <c r="B1277" t="s">
        <v>31</v>
      </c>
      <c r="C1277">
        <v>46990</v>
      </c>
      <c r="D1277">
        <v>3296</v>
      </c>
      <c r="E1277">
        <v>211</v>
      </c>
      <c r="F1277" t="s">
        <v>27</v>
      </c>
      <c r="G1277" t="s">
        <v>14</v>
      </c>
      <c r="H1277">
        <v>804</v>
      </c>
      <c r="I1277">
        <v>55</v>
      </c>
      <c r="J1277" t="s">
        <v>15</v>
      </c>
      <c r="K1277">
        <v>216396</v>
      </c>
      <c r="L1277" t="s">
        <v>22</v>
      </c>
    </row>
    <row r="1278" spans="1:12" x14ac:dyDescent="0.3">
      <c r="A1278">
        <v>2016</v>
      </c>
      <c r="B1278" t="s">
        <v>31</v>
      </c>
      <c r="C1278">
        <v>103</v>
      </c>
      <c r="D1278">
        <v>3296</v>
      </c>
      <c r="E1278">
        <v>212</v>
      </c>
      <c r="F1278" t="s">
        <v>27</v>
      </c>
      <c r="G1278" t="s">
        <v>14</v>
      </c>
      <c r="H1278">
        <v>30362</v>
      </c>
      <c r="I1278">
        <v>56</v>
      </c>
      <c r="J1278" t="s">
        <v>15</v>
      </c>
      <c r="K1278">
        <v>2644</v>
      </c>
      <c r="L1278" t="s">
        <v>22</v>
      </c>
    </row>
    <row r="1279" spans="1:12" x14ac:dyDescent="0.3">
      <c r="A1279">
        <v>2017</v>
      </c>
      <c r="B1279" t="s">
        <v>31</v>
      </c>
      <c r="C1279">
        <v>8239</v>
      </c>
      <c r="D1279">
        <v>3550</v>
      </c>
      <c r="E1279">
        <v>213</v>
      </c>
      <c r="F1279" t="s">
        <v>27</v>
      </c>
      <c r="G1279" t="s">
        <v>14</v>
      </c>
      <c r="H1279">
        <v>124492</v>
      </c>
      <c r="I1279">
        <v>54</v>
      </c>
      <c r="J1279" t="s">
        <v>15</v>
      </c>
      <c r="K1279">
        <v>44235</v>
      </c>
      <c r="L1279" t="s">
        <v>22</v>
      </c>
    </row>
    <row r="1280" spans="1:12" x14ac:dyDescent="0.3">
      <c r="A1280">
        <v>2018</v>
      </c>
      <c r="B1280" t="s">
        <v>31</v>
      </c>
      <c r="C1280">
        <v>44563</v>
      </c>
      <c r="D1280">
        <v>3550</v>
      </c>
      <c r="E1280">
        <v>214</v>
      </c>
      <c r="F1280" t="s">
        <v>27</v>
      </c>
      <c r="G1280" t="s">
        <v>14</v>
      </c>
      <c r="H1280">
        <v>792</v>
      </c>
      <c r="I1280">
        <v>58</v>
      </c>
      <c r="J1280" t="s">
        <v>15</v>
      </c>
      <c r="K1280">
        <v>203317</v>
      </c>
      <c r="L1280" t="s">
        <v>22</v>
      </c>
    </row>
    <row r="1281" spans="1:12" x14ac:dyDescent="0.3">
      <c r="A1281">
        <v>2004</v>
      </c>
      <c r="B1281" t="s">
        <v>31</v>
      </c>
      <c r="C1281">
        <v>96</v>
      </c>
      <c r="D1281">
        <v>3550</v>
      </c>
      <c r="E1281">
        <v>215</v>
      </c>
      <c r="F1281" t="s">
        <v>27</v>
      </c>
      <c r="G1281" t="s">
        <v>14</v>
      </c>
      <c r="H1281">
        <v>34153</v>
      </c>
      <c r="I1281">
        <v>58</v>
      </c>
      <c r="J1281" t="s">
        <v>15</v>
      </c>
      <c r="K1281">
        <v>2134</v>
      </c>
      <c r="L1281" t="s">
        <v>22</v>
      </c>
    </row>
    <row r="1282" spans="1:12" x14ac:dyDescent="0.3">
      <c r="A1282">
        <v>2005</v>
      </c>
      <c r="B1282" t="s">
        <v>31</v>
      </c>
      <c r="C1282">
        <v>6949</v>
      </c>
      <c r="D1282">
        <v>3654</v>
      </c>
      <c r="E1282">
        <v>216</v>
      </c>
      <c r="F1282" t="s">
        <v>27</v>
      </c>
      <c r="G1282" t="s">
        <v>14</v>
      </c>
      <c r="H1282">
        <v>132551</v>
      </c>
      <c r="I1282">
        <v>59</v>
      </c>
      <c r="J1282" t="s">
        <v>15</v>
      </c>
      <c r="K1282">
        <v>45186</v>
      </c>
      <c r="L1282" t="s">
        <v>22</v>
      </c>
    </row>
    <row r="1283" spans="1:12" x14ac:dyDescent="0.3">
      <c r="A1283">
        <v>2006</v>
      </c>
      <c r="B1283" t="s">
        <v>31</v>
      </c>
      <c r="C1283">
        <v>44663</v>
      </c>
      <c r="D1283">
        <v>3654</v>
      </c>
      <c r="E1283">
        <v>217</v>
      </c>
      <c r="F1283" t="s">
        <v>27</v>
      </c>
      <c r="G1283" t="s">
        <v>14</v>
      </c>
      <c r="H1283">
        <v>338</v>
      </c>
      <c r="I1283">
        <v>50</v>
      </c>
      <c r="J1283" t="s">
        <v>15</v>
      </c>
      <c r="K1283">
        <v>238542</v>
      </c>
      <c r="L1283" t="s">
        <v>22</v>
      </c>
    </row>
    <row r="1284" spans="1:12" x14ac:dyDescent="0.3">
      <c r="A1284">
        <v>2007</v>
      </c>
      <c r="B1284" t="s">
        <v>31</v>
      </c>
      <c r="C1284">
        <v>110</v>
      </c>
      <c r="D1284">
        <v>3654</v>
      </c>
      <c r="E1284">
        <v>218</v>
      </c>
      <c r="F1284" t="s">
        <v>27</v>
      </c>
      <c r="G1284" t="s">
        <v>14</v>
      </c>
      <c r="H1284">
        <v>22966</v>
      </c>
      <c r="I1284">
        <v>54</v>
      </c>
      <c r="J1284" t="s">
        <v>15</v>
      </c>
      <c r="K1284">
        <v>1516</v>
      </c>
      <c r="L1284" t="s">
        <v>22</v>
      </c>
    </row>
    <row r="1285" spans="1:12" x14ac:dyDescent="0.3">
      <c r="A1285">
        <v>2008</v>
      </c>
      <c r="B1285" t="s">
        <v>31</v>
      </c>
      <c r="C1285">
        <v>6824</v>
      </c>
      <c r="D1285">
        <v>233</v>
      </c>
      <c r="E1285">
        <v>219</v>
      </c>
      <c r="F1285" t="s">
        <v>27</v>
      </c>
      <c r="G1285" t="s">
        <v>14</v>
      </c>
      <c r="H1285">
        <v>131763</v>
      </c>
      <c r="I1285">
        <v>53</v>
      </c>
      <c r="J1285" t="s">
        <v>15</v>
      </c>
      <c r="K1285">
        <v>57259</v>
      </c>
      <c r="L1285" t="s">
        <v>22</v>
      </c>
    </row>
    <row r="1286" spans="1:12" x14ac:dyDescent="0.3">
      <c r="A1286">
        <v>2009</v>
      </c>
      <c r="B1286" t="s">
        <v>31</v>
      </c>
      <c r="C1286">
        <v>43013</v>
      </c>
      <c r="D1286">
        <v>233</v>
      </c>
      <c r="E1286">
        <v>220</v>
      </c>
      <c r="F1286" t="s">
        <v>27</v>
      </c>
      <c r="G1286" t="s">
        <v>14</v>
      </c>
      <c r="H1286">
        <v>404</v>
      </c>
      <c r="I1286">
        <v>52</v>
      </c>
      <c r="J1286" t="s">
        <v>15</v>
      </c>
      <c r="K1286">
        <v>234779</v>
      </c>
      <c r="L1286" t="s">
        <v>22</v>
      </c>
    </row>
    <row r="1287" spans="1:12" x14ac:dyDescent="0.3">
      <c r="A1287">
        <v>2010</v>
      </c>
      <c r="B1287" t="s">
        <v>31</v>
      </c>
      <c r="C1287">
        <v>95</v>
      </c>
      <c r="D1287">
        <v>233</v>
      </c>
      <c r="E1287">
        <v>221</v>
      </c>
      <c r="F1287" t="s">
        <v>27</v>
      </c>
      <c r="G1287" t="s">
        <v>14</v>
      </c>
      <c r="H1287">
        <v>24184</v>
      </c>
      <c r="I1287">
        <v>51</v>
      </c>
      <c r="J1287" t="s">
        <v>15</v>
      </c>
      <c r="K1287">
        <v>1493</v>
      </c>
      <c r="L1287" t="s">
        <v>22</v>
      </c>
    </row>
    <row r="1288" spans="1:12" x14ac:dyDescent="0.3">
      <c r="A1288">
        <v>2011</v>
      </c>
      <c r="B1288" t="s">
        <v>31</v>
      </c>
      <c r="C1288">
        <v>6441</v>
      </c>
      <c r="D1288">
        <v>234</v>
      </c>
      <c r="E1288">
        <v>222</v>
      </c>
      <c r="F1288" t="s">
        <v>27</v>
      </c>
      <c r="G1288" t="s">
        <v>14</v>
      </c>
      <c r="H1288">
        <v>124387</v>
      </c>
      <c r="I1288">
        <v>57</v>
      </c>
      <c r="J1288" t="s">
        <v>15</v>
      </c>
      <c r="K1288">
        <v>64409</v>
      </c>
      <c r="L1288" t="s">
        <v>22</v>
      </c>
    </row>
    <row r="1289" spans="1:12" x14ac:dyDescent="0.3">
      <c r="A1289">
        <v>2012</v>
      </c>
      <c r="B1289" t="s">
        <v>34</v>
      </c>
      <c r="C1289">
        <v>4012</v>
      </c>
      <c r="D1289">
        <v>234</v>
      </c>
      <c r="E1289">
        <v>27</v>
      </c>
      <c r="F1289" t="s">
        <v>27</v>
      </c>
      <c r="G1289" t="s">
        <v>14</v>
      </c>
      <c r="H1289">
        <v>343</v>
      </c>
      <c r="I1289">
        <v>57</v>
      </c>
      <c r="J1289" t="s">
        <v>15</v>
      </c>
      <c r="K1289">
        <v>249978</v>
      </c>
      <c r="L1289" t="s">
        <v>22</v>
      </c>
    </row>
    <row r="1290" spans="1:12" x14ac:dyDescent="0.3">
      <c r="A1290">
        <v>2013</v>
      </c>
      <c r="B1290" t="s">
        <v>34</v>
      </c>
      <c r="C1290">
        <v>4877</v>
      </c>
      <c r="D1290">
        <v>234</v>
      </c>
      <c r="E1290">
        <v>27</v>
      </c>
      <c r="F1290" t="s">
        <v>27</v>
      </c>
      <c r="G1290" t="s">
        <v>14</v>
      </c>
      <c r="H1290">
        <v>23099</v>
      </c>
      <c r="I1290">
        <v>60</v>
      </c>
      <c r="J1290" t="s">
        <v>15</v>
      </c>
      <c r="K1290">
        <v>637</v>
      </c>
      <c r="L1290" t="s">
        <v>22</v>
      </c>
    </row>
    <row r="1291" spans="1:12" x14ac:dyDescent="0.3">
      <c r="A1291">
        <v>2014</v>
      </c>
      <c r="B1291" t="s">
        <v>34</v>
      </c>
      <c r="C1291">
        <v>4930</v>
      </c>
      <c r="D1291">
        <v>3105</v>
      </c>
      <c r="E1291">
        <v>27</v>
      </c>
      <c r="F1291" t="s">
        <v>27</v>
      </c>
      <c r="G1291" t="s">
        <v>14</v>
      </c>
      <c r="H1291">
        <v>117825.84</v>
      </c>
      <c r="I1291">
        <v>57</v>
      </c>
      <c r="J1291" t="s">
        <v>15</v>
      </c>
      <c r="K1291">
        <v>43311</v>
      </c>
      <c r="L1291" t="s">
        <v>22</v>
      </c>
    </row>
    <row r="1292" spans="1:12" x14ac:dyDescent="0.3">
      <c r="A1292">
        <v>2015</v>
      </c>
      <c r="B1292" t="s">
        <v>34</v>
      </c>
      <c r="C1292">
        <v>4954</v>
      </c>
      <c r="D1292">
        <v>3105</v>
      </c>
      <c r="E1292">
        <v>27</v>
      </c>
      <c r="F1292" t="s">
        <v>27</v>
      </c>
      <c r="G1292" t="s">
        <v>14</v>
      </c>
      <c r="H1292">
        <v>336</v>
      </c>
      <c r="I1292">
        <v>57</v>
      </c>
      <c r="J1292" t="s">
        <v>15</v>
      </c>
      <c r="K1292">
        <v>24848</v>
      </c>
      <c r="L1292" t="s">
        <v>22</v>
      </c>
    </row>
    <row r="1293" spans="1:12" x14ac:dyDescent="0.3">
      <c r="A1293">
        <v>2016</v>
      </c>
      <c r="B1293" t="s">
        <v>34</v>
      </c>
      <c r="C1293">
        <v>5019</v>
      </c>
      <c r="D1293">
        <v>3105</v>
      </c>
      <c r="E1293">
        <v>27</v>
      </c>
      <c r="F1293" t="s">
        <v>27</v>
      </c>
      <c r="G1293" t="s">
        <v>14</v>
      </c>
      <c r="H1293">
        <v>22594</v>
      </c>
      <c r="I1293">
        <v>54</v>
      </c>
      <c r="J1293" t="s">
        <v>15</v>
      </c>
      <c r="K1293">
        <v>761</v>
      </c>
      <c r="L1293" t="s">
        <v>22</v>
      </c>
    </row>
    <row r="1294" spans="1:12" x14ac:dyDescent="0.3">
      <c r="A1294">
        <v>2017</v>
      </c>
      <c r="B1294" t="s">
        <v>34</v>
      </c>
      <c r="C1294">
        <v>5127</v>
      </c>
      <c r="D1294">
        <v>236</v>
      </c>
      <c r="E1294">
        <v>27.2</v>
      </c>
      <c r="F1294" t="s">
        <v>27</v>
      </c>
      <c r="G1294" t="s">
        <v>14</v>
      </c>
      <c r="H1294">
        <v>116481.07</v>
      </c>
      <c r="I1294">
        <v>54.5</v>
      </c>
      <c r="J1294" t="s">
        <v>15</v>
      </c>
      <c r="K1294">
        <v>45608</v>
      </c>
      <c r="L1294" t="s">
        <v>22</v>
      </c>
    </row>
    <row r="1295" spans="1:12" x14ac:dyDescent="0.3">
      <c r="A1295">
        <v>2018</v>
      </c>
      <c r="B1295" t="s">
        <v>34</v>
      </c>
      <c r="C1295">
        <v>5174</v>
      </c>
      <c r="D1295">
        <v>2903.1</v>
      </c>
      <c r="E1295">
        <v>27.2</v>
      </c>
      <c r="F1295" t="s">
        <v>27</v>
      </c>
      <c r="G1295" t="s">
        <v>14</v>
      </c>
      <c r="H1295">
        <v>316</v>
      </c>
      <c r="I1295">
        <v>56.6</v>
      </c>
      <c r="J1295" t="s">
        <v>15</v>
      </c>
      <c r="K1295">
        <v>234581</v>
      </c>
      <c r="L1295" t="s">
        <v>22</v>
      </c>
    </row>
    <row r="1296" spans="1:12" x14ac:dyDescent="0.3">
      <c r="A1296">
        <v>2004</v>
      </c>
      <c r="B1296" t="s">
        <v>34</v>
      </c>
      <c r="C1296">
        <v>5294</v>
      </c>
      <c r="D1296">
        <v>2903.1</v>
      </c>
      <c r="E1296">
        <v>27.2</v>
      </c>
      <c r="F1296" t="s">
        <v>27</v>
      </c>
      <c r="G1296" t="s">
        <v>14</v>
      </c>
      <c r="H1296">
        <v>21400</v>
      </c>
      <c r="I1296">
        <v>55.5</v>
      </c>
      <c r="J1296" t="s">
        <v>15</v>
      </c>
      <c r="K1296">
        <v>646</v>
      </c>
      <c r="L1296" t="s">
        <v>22</v>
      </c>
    </row>
    <row r="1297" spans="1:12" x14ac:dyDescent="0.3">
      <c r="A1297">
        <v>2005</v>
      </c>
      <c r="B1297" t="s">
        <v>34</v>
      </c>
      <c r="C1297">
        <v>5474</v>
      </c>
      <c r="D1297">
        <v>2903.1</v>
      </c>
      <c r="E1297">
        <v>27</v>
      </c>
      <c r="F1297" t="s">
        <v>27</v>
      </c>
      <c r="G1297" t="s">
        <v>14</v>
      </c>
      <c r="H1297">
        <v>122102</v>
      </c>
      <c r="I1297">
        <v>58.5</v>
      </c>
      <c r="J1297" t="s">
        <v>15</v>
      </c>
      <c r="K1297">
        <v>43562</v>
      </c>
      <c r="L1297" t="s">
        <v>22</v>
      </c>
    </row>
    <row r="1298" spans="1:12" x14ac:dyDescent="0.3">
      <c r="A1298">
        <v>2006</v>
      </c>
      <c r="B1298" t="s">
        <v>34</v>
      </c>
      <c r="C1298">
        <v>5864</v>
      </c>
      <c r="D1298">
        <v>2996.6</v>
      </c>
      <c r="E1298">
        <v>27</v>
      </c>
      <c r="F1298" t="s">
        <v>27</v>
      </c>
      <c r="G1298" t="s">
        <v>14</v>
      </c>
      <c r="H1298">
        <v>382</v>
      </c>
      <c r="I1298">
        <v>59.5</v>
      </c>
      <c r="J1298" t="s">
        <v>15</v>
      </c>
      <c r="K1298">
        <v>200000</v>
      </c>
      <c r="L1298" t="s">
        <v>22</v>
      </c>
    </row>
    <row r="1299" spans="1:12" x14ac:dyDescent="0.3">
      <c r="A1299">
        <v>2007</v>
      </c>
      <c r="B1299" t="s">
        <v>34</v>
      </c>
      <c r="C1299">
        <v>7028</v>
      </c>
      <c r="D1299">
        <v>2996.6</v>
      </c>
      <c r="E1299">
        <v>27</v>
      </c>
      <c r="F1299" t="s">
        <v>27</v>
      </c>
      <c r="G1299" t="s">
        <v>14</v>
      </c>
      <c r="H1299">
        <v>19578</v>
      </c>
      <c r="I1299">
        <v>55</v>
      </c>
      <c r="J1299" t="s">
        <v>15</v>
      </c>
      <c r="K1299">
        <v>4847</v>
      </c>
      <c r="L1299" t="s">
        <v>22</v>
      </c>
    </row>
    <row r="1300" spans="1:12" x14ac:dyDescent="0.3">
      <c r="A1300">
        <v>2008</v>
      </c>
      <c r="B1300" t="s">
        <v>34</v>
      </c>
      <c r="C1300">
        <v>7403</v>
      </c>
      <c r="D1300">
        <v>2996.6</v>
      </c>
      <c r="E1300">
        <v>27</v>
      </c>
      <c r="F1300" t="s">
        <v>27</v>
      </c>
      <c r="G1300" t="s">
        <v>14</v>
      </c>
      <c r="H1300">
        <v>121037</v>
      </c>
      <c r="I1300">
        <v>53</v>
      </c>
      <c r="J1300" t="s">
        <v>15</v>
      </c>
      <c r="K1300">
        <v>51239</v>
      </c>
      <c r="L1300" t="s">
        <v>22</v>
      </c>
    </row>
    <row r="1301" spans="1:12" x14ac:dyDescent="0.3">
      <c r="A1301">
        <v>2009</v>
      </c>
      <c r="B1301" t="s">
        <v>34</v>
      </c>
      <c r="C1301">
        <v>7501</v>
      </c>
      <c r="D1301">
        <v>3522.8</v>
      </c>
      <c r="E1301">
        <v>27</v>
      </c>
      <c r="F1301" t="s">
        <v>27</v>
      </c>
      <c r="G1301" t="s">
        <v>14</v>
      </c>
      <c r="H1301">
        <v>231</v>
      </c>
      <c r="I1301">
        <v>53.5</v>
      </c>
      <c r="J1301" t="s">
        <v>15</v>
      </c>
      <c r="K1301">
        <v>216396</v>
      </c>
      <c r="L1301" t="s">
        <v>22</v>
      </c>
    </row>
    <row r="1302" spans="1:12" x14ac:dyDescent="0.3">
      <c r="A1302">
        <v>2010</v>
      </c>
      <c r="B1302" t="s">
        <v>34</v>
      </c>
      <c r="C1302">
        <v>7714</v>
      </c>
      <c r="D1302">
        <v>3522.8</v>
      </c>
      <c r="E1302">
        <v>27</v>
      </c>
      <c r="F1302" t="s">
        <v>13</v>
      </c>
      <c r="G1302" t="s">
        <v>14</v>
      </c>
      <c r="H1302">
        <v>18951</v>
      </c>
      <c r="I1302">
        <v>52.5</v>
      </c>
      <c r="J1302" t="s">
        <v>15</v>
      </c>
      <c r="K1302">
        <v>2644</v>
      </c>
      <c r="L1302" t="s">
        <v>22</v>
      </c>
    </row>
    <row r="1303" spans="1:12" x14ac:dyDescent="0.3">
      <c r="A1303">
        <v>2011</v>
      </c>
      <c r="B1303" t="s">
        <v>34</v>
      </c>
      <c r="C1303">
        <v>7856</v>
      </c>
      <c r="D1303">
        <v>3522.8</v>
      </c>
      <c r="E1303">
        <v>27.2</v>
      </c>
      <c r="F1303" t="s">
        <v>13</v>
      </c>
      <c r="G1303" t="s">
        <v>14</v>
      </c>
      <c r="H1303">
        <v>110579</v>
      </c>
      <c r="I1303">
        <v>56</v>
      </c>
      <c r="J1303" t="s">
        <v>15</v>
      </c>
      <c r="K1303">
        <v>44235</v>
      </c>
      <c r="L1303" t="s">
        <v>22</v>
      </c>
    </row>
    <row r="1304" spans="1:12" x14ac:dyDescent="0.3">
      <c r="A1304">
        <v>2012</v>
      </c>
      <c r="B1304" t="s">
        <v>34</v>
      </c>
      <c r="C1304">
        <v>32</v>
      </c>
      <c r="D1304">
        <v>3729.8</v>
      </c>
      <c r="E1304">
        <v>27.2</v>
      </c>
      <c r="F1304" t="s">
        <v>13</v>
      </c>
      <c r="G1304" t="s">
        <v>14</v>
      </c>
      <c r="H1304">
        <v>221</v>
      </c>
      <c r="I1304">
        <v>57</v>
      </c>
      <c r="J1304" t="s">
        <v>15</v>
      </c>
      <c r="K1304">
        <v>203317</v>
      </c>
      <c r="L1304" t="s">
        <v>22</v>
      </c>
    </row>
    <row r="1305" spans="1:12" x14ac:dyDescent="0.3">
      <c r="A1305">
        <v>2013</v>
      </c>
      <c r="B1305" t="s">
        <v>34</v>
      </c>
      <c r="C1305">
        <v>1</v>
      </c>
      <c r="D1305">
        <v>3729.8</v>
      </c>
      <c r="E1305">
        <v>27.2</v>
      </c>
      <c r="F1305" t="s">
        <v>13</v>
      </c>
      <c r="G1305" t="s">
        <v>14</v>
      </c>
      <c r="H1305">
        <v>15362</v>
      </c>
      <c r="I1305">
        <v>57.5</v>
      </c>
      <c r="J1305" t="s">
        <v>15</v>
      </c>
      <c r="K1305">
        <v>2134</v>
      </c>
      <c r="L1305" t="s">
        <v>22</v>
      </c>
    </row>
    <row r="1306" spans="1:12" x14ac:dyDescent="0.3">
      <c r="A1306">
        <v>2014</v>
      </c>
      <c r="B1306" t="s">
        <v>34</v>
      </c>
      <c r="C1306">
        <v>30</v>
      </c>
      <c r="D1306">
        <v>3729.8</v>
      </c>
      <c r="E1306">
        <v>27.1</v>
      </c>
      <c r="F1306" t="s">
        <v>13</v>
      </c>
      <c r="G1306" t="s">
        <v>14</v>
      </c>
      <c r="H1306">
        <v>120373</v>
      </c>
      <c r="I1306">
        <v>57</v>
      </c>
      <c r="J1306" t="s">
        <v>15</v>
      </c>
      <c r="K1306">
        <v>45186</v>
      </c>
      <c r="L1306" t="s">
        <v>22</v>
      </c>
    </row>
    <row r="1307" spans="1:12" x14ac:dyDescent="0.3">
      <c r="A1307">
        <v>2015</v>
      </c>
      <c r="B1307" t="s">
        <v>34</v>
      </c>
      <c r="C1307">
        <v>6</v>
      </c>
      <c r="D1307">
        <v>2746.2</v>
      </c>
      <c r="E1307">
        <v>27.1</v>
      </c>
      <c r="F1307" t="s">
        <v>13</v>
      </c>
      <c r="G1307" t="s">
        <v>14</v>
      </c>
      <c r="H1307">
        <v>291</v>
      </c>
      <c r="I1307">
        <v>55</v>
      </c>
      <c r="J1307" t="s">
        <v>15</v>
      </c>
      <c r="K1307">
        <v>238542</v>
      </c>
      <c r="L1307" t="s">
        <v>22</v>
      </c>
    </row>
    <row r="1308" spans="1:12" x14ac:dyDescent="0.3">
      <c r="A1308">
        <v>2016</v>
      </c>
      <c r="B1308" t="s">
        <v>34</v>
      </c>
      <c r="C1308">
        <v>15</v>
      </c>
      <c r="D1308">
        <v>2746.2</v>
      </c>
      <c r="E1308">
        <v>27.1</v>
      </c>
      <c r="F1308" t="s">
        <v>13</v>
      </c>
      <c r="G1308" t="s">
        <v>14</v>
      </c>
      <c r="H1308">
        <v>17231</v>
      </c>
      <c r="I1308">
        <v>56</v>
      </c>
      <c r="J1308" t="s">
        <v>15</v>
      </c>
      <c r="K1308">
        <v>1516</v>
      </c>
      <c r="L1308" t="s">
        <v>22</v>
      </c>
    </row>
    <row r="1309" spans="1:12" x14ac:dyDescent="0.3">
      <c r="A1309">
        <v>2017</v>
      </c>
      <c r="B1309" t="s">
        <v>34</v>
      </c>
      <c r="C1309">
        <v>4</v>
      </c>
      <c r="D1309">
        <v>2746.2</v>
      </c>
      <c r="E1309">
        <v>26.8</v>
      </c>
      <c r="F1309" t="s">
        <v>13</v>
      </c>
      <c r="G1309" t="s">
        <v>14</v>
      </c>
      <c r="H1309">
        <v>119359</v>
      </c>
      <c r="I1309">
        <v>54</v>
      </c>
      <c r="J1309" t="s">
        <v>15</v>
      </c>
      <c r="K1309">
        <v>57259</v>
      </c>
      <c r="L1309" t="s">
        <v>22</v>
      </c>
    </row>
    <row r="1310" spans="1:12" x14ac:dyDescent="0.3">
      <c r="A1310">
        <v>2018</v>
      </c>
      <c r="B1310" t="s">
        <v>34</v>
      </c>
      <c r="C1310">
        <v>39</v>
      </c>
      <c r="D1310">
        <v>3360</v>
      </c>
      <c r="E1310">
        <v>26.8</v>
      </c>
      <c r="F1310" t="s">
        <v>13</v>
      </c>
      <c r="G1310" t="s">
        <v>14</v>
      </c>
      <c r="H1310">
        <v>283</v>
      </c>
      <c r="I1310">
        <v>58</v>
      </c>
      <c r="J1310" t="s">
        <v>15</v>
      </c>
      <c r="K1310">
        <v>234779</v>
      </c>
      <c r="L1310" t="s">
        <v>22</v>
      </c>
    </row>
    <row r="1311" spans="1:12" x14ac:dyDescent="0.3">
      <c r="A1311">
        <v>2004</v>
      </c>
      <c r="B1311" t="s">
        <v>34</v>
      </c>
      <c r="C1311">
        <v>6</v>
      </c>
      <c r="D1311">
        <v>3360</v>
      </c>
      <c r="E1311">
        <v>26.8</v>
      </c>
      <c r="F1311" t="s">
        <v>13</v>
      </c>
      <c r="G1311" t="s">
        <v>14</v>
      </c>
      <c r="H1311">
        <v>17690</v>
      </c>
      <c r="I1311">
        <v>58</v>
      </c>
      <c r="J1311" t="s">
        <v>15</v>
      </c>
      <c r="K1311">
        <v>1493</v>
      </c>
      <c r="L1311" t="s">
        <v>22</v>
      </c>
    </row>
    <row r="1312" spans="1:12" x14ac:dyDescent="0.3">
      <c r="A1312">
        <v>2005</v>
      </c>
      <c r="B1312" t="s">
        <v>34</v>
      </c>
      <c r="C1312">
        <v>12</v>
      </c>
      <c r="D1312">
        <v>3360</v>
      </c>
      <c r="E1312">
        <v>37</v>
      </c>
      <c r="F1312" t="s">
        <v>13</v>
      </c>
      <c r="G1312" t="s">
        <v>14</v>
      </c>
      <c r="H1312">
        <v>7157</v>
      </c>
      <c r="I1312">
        <v>59</v>
      </c>
      <c r="J1312" t="s">
        <v>15</v>
      </c>
      <c r="K1312">
        <v>64409</v>
      </c>
      <c r="L1312" t="s">
        <v>22</v>
      </c>
    </row>
    <row r="1313" spans="1:12" x14ac:dyDescent="0.3">
      <c r="A1313">
        <v>2006</v>
      </c>
      <c r="B1313" t="s">
        <v>34</v>
      </c>
      <c r="C1313">
        <v>3</v>
      </c>
      <c r="D1313">
        <v>3605.4</v>
      </c>
      <c r="E1313">
        <v>37</v>
      </c>
      <c r="F1313" t="s">
        <v>13</v>
      </c>
      <c r="G1313" t="s">
        <v>14</v>
      </c>
      <c r="H1313">
        <v>8700</v>
      </c>
      <c r="I1313">
        <v>50</v>
      </c>
      <c r="J1313" t="s">
        <v>15</v>
      </c>
      <c r="K1313">
        <v>249978</v>
      </c>
      <c r="L1313" t="s">
        <v>22</v>
      </c>
    </row>
    <row r="1314" spans="1:12" x14ac:dyDescent="0.3">
      <c r="A1314">
        <v>2007</v>
      </c>
      <c r="B1314" t="s">
        <v>34</v>
      </c>
      <c r="C1314">
        <v>17</v>
      </c>
      <c r="D1314">
        <v>3605.4</v>
      </c>
      <c r="E1314">
        <v>37</v>
      </c>
      <c r="F1314" t="s">
        <v>13</v>
      </c>
      <c r="G1314" t="s">
        <v>14</v>
      </c>
      <c r="H1314">
        <v>41266</v>
      </c>
      <c r="I1314">
        <v>54</v>
      </c>
      <c r="J1314" t="s">
        <v>15</v>
      </c>
      <c r="K1314">
        <v>637</v>
      </c>
      <c r="L1314" t="s">
        <v>22</v>
      </c>
    </row>
    <row r="1315" spans="1:12" x14ac:dyDescent="0.3">
      <c r="A1315">
        <v>2008</v>
      </c>
      <c r="B1315" t="s">
        <v>34</v>
      </c>
      <c r="C1315">
        <v>3</v>
      </c>
      <c r="D1315">
        <v>3605.4</v>
      </c>
      <c r="E1315">
        <v>38</v>
      </c>
      <c r="F1315" t="s">
        <v>13</v>
      </c>
      <c r="G1315" t="s">
        <v>14</v>
      </c>
      <c r="H1315">
        <v>8838</v>
      </c>
      <c r="I1315">
        <v>53</v>
      </c>
      <c r="J1315" t="s">
        <v>15</v>
      </c>
      <c r="K1315">
        <v>43311</v>
      </c>
      <c r="L1315" t="s">
        <v>22</v>
      </c>
    </row>
    <row r="1316" spans="1:12" x14ac:dyDescent="0.3">
      <c r="A1316">
        <v>2009</v>
      </c>
      <c r="B1316" t="s">
        <v>34</v>
      </c>
      <c r="C1316">
        <v>9</v>
      </c>
      <c r="D1316">
        <v>3512.4</v>
      </c>
      <c r="E1316">
        <v>38</v>
      </c>
      <c r="F1316" t="s">
        <v>13</v>
      </c>
      <c r="G1316" t="s">
        <v>14</v>
      </c>
      <c r="H1316">
        <v>8954</v>
      </c>
      <c r="I1316">
        <v>52</v>
      </c>
      <c r="J1316" t="s">
        <v>15</v>
      </c>
      <c r="K1316">
        <v>24848</v>
      </c>
      <c r="L1316" t="s">
        <v>22</v>
      </c>
    </row>
    <row r="1317" spans="1:12" x14ac:dyDescent="0.3">
      <c r="A1317">
        <v>2010</v>
      </c>
      <c r="B1317" t="s">
        <v>34</v>
      </c>
      <c r="C1317">
        <v>21</v>
      </c>
      <c r="D1317">
        <v>3512.4</v>
      </c>
      <c r="E1317">
        <v>38</v>
      </c>
      <c r="F1317" t="s">
        <v>13</v>
      </c>
      <c r="G1317" t="s">
        <v>14</v>
      </c>
      <c r="H1317">
        <v>42915</v>
      </c>
      <c r="I1317">
        <v>51</v>
      </c>
      <c r="J1317" t="s">
        <v>15</v>
      </c>
      <c r="K1317">
        <v>761</v>
      </c>
      <c r="L1317" t="s">
        <v>22</v>
      </c>
    </row>
    <row r="1318" spans="1:12" x14ac:dyDescent="0.3">
      <c r="A1318">
        <v>2011</v>
      </c>
      <c r="B1318" t="s">
        <v>34</v>
      </c>
      <c r="C1318">
        <v>11</v>
      </c>
      <c r="D1318">
        <v>3512.4</v>
      </c>
      <c r="E1318">
        <v>39</v>
      </c>
      <c r="F1318" t="s">
        <v>13</v>
      </c>
      <c r="G1318" t="s">
        <v>21</v>
      </c>
      <c r="H1318">
        <v>9230</v>
      </c>
      <c r="I1318">
        <v>57</v>
      </c>
      <c r="J1318" t="s">
        <v>15</v>
      </c>
      <c r="K1318">
        <v>45608</v>
      </c>
      <c r="L1318" t="s">
        <v>22</v>
      </c>
    </row>
    <row r="1319" spans="1:12" x14ac:dyDescent="0.3">
      <c r="A1319">
        <v>2012</v>
      </c>
      <c r="B1319" t="s">
        <v>34</v>
      </c>
      <c r="C1319">
        <v>4</v>
      </c>
      <c r="D1319">
        <v>3296</v>
      </c>
      <c r="E1319">
        <v>39</v>
      </c>
      <c r="F1319" t="s">
        <v>13</v>
      </c>
      <c r="G1319" t="s">
        <v>21</v>
      </c>
      <c r="H1319">
        <v>44313</v>
      </c>
      <c r="I1319">
        <v>57</v>
      </c>
      <c r="J1319" t="s">
        <v>15</v>
      </c>
      <c r="K1319">
        <v>234581</v>
      </c>
      <c r="L1319" t="s">
        <v>22</v>
      </c>
    </row>
    <row r="1320" spans="1:12" x14ac:dyDescent="0.3">
      <c r="A1320">
        <v>2013</v>
      </c>
      <c r="B1320" t="s">
        <v>34</v>
      </c>
      <c r="C1320">
        <v>15</v>
      </c>
      <c r="D1320">
        <v>3296</v>
      </c>
      <c r="E1320">
        <v>39</v>
      </c>
      <c r="F1320" t="s">
        <v>13</v>
      </c>
      <c r="G1320" t="s">
        <v>21</v>
      </c>
      <c r="H1320">
        <v>45820</v>
      </c>
      <c r="I1320">
        <v>60</v>
      </c>
      <c r="J1320" t="s">
        <v>15</v>
      </c>
      <c r="K1320">
        <v>646</v>
      </c>
      <c r="L1320" t="s">
        <v>22</v>
      </c>
    </row>
    <row r="1321" spans="1:12" x14ac:dyDescent="0.3">
      <c r="A1321">
        <v>2014</v>
      </c>
      <c r="B1321" t="s">
        <v>34</v>
      </c>
      <c r="C1321">
        <v>8</v>
      </c>
      <c r="D1321">
        <v>3296</v>
      </c>
      <c r="E1321">
        <v>40</v>
      </c>
      <c r="F1321" t="s">
        <v>13</v>
      </c>
      <c r="G1321" t="s">
        <v>21</v>
      </c>
      <c r="H1321">
        <v>49084</v>
      </c>
      <c r="I1321">
        <v>57</v>
      </c>
      <c r="J1321" t="s">
        <v>15</v>
      </c>
      <c r="K1321">
        <v>43562</v>
      </c>
      <c r="L1321" t="s">
        <v>22</v>
      </c>
    </row>
    <row r="1322" spans="1:12" x14ac:dyDescent="0.3">
      <c r="A1322">
        <v>2015</v>
      </c>
      <c r="B1322" t="s">
        <v>34</v>
      </c>
      <c r="C1322">
        <v>29</v>
      </c>
      <c r="D1322">
        <v>3550</v>
      </c>
      <c r="E1322">
        <v>40</v>
      </c>
      <c r="F1322" t="s">
        <v>13</v>
      </c>
      <c r="G1322" t="s">
        <v>21</v>
      </c>
      <c r="H1322">
        <v>86311</v>
      </c>
      <c r="I1322">
        <v>57</v>
      </c>
      <c r="J1322" t="s">
        <v>15</v>
      </c>
      <c r="K1322">
        <v>200000</v>
      </c>
      <c r="L1322" t="s">
        <v>22</v>
      </c>
    </row>
    <row r="1323" spans="1:12" x14ac:dyDescent="0.3">
      <c r="A1323">
        <v>2016</v>
      </c>
      <c r="B1323" t="s">
        <v>34</v>
      </c>
      <c r="C1323">
        <v>1</v>
      </c>
      <c r="D1323">
        <v>3550</v>
      </c>
      <c r="E1323">
        <v>40</v>
      </c>
      <c r="F1323" t="s">
        <v>13</v>
      </c>
      <c r="G1323" t="s">
        <v>21</v>
      </c>
      <c r="H1323">
        <v>57642</v>
      </c>
      <c r="I1323">
        <v>54</v>
      </c>
      <c r="J1323" t="s">
        <v>15</v>
      </c>
      <c r="K1323">
        <v>4847</v>
      </c>
      <c r="L1323" t="s">
        <v>22</v>
      </c>
    </row>
    <row r="1324" spans="1:12" x14ac:dyDescent="0.3">
      <c r="A1324">
        <v>2017</v>
      </c>
      <c r="B1324" t="s">
        <v>34</v>
      </c>
      <c r="C1324">
        <v>13736</v>
      </c>
      <c r="D1324">
        <v>3550</v>
      </c>
      <c r="E1324">
        <v>41</v>
      </c>
      <c r="F1324" t="s">
        <v>13</v>
      </c>
      <c r="G1324" t="s">
        <v>21</v>
      </c>
      <c r="H1324">
        <v>58405</v>
      </c>
      <c r="I1324">
        <v>54.5</v>
      </c>
      <c r="J1324" t="s">
        <v>15</v>
      </c>
      <c r="K1324">
        <v>51239</v>
      </c>
      <c r="L1324" t="s">
        <v>22</v>
      </c>
    </row>
    <row r="1325" spans="1:12" x14ac:dyDescent="0.3">
      <c r="A1325">
        <v>2018</v>
      </c>
      <c r="B1325" t="s">
        <v>34</v>
      </c>
      <c r="C1325">
        <v>14003</v>
      </c>
      <c r="D1325">
        <v>3654</v>
      </c>
      <c r="E1325">
        <v>41</v>
      </c>
      <c r="F1325" t="s">
        <v>13</v>
      </c>
      <c r="G1325" t="s">
        <v>21</v>
      </c>
      <c r="H1325">
        <v>60751</v>
      </c>
      <c r="I1325">
        <v>56.6</v>
      </c>
      <c r="J1325" t="s">
        <v>15</v>
      </c>
      <c r="K1325">
        <v>216396</v>
      </c>
      <c r="L1325" t="s">
        <v>22</v>
      </c>
    </row>
    <row r="1326" spans="1:12" x14ac:dyDescent="0.3">
      <c r="A1326">
        <v>2004</v>
      </c>
      <c r="B1326" t="s">
        <v>34</v>
      </c>
      <c r="C1326">
        <v>14179</v>
      </c>
      <c r="D1326">
        <v>3654</v>
      </c>
      <c r="E1326">
        <v>41</v>
      </c>
      <c r="F1326" t="s">
        <v>13</v>
      </c>
      <c r="G1326" t="s">
        <v>21</v>
      </c>
      <c r="H1326">
        <v>109506</v>
      </c>
      <c r="I1326">
        <v>55.5</v>
      </c>
      <c r="J1326" t="s">
        <v>15</v>
      </c>
      <c r="K1326">
        <v>2644</v>
      </c>
      <c r="L1326" t="s">
        <v>22</v>
      </c>
    </row>
    <row r="1327" spans="1:12" x14ac:dyDescent="0.3">
      <c r="A1327">
        <v>2005</v>
      </c>
      <c r="B1327" t="s">
        <v>34</v>
      </c>
      <c r="C1327">
        <v>14319</v>
      </c>
      <c r="D1327">
        <v>3654</v>
      </c>
      <c r="E1327">
        <v>42</v>
      </c>
      <c r="F1327" t="s">
        <v>13</v>
      </c>
      <c r="G1327" t="s">
        <v>21</v>
      </c>
      <c r="H1327">
        <v>114</v>
      </c>
      <c r="I1327">
        <v>58.5</v>
      </c>
      <c r="J1327" t="s">
        <v>15</v>
      </c>
      <c r="K1327">
        <v>44235</v>
      </c>
      <c r="L1327" t="s">
        <v>22</v>
      </c>
    </row>
    <row r="1328" spans="1:12" x14ac:dyDescent="0.3">
      <c r="A1328">
        <v>2006</v>
      </c>
      <c r="B1328" t="s">
        <v>34</v>
      </c>
      <c r="C1328">
        <v>14464</v>
      </c>
      <c r="D1328">
        <v>233</v>
      </c>
      <c r="E1328">
        <v>42</v>
      </c>
      <c r="F1328" t="s">
        <v>13</v>
      </c>
      <c r="G1328" t="s">
        <v>21</v>
      </c>
      <c r="H1328">
        <v>3</v>
      </c>
      <c r="I1328">
        <v>59.5</v>
      </c>
      <c r="J1328" t="s">
        <v>15</v>
      </c>
      <c r="K1328">
        <v>203317</v>
      </c>
      <c r="L1328" t="s">
        <v>22</v>
      </c>
    </row>
    <row r="1329" spans="1:12" x14ac:dyDescent="0.3">
      <c r="A1329">
        <v>2007</v>
      </c>
      <c r="B1329" t="s">
        <v>34</v>
      </c>
      <c r="C1329">
        <v>14876</v>
      </c>
      <c r="D1329">
        <v>233</v>
      </c>
      <c r="E1329">
        <v>42</v>
      </c>
      <c r="F1329" t="s">
        <v>13</v>
      </c>
      <c r="G1329" t="s">
        <v>21</v>
      </c>
      <c r="H1329">
        <v>95</v>
      </c>
      <c r="I1329">
        <v>55</v>
      </c>
      <c r="J1329" t="s">
        <v>15</v>
      </c>
      <c r="K1329">
        <v>2134</v>
      </c>
      <c r="L1329" t="s">
        <v>22</v>
      </c>
    </row>
    <row r="1330" spans="1:12" x14ac:dyDescent="0.3">
      <c r="A1330">
        <v>2008</v>
      </c>
      <c r="B1330" t="s">
        <v>34</v>
      </c>
      <c r="C1330">
        <v>14976</v>
      </c>
      <c r="D1330">
        <v>233</v>
      </c>
      <c r="E1330">
        <v>43</v>
      </c>
      <c r="F1330" t="s">
        <v>13</v>
      </c>
      <c r="G1330" t="s">
        <v>21</v>
      </c>
      <c r="H1330">
        <v>19</v>
      </c>
      <c r="I1330">
        <v>53</v>
      </c>
      <c r="J1330" t="s">
        <v>15</v>
      </c>
      <c r="K1330">
        <v>45186</v>
      </c>
      <c r="L1330" t="s">
        <v>22</v>
      </c>
    </row>
    <row r="1331" spans="1:12" x14ac:dyDescent="0.3">
      <c r="A1331">
        <v>2009</v>
      </c>
      <c r="B1331" t="s">
        <v>34</v>
      </c>
      <c r="C1331">
        <v>15009</v>
      </c>
      <c r="D1331">
        <v>234</v>
      </c>
      <c r="E1331">
        <v>43</v>
      </c>
      <c r="F1331" t="s">
        <v>13</v>
      </c>
      <c r="G1331" t="s">
        <v>21</v>
      </c>
      <c r="H1331">
        <v>54</v>
      </c>
      <c r="I1331">
        <v>53.5</v>
      </c>
      <c r="J1331" t="s">
        <v>15</v>
      </c>
      <c r="K1331">
        <v>238542</v>
      </c>
      <c r="L1331" t="s">
        <v>22</v>
      </c>
    </row>
    <row r="1332" spans="1:12" x14ac:dyDescent="0.3">
      <c r="A1332">
        <v>2010</v>
      </c>
      <c r="B1332" t="s">
        <v>34</v>
      </c>
      <c r="C1332">
        <v>15114</v>
      </c>
      <c r="D1332">
        <v>234</v>
      </c>
      <c r="E1332">
        <v>27</v>
      </c>
      <c r="F1332" t="s">
        <v>13</v>
      </c>
      <c r="G1332" t="s">
        <v>21</v>
      </c>
      <c r="H1332">
        <v>13</v>
      </c>
      <c r="I1332">
        <v>52.5</v>
      </c>
      <c r="J1332" t="s">
        <v>15</v>
      </c>
      <c r="K1332">
        <v>1516</v>
      </c>
      <c r="L1332" t="s">
        <v>22</v>
      </c>
    </row>
    <row r="1333" spans="1:12" x14ac:dyDescent="0.3">
      <c r="A1333">
        <v>2011</v>
      </c>
      <c r="B1333" t="s">
        <v>34</v>
      </c>
      <c r="C1333">
        <v>16224</v>
      </c>
      <c r="D1333">
        <v>234</v>
      </c>
      <c r="E1333">
        <v>27</v>
      </c>
      <c r="F1333" t="s">
        <v>13</v>
      </c>
      <c r="G1333" t="s">
        <v>21</v>
      </c>
      <c r="H1333">
        <v>123</v>
      </c>
      <c r="I1333">
        <v>56</v>
      </c>
      <c r="J1333" t="s">
        <v>15</v>
      </c>
      <c r="K1333">
        <v>57259</v>
      </c>
      <c r="L1333" t="s">
        <v>22</v>
      </c>
    </row>
    <row r="1334" spans="1:12" x14ac:dyDescent="0.3">
      <c r="A1334">
        <v>2012</v>
      </c>
      <c r="B1334" t="s">
        <v>34</v>
      </c>
      <c r="C1334">
        <v>17095</v>
      </c>
      <c r="D1334">
        <v>3105</v>
      </c>
      <c r="E1334">
        <v>27</v>
      </c>
      <c r="F1334" t="s">
        <v>13</v>
      </c>
      <c r="G1334" t="s">
        <v>21</v>
      </c>
      <c r="H1334">
        <v>19</v>
      </c>
      <c r="I1334">
        <v>57</v>
      </c>
      <c r="J1334" t="s">
        <v>15</v>
      </c>
      <c r="K1334">
        <v>234779</v>
      </c>
      <c r="L1334" t="s">
        <v>22</v>
      </c>
    </row>
    <row r="1335" spans="1:12" x14ac:dyDescent="0.3">
      <c r="A1335">
        <v>2013</v>
      </c>
      <c r="B1335" t="s">
        <v>34</v>
      </c>
      <c r="C1335">
        <v>17512</v>
      </c>
      <c r="D1335">
        <v>3105</v>
      </c>
      <c r="E1335">
        <v>27</v>
      </c>
      <c r="F1335" t="s">
        <v>13</v>
      </c>
      <c r="G1335" t="s">
        <v>21</v>
      </c>
      <c r="H1335">
        <v>32</v>
      </c>
      <c r="I1335">
        <v>57.5</v>
      </c>
      <c r="J1335" t="s">
        <v>15</v>
      </c>
      <c r="K1335">
        <v>1493</v>
      </c>
      <c r="L1335" t="s">
        <v>22</v>
      </c>
    </row>
    <row r="1336" spans="1:12" x14ac:dyDescent="0.3">
      <c r="A1336">
        <v>2014</v>
      </c>
      <c r="B1336" t="s">
        <v>34</v>
      </c>
      <c r="C1336">
        <v>17587</v>
      </c>
      <c r="D1336">
        <v>3105</v>
      </c>
      <c r="E1336">
        <v>27</v>
      </c>
      <c r="F1336" t="s">
        <v>13</v>
      </c>
      <c r="G1336" t="s">
        <v>21</v>
      </c>
      <c r="H1336">
        <v>8</v>
      </c>
      <c r="I1336">
        <v>57</v>
      </c>
      <c r="J1336" t="s">
        <v>15</v>
      </c>
      <c r="K1336">
        <v>64409</v>
      </c>
      <c r="L1336" t="s">
        <v>22</v>
      </c>
    </row>
    <row r="1337" spans="1:12" x14ac:dyDescent="0.3">
      <c r="A1337">
        <v>2015</v>
      </c>
      <c r="B1337" t="s">
        <v>34</v>
      </c>
      <c r="C1337">
        <v>17771</v>
      </c>
      <c r="D1337">
        <v>236</v>
      </c>
      <c r="E1337">
        <v>27</v>
      </c>
      <c r="F1337" t="s">
        <v>13</v>
      </c>
      <c r="G1337" t="s">
        <v>21</v>
      </c>
      <c r="H1337">
        <v>50</v>
      </c>
      <c r="I1337">
        <v>55</v>
      </c>
      <c r="J1337" t="s">
        <v>15</v>
      </c>
      <c r="K1337">
        <v>249978</v>
      </c>
      <c r="L1337" t="s">
        <v>22</v>
      </c>
    </row>
    <row r="1338" spans="1:12" x14ac:dyDescent="0.3">
      <c r="A1338">
        <v>2016</v>
      </c>
      <c r="B1338" t="s">
        <v>34</v>
      </c>
      <c r="C1338">
        <v>17825</v>
      </c>
      <c r="D1338">
        <v>236</v>
      </c>
      <c r="E1338">
        <v>27.2</v>
      </c>
      <c r="F1338" t="s">
        <v>19</v>
      </c>
      <c r="G1338" t="s">
        <v>21</v>
      </c>
      <c r="H1338">
        <v>10</v>
      </c>
      <c r="I1338">
        <v>56</v>
      </c>
      <c r="J1338" t="s">
        <v>15</v>
      </c>
      <c r="K1338">
        <v>200000</v>
      </c>
      <c r="L1338" t="s">
        <v>22</v>
      </c>
    </row>
    <row r="1339" spans="1:12" x14ac:dyDescent="0.3">
      <c r="A1339">
        <v>2017</v>
      </c>
      <c r="B1339" t="s">
        <v>34</v>
      </c>
      <c r="C1339">
        <v>3147</v>
      </c>
      <c r="D1339">
        <v>321</v>
      </c>
      <c r="E1339">
        <v>27.2</v>
      </c>
      <c r="F1339" t="s">
        <v>19</v>
      </c>
      <c r="G1339" t="s">
        <v>21</v>
      </c>
      <c r="H1339">
        <v>29</v>
      </c>
      <c r="I1339">
        <v>54</v>
      </c>
      <c r="J1339" t="s">
        <v>15</v>
      </c>
      <c r="K1339">
        <v>4847</v>
      </c>
      <c r="L1339" t="s">
        <v>22</v>
      </c>
    </row>
    <row r="1340" spans="1:12" x14ac:dyDescent="0.3">
      <c r="A1340">
        <v>2018</v>
      </c>
      <c r="B1340" t="s">
        <v>34</v>
      </c>
      <c r="C1340">
        <v>2578</v>
      </c>
      <c r="D1340">
        <v>3654</v>
      </c>
      <c r="E1340">
        <v>27.2</v>
      </c>
      <c r="F1340" t="s">
        <v>19</v>
      </c>
      <c r="G1340" t="s">
        <v>21</v>
      </c>
      <c r="H1340">
        <v>44</v>
      </c>
      <c r="I1340">
        <v>58</v>
      </c>
      <c r="J1340" t="s">
        <v>15</v>
      </c>
      <c r="K1340">
        <v>51239</v>
      </c>
      <c r="L1340" t="s">
        <v>22</v>
      </c>
    </row>
    <row r="1341" spans="1:12" x14ac:dyDescent="0.3">
      <c r="A1341">
        <v>2004</v>
      </c>
      <c r="B1341" t="s">
        <v>34</v>
      </c>
      <c r="C1341">
        <v>1591</v>
      </c>
      <c r="D1341">
        <v>323</v>
      </c>
      <c r="E1341">
        <v>27</v>
      </c>
      <c r="F1341" t="s">
        <v>19</v>
      </c>
      <c r="G1341" t="s">
        <v>21</v>
      </c>
      <c r="H1341">
        <v>33</v>
      </c>
      <c r="I1341">
        <v>58</v>
      </c>
      <c r="J1341" t="s">
        <v>15</v>
      </c>
      <c r="K1341">
        <v>216396</v>
      </c>
      <c r="L1341" t="s">
        <v>22</v>
      </c>
    </row>
    <row r="1342" spans="1:12" x14ac:dyDescent="0.3">
      <c r="A1342">
        <v>2005</v>
      </c>
      <c r="B1342" t="s">
        <v>34</v>
      </c>
      <c r="C1342">
        <v>1298</v>
      </c>
      <c r="D1342">
        <v>324</v>
      </c>
      <c r="E1342">
        <v>27</v>
      </c>
      <c r="F1342" t="s">
        <v>19</v>
      </c>
      <c r="G1342" t="s">
        <v>21</v>
      </c>
      <c r="H1342">
        <v>14</v>
      </c>
      <c r="I1342">
        <v>59</v>
      </c>
      <c r="J1342" t="s">
        <v>15</v>
      </c>
      <c r="K1342">
        <v>2644</v>
      </c>
      <c r="L1342" t="s">
        <v>22</v>
      </c>
    </row>
    <row r="1343" spans="1:12" x14ac:dyDescent="0.3">
      <c r="A1343">
        <v>2006</v>
      </c>
      <c r="B1343" t="s">
        <v>34</v>
      </c>
      <c r="C1343">
        <v>4</v>
      </c>
      <c r="D1343">
        <v>3105</v>
      </c>
      <c r="E1343">
        <v>27</v>
      </c>
      <c r="F1343" t="s">
        <v>19</v>
      </c>
      <c r="G1343" t="s">
        <v>21</v>
      </c>
      <c r="H1343">
        <v>56</v>
      </c>
      <c r="I1343">
        <v>50</v>
      </c>
      <c r="J1343" t="s">
        <v>15</v>
      </c>
      <c r="K1343">
        <v>44235</v>
      </c>
      <c r="L1343" t="s">
        <v>22</v>
      </c>
    </row>
    <row r="1344" spans="1:12" x14ac:dyDescent="0.3">
      <c r="A1344">
        <v>2007</v>
      </c>
      <c r="B1344" t="s">
        <v>34</v>
      </c>
      <c r="C1344">
        <v>1122</v>
      </c>
      <c r="D1344">
        <v>326</v>
      </c>
      <c r="E1344">
        <v>27</v>
      </c>
      <c r="F1344" t="s">
        <v>19</v>
      </c>
      <c r="G1344" t="s">
        <v>21</v>
      </c>
      <c r="H1344">
        <v>26</v>
      </c>
      <c r="I1344">
        <v>54</v>
      </c>
      <c r="J1344" t="s">
        <v>15</v>
      </c>
      <c r="K1344">
        <v>203317</v>
      </c>
      <c r="L1344" t="s">
        <v>22</v>
      </c>
    </row>
    <row r="1345" spans="1:12" x14ac:dyDescent="0.3">
      <c r="A1345">
        <v>2008</v>
      </c>
      <c r="B1345" t="s">
        <v>34</v>
      </c>
      <c r="C1345">
        <v>917</v>
      </c>
      <c r="D1345">
        <v>327</v>
      </c>
      <c r="E1345">
        <v>27</v>
      </c>
      <c r="F1345" t="s">
        <v>19</v>
      </c>
      <c r="G1345" t="s">
        <v>21</v>
      </c>
      <c r="H1345">
        <v>98</v>
      </c>
      <c r="I1345">
        <v>53</v>
      </c>
      <c r="J1345" t="s">
        <v>15</v>
      </c>
      <c r="K1345">
        <v>2134</v>
      </c>
      <c r="L1345" t="s">
        <v>22</v>
      </c>
    </row>
    <row r="1346" spans="1:12" x14ac:dyDescent="0.3">
      <c r="A1346">
        <v>2009</v>
      </c>
      <c r="B1346" t="s">
        <v>34</v>
      </c>
      <c r="C1346">
        <v>819</v>
      </c>
      <c r="D1346">
        <v>328</v>
      </c>
      <c r="E1346">
        <v>27</v>
      </c>
      <c r="F1346" t="s">
        <v>19</v>
      </c>
      <c r="G1346" t="s">
        <v>21</v>
      </c>
      <c r="H1346">
        <v>3</v>
      </c>
      <c r="I1346">
        <v>52</v>
      </c>
      <c r="J1346" t="s">
        <v>15</v>
      </c>
      <c r="K1346">
        <v>45186</v>
      </c>
      <c r="L1346" t="s">
        <v>22</v>
      </c>
    </row>
    <row r="1347" spans="1:12" x14ac:dyDescent="0.3">
      <c r="A1347">
        <v>2010</v>
      </c>
      <c r="B1347" t="s">
        <v>34</v>
      </c>
      <c r="C1347">
        <v>619</v>
      </c>
      <c r="D1347">
        <v>2903.1</v>
      </c>
      <c r="E1347">
        <v>27.2</v>
      </c>
      <c r="F1347" t="s">
        <v>19</v>
      </c>
      <c r="G1347" t="s">
        <v>21</v>
      </c>
      <c r="H1347">
        <v>58637</v>
      </c>
      <c r="I1347">
        <v>51</v>
      </c>
      <c r="J1347" t="s">
        <v>15</v>
      </c>
      <c r="K1347">
        <v>238542</v>
      </c>
      <c r="L1347" t="s">
        <v>22</v>
      </c>
    </row>
    <row r="1348" spans="1:12" x14ac:dyDescent="0.3">
      <c r="A1348">
        <v>2011</v>
      </c>
      <c r="B1348" t="s">
        <v>34</v>
      </c>
      <c r="C1348">
        <v>391</v>
      </c>
      <c r="D1348">
        <v>2903.1</v>
      </c>
      <c r="E1348">
        <v>27.2</v>
      </c>
      <c r="F1348" t="s">
        <v>19</v>
      </c>
      <c r="G1348" t="s">
        <v>21</v>
      </c>
      <c r="H1348">
        <v>59777</v>
      </c>
      <c r="I1348">
        <v>57</v>
      </c>
      <c r="J1348" t="s">
        <v>15</v>
      </c>
      <c r="K1348">
        <v>1516</v>
      </c>
      <c r="L1348" t="s">
        <v>22</v>
      </c>
    </row>
    <row r="1349" spans="1:12" x14ac:dyDescent="0.3">
      <c r="A1349">
        <v>2012</v>
      </c>
      <c r="B1349" t="s">
        <v>34</v>
      </c>
      <c r="C1349">
        <v>211</v>
      </c>
      <c r="D1349">
        <v>2903.1</v>
      </c>
      <c r="E1349">
        <v>27.2</v>
      </c>
      <c r="F1349" t="s">
        <v>19</v>
      </c>
      <c r="G1349" t="s">
        <v>21</v>
      </c>
      <c r="H1349">
        <v>60528</v>
      </c>
      <c r="I1349">
        <v>57</v>
      </c>
      <c r="J1349" t="s">
        <v>15</v>
      </c>
      <c r="K1349">
        <v>57259</v>
      </c>
      <c r="L1349" t="s">
        <v>22</v>
      </c>
    </row>
    <row r="1350" spans="1:12" x14ac:dyDescent="0.3">
      <c r="A1350">
        <v>2013</v>
      </c>
      <c r="B1350" t="s">
        <v>34</v>
      </c>
      <c r="C1350">
        <v>153</v>
      </c>
      <c r="D1350">
        <v>2996.6</v>
      </c>
      <c r="E1350">
        <v>27.1</v>
      </c>
      <c r="F1350" t="s">
        <v>19</v>
      </c>
      <c r="G1350" t="s">
        <v>21</v>
      </c>
      <c r="H1350">
        <v>61126</v>
      </c>
      <c r="I1350">
        <v>60</v>
      </c>
      <c r="J1350" t="s">
        <v>15</v>
      </c>
      <c r="K1350">
        <v>234779</v>
      </c>
      <c r="L1350" t="s">
        <v>22</v>
      </c>
    </row>
    <row r="1351" spans="1:12" x14ac:dyDescent="0.3">
      <c r="A1351">
        <v>2014</v>
      </c>
      <c r="B1351" t="s">
        <v>34</v>
      </c>
      <c r="C1351">
        <v>111</v>
      </c>
      <c r="D1351">
        <v>2996.6</v>
      </c>
      <c r="E1351">
        <v>27.1</v>
      </c>
      <c r="F1351" t="s">
        <v>19</v>
      </c>
      <c r="G1351" t="s">
        <v>21</v>
      </c>
      <c r="H1351">
        <v>623687</v>
      </c>
      <c r="I1351">
        <v>57</v>
      </c>
      <c r="J1351" t="s">
        <v>15</v>
      </c>
      <c r="K1351">
        <v>1493</v>
      </c>
      <c r="L1351" t="s">
        <v>22</v>
      </c>
    </row>
    <row r="1352" spans="1:12" x14ac:dyDescent="0.3">
      <c r="A1352">
        <v>2015</v>
      </c>
      <c r="B1352" t="s">
        <v>34</v>
      </c>
      <c r="C1352">
        <v>76</v>
      </c>
      <c r="D1352">
        <v>2996.6</v>
      </c>
      <c r="E1352">
        <v>27.1</v>
      </c>
      <c r="F1352" t="s">
        <v>19</v>
      </c>
      <c r="G1352" t="s">
        <v>21</v>
      </c>
      <c r="H1352">
        <v>63504</v>
      </c>
      <c r="I1352">
        <v>57</v>
      </c>
      <c r="J1352" t="s">
        <v>15</v>
      </c>
      <c r="K1352">
        <v>64409</v>
      </c>
      <c r="L1352" t="s">
        <v>22</v>
      </c>
    </row>
    <row r="1353" spans="1:12" x14ac:dyDescent="0.3">
      <c r="A1353">
        <v>2016</v>
      </c>
      <c r="B1353" t="s">
        <v>34</v>
      </c>
      <c r="C1353">
        <v>53</v>
      </c>
      <c r="D1353">
        <v>3522.8</v>
      </c>
      <c r="E1353">
        <v>26.8</v>
      </c>
      <c r="F1353" t="s">
        <v>19</v>
      </c>
      <c r="G1353" t="s">
        <v>21</v>
      </c>
      <c r="H1353">
        <v>63931</v>
      </c>
      <c r="I1353">
        <v>54</v>
      </c>
      <c r="J1353" t="s">
        <v>15</v>
      </c>
      <c r="K1353">
        <v>249978</v>
      </c>
      <c r="L1353" t="s">
        <v>22</v>
      </c>
    </row>
    <row r="1354" spans="1:12" x14ac:dyDescent="0.3">
      <c r="A1354">
        <v>2017</v>
      </c>
      <c r="B1354" t="s">
        <v>34</v>
      </c>
      <c r="C1354">
        <v>2688</v>
      </c>
      <c r="D1354">
        <v>3522.8</v>
      </c>
      <c r="E1354">
        <v>26.8</v>
      </c>
      <c r="F1354" t="s">
        <v>19</v>
      </c>
      <c r="G1354" t="s">
        <v>21</v>
      </c>
      <c r="H1354">
        <v>73730</v>
      </c>
      <c r="I1354">
        <v>54.5</v>
      </c>
      <c r="J1354" t="s">
        <v>15</v>
      </c>
      <c r="K1354">
        <v>637</v>
      </c>
      <c r="L1354" t="s">
        <v>22</v>
      </c>
    </row>
    <row r="1355" spans="1:12" x14ac:dyDescent="0.3">
      <c r="A1355">
        <v>2018</v>
      </c>
      <c r="B1355" t="s">
        <v>34</v>
      </c>
      <c r="C1355">
        <v>2311</v>
      </c>
      <c r="D1355">
        <v>3522.8</v>
      </c>
      <c r="E1355">
        <v>26.8</v>
      </c>
      <c r="F1355" t="s">
        <v>19</v>
      </c>
      <c r="G1355" t="s">
        <v>21</v>
      </c>
      <c r="H1355">
        <v>118416</v>
      </c>
      <c r="I1355">
        <v>56.6</v>
      </c>
      <c r="J1355" t="s">
        <v>15</v>
      </c>
      <c r="K1355">
        <v>43311</v>
      </c>
      <c r="L1355" t="s">
        <v>22</v>
      </c>
    </row>
    <row r="1356" spans="1:12" x14ac:dyDescent="0.3">
      <c r="A1356">
        <v>2019</v>
      </c>
      <c r="B1356" t="s">
        <v>34</v>
      </c>
      <c r="C1356">
        <v>2188</v>
      </c>
      <c r="D1356">
        <v>3729.8</v>
      </c>
      <c r="E1356">
        <v>37</v>
      </c>
      <c r="F1356" t="s">
        <v>19</v>
      </c>
      <c r="G1356" t="s">
        <v>21</v>
      </c>
      <c r="H1356">
        <v>130132</v>
      </c>
      <c r="I1356">
        <v>55.5</v>
      </c>
      <c r="J1356" t="s">
        <v>15</v>
      </c>
      <c r="K1356">
        <v>24848</v>
      </c>
      <c r="L1356" t="s">
        <v>22</v>
      </c>
    </row>
    <row r="1357" spans="1:12" x14ac:dyDescent="0.3">
      <c r="A1357">
        <v>2004</v>
      </c>
      <c r="B1357" t="s">
        <v>34</v>
      </c>
      <c r="C1357">
        <v>1998</v>
      </c>
      <c r="D1357">
        <v>3729.8</v>
      </c>
      <c r="E1357">
        <v>37</v>
      </c>
      <c r="F1357" t="s">
        <v>19</v>
      </c>
      <c r="G1357" t="s">
        <v>21</v>
      </c>
      <c r="H1357">
        <v>154889</v>
      </c>
      <c r="I1357">
        <v>58.5</v>
      </c>
      <c r="J1357" t="s">
        <v>15</v>
      </c>
      <c r="K1357">
        <v>761</v>
      </c>
      <c r="L1357" t="s">
        <v>22</v>
      </c>
    </row>
    <row r="1358" spans="1:12" x14ac:dyDescent="0.3">
      <c r="A1358">
        <v>2005</v>
      </c>
      <c r="B1358" t="s">
        <v>34</v>
      </c>
      <c r="C1358">
        <v>2006</v>
      </c>
      <c r="D1358">
        <v>3729.8</v>
      </c>
      <c r="E1358">
        <v>37</v>
      </c>
      <c r="F1358" t="s">
        <v>19</v>
      </c>
      <c r="G1358" t="s">
        <v>21</v>
      </c>
      <c r="H1358">
        <v>171739</v>
      </c>
      <c r="I1358">
        <v>59.5</v>
      </c>
      <c r="J1358" t="s">
        <v>15</v>
      </c>
      <c r="K1358">
        <v>45608</v>
      </c>
      <c r="L1358" t="s">
        <v>22</v>
      </c>
    </row>
    <row r="1359" spans="1:12" x14ac:dyDescent="0.3">
      <c r="A1359">
        <v>2006</v>
      </c>
      <c r="B1359" t="s">
        <v>34</v>
      </c>
      <c r="C1359">
        <v>2034</v>
      </c>
      <c r="D1359">
        <v>2746.2</v>
      </c>
      <c r="E1359">
        <v>38</v>
      </c>
      <c r="F1359" t="s">
        <v>19</v>
      </c>
      <c r="G1359" t="s">
        <v>21</v>
      </c>
      <c r="H1359">
        <v>172475</v>
      </c>
      <c r="I1359">
        <v>55</v>
      </c>
      <c r="J1359" t="s">
        <v>15</v>
      </c>
      <c r="K1359">
        <v>234581</v>
      </c>
      <c r="L1359" t="s">
        <v>22</v>
      </c>
    </row>
    <row r="1360" spans="1:12" x14ac:dyDescent="0.3">
      <c r="A1360">
        <v>2007</v>
      </c>
      <c r="B1360" t="s">
        <v>34</v>
      </c>
      <c r="C1360">
        <v>2035</v>
      </c>
      <c r="D1360">
        <v>2746.2</v>
      </c>
      <c r="E1360">
        <v>38</v>
      </c>
      <c r="F1360" t="s">
        <v>19</v>
      </c>
      <c r="G1360" t="s">
        <v>21</v>
      </c>
      <c r="H1360">
        <v>177939</v>
      </c>
      <c r="I1360">
        <v>53</v>
      </c>
      <c r="J1360" t="s">
        <v>15</v>
      </c>
      <c r="K1360">
        <v>646</v>
      </c>
      <c r="L1360" t="s">
        <v>22</v>
      </c>
    </row>
    <row r="1361" spans="1:12" x14ac:dyDescent="0.3">
      <c r="A1361">
        <v>2008</v>
      </c>
      <c r="B1361" t="s">
        <v>34</v>
      </c>
      <c r="C1361">
        <v>2074</v>
      </c>
      <c r="D1361">
        <v>2746.2</v>
      </c>
      <c r="E1361">
        <v>38</v>
      </c>
      <c r="F1361" t="s">
        <v>19</v>
      </c>
      <c r="G1361" t="s">
        <v>26</v>
      </c>
      <c r="H1361">
        <v>313547</v>
      </c>
      <c r="I1361">
        <v>53.5</v>
      </c>
      <c r="J1361" t="s">
        <v>15</v>
      </c>
      <c r="K1361">
        <v>43562</v>
      </c>
      <c r="L1361" t="s">
        <v>22</v>
      </c>
    </row>
    <row r="1362" spans="1:12" x14ac:dyDescent="0.3">
      <c r="A1362">
        <v>2009</v>
      </c>
      <c r="B1362" t="s">
        <v>34</v>
      </c>
      <c r="C1362">
        <v>2127</v>
      </c>
      <c r="D1362">
        <v>3360</v>
      </c>
      <c r="E1362">
        <v>39</v>
      </c>
      <c r="F1362" t="s">
        <v>19</v>
      </c>
      <c r="G1362" t="s">
        <v>26</v>
      </c>
      <c r="H1362">
        <v>2783</v>
      </c>
      <c r="I1362">
        <v>52.5</v>
      </c>
      <c r="J1362" t="s">
        <v>15</v>
      </c>
      <c r="K1362">
        <v>200000</v>
      </c>
      <c r="L1362" t="s">
        <v>22</v>
      </c>
    </row>
    <row r="1363" spans="1:12" x14ac:dyDescent="0.3">
      <c r="A1363">
        <v>2010</v>
      </c>
      <c r="B1363" t="s">
        <v>34</v>
      </c>
      <c r="C1363">
        <v>2090</v>
      </c>
      <c r="D1363">
        <v>3360</v>
      </c>
      <c r="E1363">
        <v>39</v>
      </c>
      <c r="F1363" t="s">
        <v>19</v>
      </c>
      <c r="G1363" t="s">
        <v>26</v>
      </c>
      <c r="H1363">
        <v>1533</v>
      </c>
      <c r="I1363">
        <v>56</v>
      </c>
      <c r="J1363" t="s">
        <v>15</v>
      </c>
      <c r="K1363">
        <v>4847</v>
      </c>
      <c r="L1363" t="s">
        <v>22</v>
      </c>
    </row>
    <row r="1364" spans="1:12" x14ac:dyDescent="0.3">
      <c r="A1364">
        <v>2011</v>
      </c>
      <c r="B1364" t="s">
        <v>34</v>
      </c>
      <c r="C1364">
        <v>2059</v>
      </c>
      <c r="D1364">
        <v>3360</v>
      </c>
      <c r="E1364">
        <v>39</v>
      </c>
      <c r="F1364" t="s">
        <v>19</v>
      </c>
      <c r="G1364" t="s">
        <v>26</v>
      </c>
      <c r="H1364">
        <v>1647</v>
      </c>
      <c r="I1364">
        <v>57</v>
      </c>
      <c r="J1364" t="s">
        <v>15</v>
      </c>
      <c r="K1364">
        <v>51239</v>
      </c>
      <c r="L1364" t="s">
        <v>22</v>
      </c>
    </row>
    <row r="1365" spans="1:12" x14ac:dyDescent="0.3">
      <c r="A1365">
        <v>2012</v>
      </c>
      <c r="B1365" t="s">
        <v>34</v>
      </c>
      <c r="C1365">
        <v>2050</v>
      </c>
      <c r="D1365">
        <v>3605.4</v>
      </c>
      <c r="E1365">
        <v>40</v>
      </c>
      <c r="F1365" t="s">
        <v>19</v>
      </c>
      <c r="G1365" t="s">
        <v>26</v>
      </c>
      <c r="H1365">
        <v>975</v>
      </c>
      <c r="I1365">
        <v>57.5</v>
      </c>
      <c r="J1365" t="s">
        <v>15</v>
      </c>
      <c r="K1365">
        <v>216396</v>
      </c>
      <c r="L1365" t="s">
        <v>22</v>
      </c>
    </row>
    <row r="1366" spans="1:12" x14ac:dyDescent="0.3">
      <c r="A1366">
        <v>2013</v>
      </c>
      <c r="B1366" t="s">
        <v>34</v>
      </c>
      <c r="C1366">
        <v>1865</v>
      </c>
      <c r="D1366">
        <v>3605.4</v>
      </c>
      <c r="E1366">
        <v>40</v>
      </c>
      <c r="F1366" t="s">
        <v>19</v>
      </c>
      <c r="G1366" t="s">
        <v>26</v>
      </c>
      <c r="H1366">
        <v>2</v>
      </c>
      <c r="I1366">
        <v>57</v>
      </c>
      <c r="J1366" t="s">
        <v>15</v>
      </c>
      <c r="K1366">
        <v>2644</v>
      </c>
      <c r="L1366" t="s">
        <v>22</v>
      </c>
    </row>
    <row r="1367" spans="1:12" x14ac:dyDescent="0.3">
      <c r="A1367">
        <v>2014</v>
      </c>
      <c r="B1367" t="s">
        <v>34</v>
      </c>
      <c r="C1367">
        <v>1841</v>
      </c>
      <c r="D1367">
        <v>3605.4</v>
      </c>
      <c r="E1367">
        <v>40</v>
      </c>
      <c r="F1367" t="s">
        <v>24</v>
      </c>
      <c r="G1367" t="s">
        <v>26</v>
      </c>
      <c r="H1367">
        <v>836</v>
      </c>
      <c r="I1367">
        <v>55</v>
      </c>
      <c r="J1367" t="s">
        <v>15</v>
      </c>
      <c r="K1367">
        <v>44235</v>
      </c>
      <c r="L1367" t="s">
        <v>22</v>
      </c>
    </row>
    <row r="1368" spans="1:12" x14ac:dyDescent="0.3">
      <c r="A1368">
        <v>2015</v>
      </c>
      <c r="B1368" t="s">
        <v>34</v>
      </c>
      <c r="C1368">
        <v>1799</v>
      </c>
      <c r="D1368">
        <v>3512.4</v>
      </c>
      <c r="E1368">
        <v>41</v>
      </c>
      <c r="F1368" t="s">
        <v>24</v>
      </c>
      <c r="G1368" t="s">
        <v>26</v>
      </c>
      <c r="H1368">
        <v>806</v>
      </c>
      <c r="I1368">
        <v>56</v>
      </c>
      <c r="J1368" t="s">
        <v>15</v>
      </c>
      <c r="K1368">
        <v>203317</v>
      </c>
      <c r="L1368" t="s">
        <v>22</v>
      </c>
    </row>
    <row r="1369" spans="1:12" x14ac:dyDescent="0.3">
      <c r="A1369">
        <v>2016</v>
      </c>
      <c r="B1369" t="s">
        <v>34</v>
      </c>
      <c r="C1369">
        <v>1468</v>
      </c>
      <c r="D1369">
        <v>3512.4</v>
      </c>
      <c r="E1369">
        <v>41</v>
      </c>
      <c r="F1369" t="s">
        <v>24</v>
      </c>
      <c r="G1369" t="s">
        <v>26</v>
      </c>
      <c r="H1369">
        <v>880</v>
      </c>
      <c r="I1369">
        <v>54</v>
      </c>
      <c r="J1369" t="s">
        <v>15</v>
      </c>
      <c r="K1369">
        <v>2134</v>
      </c>
      <c r="L1369" t="s">
        <v>22</v>
      </c>
    </row>
    <row r="1370" spans="1:12" x14ac:dyDescent="0.3">
      <c r="A1370">
        <v>2017</v>
      </c>
      <c r="B1370" t="s">
        <v>34</v>
      </c>
      <c r="C1370">
        <v>568</v>
      </c>
      <c r="D1370">
        <v>3512.4</v>
      </c>
      <c r="E1370">
        <v>41</v>
      </c>
      <c r="F1370" t="s">
        <v>24</v>
      </c>
      <c r="G1370" t="s">
        <v>26</v>
      </c>
      <c r="H1370">
        <v>770</v>
      </c>
      <c r="I1370">
        <v>58</v>
      </c>
      <c r="J1370" t="s">
        <v>15</v>
      </c>
      <c r="K1370">
        <v>45186</v>
      </c>
      <c r="L1370" t="s">
        <v>22</v>
      </c>
    </row>
    <row r="1371" spans="1:12" x14ac:dyDescent="0.3">
      <c r="A1371">
        <v>2018</v>
      </c>
      <c r="B1371" t="s">
        <v>34</v>
      </c>
      <c r="C1371">
        <v>407</v>
      </c>
      <c r="D1371">
        <v>3296</v>
      </c>
      <c r="E1371">
        <v>42</v>
      </c>
      <c r="F1371" t="s">
        <v>24</v>
      </c>
      <c r="G1371" t="s">
        <v>26</v>
      </c>
      <c r="H1371">
        <v>395</v>
      </c>
      <c r="I1371">
        <v>58</v>
      </c>
      <c r="J1371" t="s">
        <v>15</v>
      </c>
      <c r="K1371">
        <v>238542</v>
      </c>
      <c r="L1371" t="s">
        <v>22</v>
      </c>
    </row>
    <row r="1372" spans="1:12" x14ac:dyDescent="0.3">
      <c r="A1372">
        <v>2012</v>
      </c>
      <c r="B1372" t="s">
        <v>34</v>
      </c>
      <c r="C1372">
        <v>177</v>
      </c>
      <c r="D1372">
        <v>3296</v>
      </c>
      <c r="E1372">
        <v>42</v>
      </c>
      <c r="F1372" t="s">
        <v>24</v>
      </c>
      <c r="G1372" t="s">
        <v>26</v>
      </c>
      <c r="H1372">
        <v>187</v>
      </c>
      <c r="I1372">
        <v>59</v>
      </c>
      <c r="J1372" t="s">
        <v>15</v>
      </c>
      <c r="K1372">
        <v>1516</v>
      </c>
      <c r="L1372" t="s">
        <v>22</v>
      </c>
    </row>
    <row r="1373" spans="1:12" x14ac:dyDescent="0.3">
      <c r="A1373">
        <v>2013</v>
      </c>
      <c r="B1373" t="s">
        <v>34</v>
      </c>
      <c r="C1373">
        <v>51</v>
      </c>
      <c r="D1373">
        <v>3296</v>
      </c>
      <c r="E1373">
        <v>42</v>
      </c>
      <c r="F1373" t="s">
        <v>24</v>
      </c>
      <c r="G1373" t="s">
        <v>26</v>
      </c>
      <c r="H1373">
        <v>187</v>
      </c>
      <c r="I1373">
        <v>50</v>
      </c>
      <c r="J1373" t="s">
        <v>15</v>
      </c>
      <c r="K1373">
        <v>57259</v>
      </c>
      <c r="L1373" t="s">
        <v>22</v>
      </c>
    </row>
    <row r="1374" spans="1:12" x14ac:dyDescent="0.3">
      <c r="A1374">
        <v>2014</v>
      </c>
      <c r="B1374" t="s">
        <v>34</v>
      </c>
      <c r="C1374">
        <v>173</v>
      </c>
      <c r="D1374">
        <v>3550</v>
      </c>
      <c r="E1374">
        <v>43</v>
      </c>
      <c r="F1374" t="s">
        <v>24</v>
      </c>
      <c r="G1374" t="s">
        <v>26</v>
      </c>
      <c r="H1374">
        <v>121</v>
      </c>
      <c r="I1374">
        <v>54</v>
      </c>
      <c r="J1374" t="s">
        <v>15</v>
      </c>
      <c r="K1374">
        <v>234779</v>
      </c>
      <c r="L1374" t="s">
        <v>22</v>
      </c>
    </row>
    <row r="1375" spans="1:12" x14ac:dyDescent="0.3">
      <c r="A1375">
        <v>2015</v>
      </c>
      <c r="B1375" t="s">
        <v>34</v>
      </c>
      <c r="C1375">
        <v>201</v>
      </c>
      <c r="D1375">
        <v>3550</v>
      </c>
      <c r="E1375">
        <v>27</v>
      </c>
      <c r="F1375" t="s">
        <v>24</v>
      </c>
      <c r="G1375" t="s">
        <v>26</v>
      </c>
      <c r="H1375">
        <v>103</v>
      </c>
      <c r="I1375">
        <v>53</v>
      </c>
      <c r="J1375" t="s">
        <v>15</v>
      </c>
      <c r="K1375">
        <v>1493</v>
      </c>
      <c r="L1375" t="s">
        <v>22</v>
      </c>
    </row>
    <row r="1376" spans="1:12" x14ac:dyDescent="0.3">
      <c r="A1376">
        <v>2016</v>
      </c>
      <c r="B1376" t="s">
        <v>34</v>
      </c>
      <c r="C1376">
        <v>206</v>
      </c>
      <c r="D1376">
        <v>3550</v>
      </c>
      <c r="E1376">
        <v>27</v>
      </c>
      <c r="F1376" t="s">
        <v>24</v>
      </c>
      <c r="G1376" t="s">
        <v>26</v>
      </c>
      <c r="H1376">
        <v>71</v>
      </c>
      <c r="I1376">
        <v>52</v>
      </c>
      <c r="J1376" t="s">
        <v>15</v>
      </c>
      <c r="K1376">
        <v>64409</v>
      </c>
      <c r="L1376" t="s">
        <v>22</v>
      </c>
    </row>
    <row r="1377" spans="1:12" x14ac:dyDescent="0.3">
      <c r="A1377">
        <v>2017</v>
      </c>
      <c r="B1377" t="s">
        <v>34</v>
      </c>
      <c r="C1377">
        <v>243</v>
      </c>
      <c r="D1377">
        <v>3654</v>
      </c>
      <c r="E1377">
        <v>27</v>
      </c>
      <c r="F1377" t="s">
        <v>24</v>
      </c>
      <c r="G1377" t="s">
        <v>26</v>
      </c>
      <c r="H1377">
        <v>3961</v>
      </c>
      <c r="I1377">
        <v>51</v>
      </c>
      <c r="J1377" t="s">
        <v>15</v>
      </c>
      <c r="K1377">
        <v>249978</v>
      </c>
      <c r="L1377" t="s">
        <v>22</v>
      </c>
    </row>
    <row r="1378" spans="1:12" x14ac:dyDescent="0.3">
      <c r="A1378">
        <v>2018</v>
      </c>
      <c r="B1378" t="s">
        <v>34</v>
      </c>
      <c r="C1378">
        <v>123</v>
      </c>
      <c r="D1378">
        <v>3654</v>
      </c>
      <c r="E1378">
        <v>27</v>
      </c>
      <c r="F1378" t="s">
        <v>24</v>
      </c>
      <c r="G1378" t="s">
        <v>26</v>
      </c>
      <c r="H1378">
        <v>4247</v>
      </c>
      <c r="I1378">
        <v>57</v>
      </c>
      <c r="J1378" t="s">
        <v>15</v>
      </c>
      <c r="K1378">
        <v>637</v>
      </c>
      <c r="L1378" t="s">
        <v>22</v>
      </c>
    </row>
    <row r="1379" spans="1:12" x14ac:dyDescent="0.3">
      <c r="A1379">
        <v>2019</v>
      </c>
      <c r="B1379" t="s">
        <v>34</v>
      </c>
      <c r="C1379">
        <v>82</v>
      </c>
      <c r="D1379">
        <v>3654</v>
      </c>
      <c r="E1379">
        <v>27</v>
      </c>
      <c r="F1379" t="s">
        <v>24</v>
      </c>
      <c r="G1379" t="s">
        <v>26</v>
      </c>
      <c r="H1379">
        <v>3290</v>
      </c>
      <c r="I1379">
        <v>57</v>
      </c>
      <c r="J1379" t="s">
        <v>15</v>
      </c>
      <c r="K1379">
        <v>43311</v>
      </c>
      <c r="L1379" t="s">
        <v>22</v>
      </c>
    </row>
    <row r="1380" spans="1:12" x14ac:dyDescent="0.3">
      <c r="A1380">
        <v>2004</v>
      </c>
      <c r="B1380" t="s">
        <v>34</v>
      </c>
      <c r="C1380">
        <v>74</v>
      </c>
      <c r="D1380">
        <v>233</v>
      </c>
      <c r="E1380">
        <v>27</v>
      </c>
      <c r="F1380" t="s">
        <v>24</v>
      </c>
      <c r="G1380" t="s">
        <v>26</v>
      </c>
      <c r="H1380">
        <v>3138</v>
      </c>
      <c r="I1380">
        <v>60</v>
      </c>
      <c r="J1380" t="s">
        <v>15</v>
      </c>
      <c r="K1380">
        <v>24848</v>
      </c>
      <c r="L1380" t="s">
        <v>22</v>
      </c>
    </row>
    <row r="1381" spans="1:12" x14ac:dyDescent="0.3">
      <c r="A1381">
        <v>2005</v>
      </c>
      <c r="B1381" t="s">
        <v>34</v>
      </c>
      <c r="C1381">
        <v>18</v>
      </c>
      <c r="D1381">
        <v>233</v>
      </c>
      <c r="E1381">
        <v>27</v>
      </c>
      <c r="F1381" t="s">
        <v>24</v>
      </c>
      <c r="G1381" t="s">
        <v>26</v>
      </c>
      <c r="H1381">
        <v>3423</v>
      </c>
      <c r="I1381">
        <v>57</v>
      </c>
      <c r="J1381" t="s">
        <v>15</v>
      </c>
      <c r="K1381">
        <v>761</v>
      </c>
      <c r="L1381" t="s">
        <v>22</v>
      </c>
    </row>
    <row r="1382" spans="1:12" x14ac:dyDescent="0.3">
      <c r="A1382">
        <v>2006</v>
      </c>
      <c r="B1382" t="s">
        <v>34</v>
      </c>
      <c r="C1382">
        <v>37</v>
      </c>
      <c r="D1382">
        <v>233</v>
      </c>
      <c r="E1382">
        <v>27</v>
      </c>
      <c r="F1382" t="s">
        <v>24</v>
      </c>
      <c r="G1382" t="s">
        <v>26</v>
      </c>
      <c r="H1382">
        <v>3899</v>
      </c>
      <c r="I1382">
        <v>57</v>
      </c>
      <c r="J1382" t="s">
        <v>15</v>
      </c>
      <c r="K1382">
        <v>45608</v>
      </c>
      <c r="L1382" t="s">
        <v>22</v>
      </c>
    </row>
    <row r="1383" spans="1:12" x14ac:dyDescent="0.3">
      <c r="A1383">
        <v>2007</v>
      </c>
      <c r="B1383" t="s">
        <v>34</v>
      </c>
      <c r="C1383">
        <v>35</v>
      </c>
      <c r="D1383">
        <v>234</v>
      </c>
      <c r="E1383">
        <v>27.2</v>
      </c>
      <c r="F1383" t="s">
        <v>24</v>
      </c>
      <c r="G1383" t="s">
        <v>26</v>
      </c>
      <c r="H1383">
        <v>4015</v>
      </c>
      <c r="I1383">
        <v>54</v>
      </c>
      <c r="J1383" t="s">
        <v>15</v>
      </c>
      <c r="K1383">
        <v>234581</v>
      </c>
      <c r="L1383" t="s">
        <v>22</v>
      </c>
    </row>
    <row r="1384" spans="1:12" x14ac:dyDescent="0.3">
      <c r="A1384">
        <v>2008</v>
      </c>
      <c r="B1384" t="s">
        <v>34</v>
      </c>
      <c r="C1384">
        <v>5974</v>
      </c>
      <c r="D1384">
        <v>234</v>
      </c>
      <c r="E1384">
        <v>27.2</v>
      </c>
      <c r="F1384" t="s">
        <v>24</v>
      </c>
      <c r="G1384" t="s">
        <v>26</v>
      </c>
      <c r="H1384">
        <v>4279</v>
      </c>
      <c r="I1384">
        <v>54.5</v>
      </c>
      <c r="J1384" t="s">
        <v>15</v>
      </c>
      <c r="K1384">
        <v>646</v>
      </c>
      <c r="L1384" t="s">
        <v>22</v>
      </c>
    </row>
    <row r="1385" spans="1:12" x14ac:dyDescent="0.3">
      <c r="A1385">
        <v>2009</v>
      </c>
      <c r="B1385" t="s">
        <v>34</v>
      </c>
      <c r="C1385">
        <v>6631</v>
      </c>
      <c r="D1385">
        <v>234</v>
      </c>
      <c r="E1385">
        <v>27.2</v>
      </c>
      <c r="F1385" t="s">
        <v>24</v>
      </c>
      <c r="G1385" t="s">
        <v>26</v>
      </c>
      <c r="H1385">
        <v>4167</v>
      </c>
      <c r="I1385">
        <v>56.6</v>
      </c>
      <c r="J1385" t="s">
        <v>15</v>
      </c>
      <c r="K1385">
        <v>43562</v>
      </c>
      <c r="L1385" t="s">
        <v>22</v>
      </c>
    </row>
    <row r="1386" spans="1:12" x14ac:dyDescent="0.3">
      <c r="A1386">
        <v>2010</v>
      </c>
      <c r="B1386" t="s">
        <v>34</v>
      </c>
      <c r="C1386">
        <v>6705</v>
      </c>
      <c r="D1386">
        <v>3105</v>
      </c>
      <c r="E1386">
        <v>27</v>
      </c>
      <c r="F1386" t="s">
        <v>24</v>
      </c>
      <c r="G1386" t="s">
        <v>26</v>
      </c>
      <c r="H1386">
        <v>4479</v>
      </c>
      <c r="I1386">
        <v>55.5</v>
      </c>
      <c r="J1386" t="s">
        <v>15</v>
      </c>
      <c r="K1386">
        <v>200000</v>
      </c>
      <c r="L1386" t="s">
        <v>22</v>
      </c>
    </row>
    <row r="1387" spans="1:12" x14ac:dyDescent="0.3">
      <c r="A1387">
        <v>2011</v>
      </c>
      <c r="B1387" t="s">
        <v>34</v>
      </c>
      <c r="C1387">
        <v>5876</v>
      </c>
      <c r="D1387">
        <v>3105</v>
      </c>
      <c r="E1387">
        <v>27</v>
      </c>
      <c r="F1387" t="s">
        <v>24</v>
      </c>
      <c r="G1387" t="s">
        <v>26</v>
      </c>
      <c r="H1387">
        <v>3699</v>
      </c>
      <c r="I1387">
        <v>58.5</v>
      </c>
      <c r="J1387" t="s">
        <v>15</v>
      </c>
      <c r="K1387">
        <v>4847</v>
      </c>
      <c r="L1387" t="s">
        <v>22</v>
      </c>
    </row>
    <row r="1388" spans="1:12" x14ac:dyDescent="0.3">
      <c r="A1388">
        <v>2012</v>
      </c>
      <c r="B1388" t="s">
        <v>34</v>
      </c>
      <c r="C1388">
        <v>326</v>
      </c>
      <c r="D1388">
        <v>3105</v>
      </c>
      <c r="E1388">
        <v>27</v>
      </c>
      <c r="F1388" t="s">
        <v>24</v>
      </c>
      <c r="G1388" t="s">
        <v>26</v>
      </c>
      <c r="H1388">
        <v>4904</v>
      </c>
      <c r="I1388">
        <v>59.5</v>
      </c>
      <c r="J1388" t="s">
        <v>15</v>
      </c>
      <c r="K1388">
        <v>51239</v>
      </c>
      <c r="L1388" t="s">
        <v>22</v>
      </c>
    </row>
    <row r="1389" spans="1:12" x14ac:dyDescent="0.3">
      <c r="A1389">
        <v>2013</v>
      </c>
      <c r="B1389" t="s">
        <v>34</v>
      </c>
      <c r="C1389">
        <v>6470</v>
      </c>
      <c r="D1389">
        <v>236</v>
      </c>
      <c r="E1389">
        <v>27</v>
      </c>
      <c r="F1389" t="s">
        <v>24</v>
      </c>
      <c r="G1389" t="s">
        <v>26</v>
      </c>
      <c r="H1389">
        <v>2821</v>
      </c>
      <c r="I1389">
        <v>55</v>
      </c>
      <c r="J1389" t="s">
        <v>15</v>
      </c>
      <c r="K1389">
        <v>216396</v>
      </c>
      <c r="L1389" t="s">
        <v>22</v>
      </c>
    </row>
    <row r="1390" spans="1:12" x14ac:dyDescent="0.3">
      <c r="A1390">
        <v>2014</v>
      </c>
      <c r="B1390" t="s">
        <v>34</v>
      </c>
      <c r="C1390">
        <v>6709</v>
      </c>
      <c r="D1390">
        <v>236</v>
      </c>
      <c r="E1390">
        <v>27</v>
      </c>
      <c r="F1390" t="s">
        <v>24</v>
      </c>
      <c r="G1390" t="s">
        <v>26</v>
      </c>
      <c r="H1390">
        <v>3472</v>
      </c>
      <c r="I1390">
        <v>53</v>
      </c>
      <c r="J1390" t="s">
        <v>15</v>
      </c>
      <c r="K1390">
        <v>2644</v>
      </c>
      <c r="L1390" t="s">
        <v>22</v>
      </c>
    </row>
    <row r="1391" spans="1:12" x14ac:dyDescent="0.3">
      <c r="A1391">
        <v>2015</v>
      </c>
      <c r="B1391" t="s">
        <v>34</v>
      </c>
      <c r="C1391">
        <v>6186</v>
      </c>
      <c r="D1391">
        <v>2903.1</v>
      </c>
      <c r="E1391">
        <v>27</v>
      </c>
      <c r="F1391" t="s">
        <v>24</v>
      </c>
      <c r="G1391" t="s">
        <v>26</v>
      </c>
      <c r="H1391">
        <v>3647</v>
      </c>
      <c r="I1391">
        <v>53.5</v>
      </c>
      <c r="J1391" t="s">
        <v>15</v>
      </c>
      <c r="K1391">
        <v>44235</v>
      </c>
      <c r="L1391" t="s">
        <v>22</v>
      </c>
    </row>
    <row r="1392" spans="1:12" x14ac:dyDescent="0.3">
      <c r="A1392">
        <v>2016</v>
      </c>
      <c r="B1392" t="s">
        <v>34</v>
      </c>
      <c r="C1392">
        <v>6503</v>
      </c>
      <c r="D1392">
        <v>2903.1</v>
      </c>
      <c r="E1392">
        <v>27.2</v>
      </c>
      <c r="F1392" t="s">
        <v>24</v>
      </c>
      <c r="G1392" t="s">
        <v>26</v>
      </c>
      <c r="H1392">
        <v>393</v>
      </c>
      <c r="I1392">
        <v>52.5</v>
      </c>
      <c r="J1392" t="s">
        <v>15</v>
      </c>
      <c r="K1392">
        <v>203317</v>
      </c>
      <c r="L1392" t="s">
        <v>22</v>
      </c>
    </row>
    <row r="1393" spans="1:12" x14ac:dyDescent="0.3">
      <c r="A1393">
        <v>2017</v>
      </c>
      <c r="B1393" t="s">
        <v>34</v>
      </c>
      <c r="C1393">
        <v>5220</v>
      </c>
      <c r="D1393">
        <v>2903.1</v>
      </c>
      <c r="E1393">
        <v>27.2</v>
      </c>
      <c r="F1393" t="s">
        <v>24</v>
      </c>
      <c r="G1393" t="s">
        <v>26</v>
      </c>
      <c r="H1393">
        <v>167</v>
      </c>
      <c r="I1393">
        <v>56</v>
      </c>
      <c r="J1393" t="s">
        <v>15</v>
      </c>
      <c r="K1393">
        <v>2134</v>
      </c>
      <c r="L1393" t="s">
        <v>22</v>
      </c>
    </row>
    <row r="1394" spans="1:12" x14ac:dyDescent="0.3">
      <c r="A1394">
        <v>2018</v>
      </c>
      <c r="B1394" t="s">
        <v>34</v>
      </c>
      <c r="C1394">
        <v>4677</v>
      </c>
      <c r="D1394">
        <v>2996.6</v>
      </c>
      <c r="E1394">
        <v>27.2</v>
      </c>
      <c r="F1394" t="s">
        <v>24</v>
      </c>
      <c r="G1394" t="s">
        <v>26</v>
      </c>
      <c r="H1394">
        <v>71</v>
      </c>
      <c r="I1394">
        <v>57</v>
      </c>
      <c r="J1394" t="s">
        <v>15</v>
      </c>
      <c r="K1394">
        <v>45186</v>
      </c>
      <c r="L1394" t="s">
        <v>22</v>
      </c>
    </row>
    <row r="1395" spans="1:12" x14ac:dyDescent="0.3">
      <c r="A1395">
        <v>2011</v>
      </c>
      <c r="B1395" t="s">
        <v>34</v>
      </c>
      <c r="C1395">
        <v>1279</v>
      </c>
      <c r="D1395">
        <v>2996.6</v>
      </c>
      <c r="E1395">
        <v>27.1</v>
      </c>
      <c r="F1395" t="s">
        <v>24</v>
      </c>
      <c r="G1395" t="s">
        <v>26</v>
      </c>
      <c r="H1395">
        <v>52</v>
      </c>
      <c r="I1395">
        <v>57.5</v>
      </c>
      <c r="J1395" t="s">
        <v>15</v>
      </c>
      <c r="K1395">
        <v>238542</v>
      </c>
      <c r="L1395" t="s">
        <v>22</v>
      </c>
    </row>
    <row r="1396" spans="1:12" x14ac:dyDescent="0.3">
      <c r="A1396">
        <v>2012</v>
      </c>
      <c r="B1396" t="s">
        <v>34</v>
      </c>
      <c r="C1396">
        <v>13283</v>
      </c>
      <c r="D1396">
        <v>2996.6</v>
      </c>
      <c r="E1396">
        <v>27.1</v>
      </c>
      <c r="F1396" t="s">
        <v>24</v>
      </c>
      <c r="G1396" t="s">
        <v>26</v>
      </c>
      <c r="H1396">
        <v>12</v>
      </c>
      <c r="I1396">
        <v>57</v>
      </c>
      <c r="J1396" t="s">
        <v>15</v>
      </c>
      <c r="K1396">
        <v>1516</v>
      </c>
      <c r="L1396" t="s">
        <v>22</v>
      </c>
    </row>
    <row r="1397" spans="1:12" x14ac:dyDescent="0.3">
      <c r="A1397">
        <v>2013</v>
      </c>
      <c r="B1397" t="s">
        <v>34</v>
      </c>
      <c r="C1397">
        <v>52119</v>
      </c>
      <c r="D1397">
        <v>3522.8</v>
      </c>
      <c r="E1397">
        <v>27.1</v>
      </c>
      <c r="F1397" t="s">
        <v>24</v>
      </c>
      <c r="G1397" t="s">
        <v>26</v>
      </c>
      <c r="H1397">
        <v>51</v>
      </c>
      <c r="I1397">
        <v>55</v>
      </c>
      <c r="J1397" t="s">
        <v>15</v>
      </c>
      <c r="K1397">
        <v>200000</v>
      </c>
      <c r="L1397" t="s">
        <v>22</v>
      </c>
    </row>
    <row r="1398" spans="1:12" x14ac:dyDescent="0.3">
      <c r="A1398">
        <v>2014</v>
      </c>
      <c r="B1398" t="s">
        <v>34</v>
      </c>
      <c r="C1398">
        <v>725</v>
      </c>
      <c r="D1398">
        <v>3522.8</v>
      </c>
      <c r="E1398">
        <v>26.8</v>
      </c>
      <c r="F1398" t="s">
        <v>24</v>
      </c>
      <c r="G1398" t="s">
        <v>26</v>
      </c>
      <c r="H1398">
        <v>61</v>
      </c>
      <c r="I1398">
        <v>56</v>
      </c>
      <c r="J1398" t="s">
        <v>15</v>
      </c>
      <c r="K1398">
        <v>4847</v>
      </c>
      <c r="L1398" t="s">
        <v>22</v>
      </c>
    </row>
    <row r="1399" spans="1:12" x14ac:dyDescent="0.3">
      <c r="A1399">
        <v>2015</v>
      </c>
      <c r="B1399" t="s">
        <v>34</v>
      </c>
      <c r="C1399">
        <v>12885</v>
      </c>
      <c r="D1399">
        <v>3522.8</v>
      </c>
      <c r="E1399">
        <v>26.8</v>
      </c>
      <c r="F1399" t="s">
        <v>24</v>
      </c>
      <c r="G1399" t="s">
        <v>26</v>
      </c>
      <c r="H1399">
        <v>67</v>
      </c>
      <c r="I1399">
        <v>54</v>
      </c>
      <c r="J1399" t="s">
        <v>15</v>
      </c>
      <c r="K1399">
        <v>51239</v>
      </c>
      <c r="L1399" t="s">
        <v>22</v>
      </c>
    </row>
    <row r="1400" spans="1:12" x14ac:dyDescent="0.3">
      <c r="A1400">
        <v>2016</v>
      </c>
      <c r="B1400" t="s">
        <v>34</v>
      </c>
      <c r="C1400">
        <v>51179</v>
      </c>
      <c r="D1400">
        <v>2903.1</v>
      </c>
      <c r="E1400">
        <v>27.1</v>
      </c>
      <c r="F1400" t="s">
        <v>24</v>
      </c>
      <c r="G1400" t="s">
        <v>26</v>
      </c>
      <c r="H1400">
        <v>62</v>
      </c>
      <c r="I1400">
        <v>58</v>
      </c>
      <c r="J1400" t="s">
        <v>15</v>
      </c>
      <c r="K1400">
        <v>216396</v>
      </c>
      <c r="L1400" t="s">
        <v>22</v>
      </c>
    </row>
    <row r="1401" spans="1:12" x14ac:dyDescent="0.3">
      <c r="A1401">
        <v>2017</v>
      </c>
      <c r="B1401" t="s">
        <v>34</v>
      </c>
      <c r="C1401">
        <v>468</v>
      </c>
      <c r="D1401">
        <v>2903.1</v>
      </c>
      <c r="E1401">
        <v>27.1</v>
      </c>
      <c r="F1401" t="s">
        <v>24</v>
      </c>
      <c r="G1401" t="s">
        <v>26</v>
      </c>
      <c r="H1401">
        <v>32</v>
      </c>
      <c r="I1401">
        <v>58</v>
      </c>
      <c r="J1401" t="s">
        <v>15</v>
      </c>
      <c r="K1401">
        <v>2644</v>
      </c>
      <c r="L1401" t="s">
        <v>22</v>
      </c>
    </row>
    <row r="1402" spans="1:12" x14ac:dyDescent="0.3">
      <c r="A1402">
        <v>2018</v>
      </c>
      <c r="B1402" t="s">
        <v>34</v>
      </c>
      <c r="C1402">
        <v>11841</v>
      </c>
      <c r="D1402">
        <v>2903.1</v>
      </c>
      <c r="E1402">
        <v>26.8</v>
      </c>
      <c r="F1402" t="s">
        <v>13</v>
      </c>
      <c r="G1402" t="s">
        <v>26</v>
      </c>
      <c r="H1402">
        <v>22</v>
      </c>
      <c r="I1402">
        <v>59</v>
      </c>
      <c r="J1402" t="s">
        <v>15</v>
      </c>
      <c r="K1402">
        <v>44235</v>
      </c>
      <c r="L1402" t="s">
        <v>22</v>
      </c>
    </row>
    <row r="1403" spans="1:12" x14ac:dyDescent="0.3">
      <c r="A1403">
        <v>2004</v>
      </c>
      <c r="B1403" t="s">
        <v>34</v>
      </c>
      <c r="C1403">
        <v>50975</v>
      </c>
      <c r="D1403">
        <v>2996.6</v>
      </c>
      <c r="E1403">
        <v>26.8</v>
      </c>
      <c r="F1403" t="s">
        <v>13</v>
      </c>
      <c r="G1403" t="s">
        <v>26</v>
      </c>
      <c r="H1403">
        <v>25</v>
      </c>
      <c r="I1403">
        <v>50</v>
      </c>
      <c r="J1403" t="s">
        <v>15</v>
      </c>
      <c r="K1403">
        <v>203317</v>
      </c>
      <c r="L1403" t="s">
        <v>22</v>
      </c>
    </row>
    <row r="1404" spans="1:12" x14ac:dyDescent="0.3">
      <c r="A1404">
        <v>2005</v>
      </c>
      <c r="B1404" t="s">
        <v>34</v>
      </c>
      <c r="C1404">
        <v>206</v>
      </c>
      <c r="D1404">
        <v>2996.6</v>
      </c>
      <c r="E1404">
        <v>26.8</v>
      </c>
      <c r="F1404" t="s">
        <v>13</v>
      </c>
      <c r="G1404" t="s">
        <v>26</v>
      </c>
      <c r="H1404">
        <v>4</v>
      </c>
      <c r="I1404">
        <v>54</v>
      </c>
      <c r="J1404" t="s">
        <v>15</v>
      </c>
      <c r="K1404">
        <v>2134</v>
      </c>
      <c r="L1404" t="s">
        <v>22</v>
      </c>
    </row>
    <row r="1405" spans="1:12" x14ac:dyDescent="0.3">
      <c r="A1405">
        <v>2006</v>
      </c>
      <c r="B1405" t="s">
        <v>34</v>
      </c>
      <c r="C1405">
        <v>10922</v>
      </c>
      <c r="D1405">
        <v>2996.6</v>
      </c>
      <c r="E1405">
        <v>37</v>
      </c>
      <c r="F1405" t="s">
        <v>13</v>
      </c>
      <c r="G1405" t="s">
        <v>14</v>
      </c>
      <c r="H1405">
        <v>9</v>
      </c>
      <c r="I1405">
        <v>53</v>
      </c>
      <c r="J1405" t="s">
        <v>28</v>
      </c>
      <c r="K1405">
        <v>45186</v>
      </c>
      <c r="L1405" t="s">
        <v>22</v>
      </c>
    </row>
    <row r="1406" spans="1:12" x14ac:dyDescent="0.3">
      <c r="A1406">
        <v>2007</v>
      </c>
      <c r="B1406" t="s">
        <v>34</v>
      </c>
      <c r="C1406">
        <v>51390</v>
      </c>
      <c r="D1406">
        <v>3522.8</v>
      </c>
      <c r="E1406">
        <v>37</v>
      </c>
      <c r="F1406" t="s">
        <v>13</v>
      </c>
      <c r="G1406" t="s">
        <v>14</v>
      </c>
      <c r="H1406">
        <v>12</v>
      </c>
      <c r="I1406">
        <v>52</v>
      </c>
      <c r="J1406" t="s">
        <v>28</v>
      </c>
      <c r="K1406">
        <v>238542</v>
      </c>
      <c r="L1406" t="s">
        <v>22</v>
      </c>
    </row>
    <row r="1407" spans="1:12" x14ac:dyDescent="0.3">
      <c r="A1407">
        <v>2008</v>
      </c>
      <c r="B1407" t="s">
        <v>34</v>
      </c>
      <c r="C1407">
        <v>177</v>
      </c>
      <c r="D1407">
        <v>3522.8</v>
      </c>
      <c r="E1407">
        <v>37</v>
      </c>
      <c r="F1407" t="s">
        <v>13</v>
      </c>
      <c r="G1407" t="s">
        <v>14</v>
      </c>
      <c r="H1407">
        <v>2089</v>
      </c>
      <c r="I1407">
        <v>51</v>
      </c>
      <c r="J1407" t="s">
        <v>28</v>
      </c>
      <c r="K1407">
        <v>1516</v>
      </c>
      <c r="L1407" t="s">
        <v>22</v>
      </c>
    </row>
    <row r="1408" spans="1:12" x14ac:dyDescent="0.3">
      <c r="A1408">
        <v>2009</v>
      </c>
      <c r="B1408" t="s">
        <v>34</v>
      </c>
      <c r="C1408">
        <v>10723</v>
      </c>
      <c r="D1408">
        <v>3522.8</v>
      </c>
      <c r="E1408">
        <v>38</v>
      </c>
      <c r="F1408" t="s">
        <v>13</v>
      </c>
      <c r="G1408" t="s">
        <v>14</v>
      </c>
      <c r="H1408">
        <v>2810</v>
      </c>
      <c r="I1408">
        <v>57</v>
      </c>
      <c r="J1408" t="s">
        <v>28</v>
      </c>
      <c r="K1408">
        <v>57259</v>
      </c>
      <c r="L1408" t="s">
        <v>22</v>
      </c>
    </row>
    <row r="1409" spans="1:12" x14ac:dyDescent="0.3">
      <c r="A1409">
        <v>2010</v>
      </c>
      <c r="B1409" t="s">
        <v>34</v>
      </c>
      <c r="C1409">
        <v>51709</v>
      </c>
      <c r="D1409">
        <v>3729.8</v>
      </c>
      <c r="E1409">
        <v>38</v>
      </c>
      <c r="F1409" t="s">
        <v>13</v>
      </c>
      <c r="G1409" t="s">
        <v>14</v>
      </c>
      <c r="H1409">
        <v>841</v>
      </c>
      <c r="I1409">
        <v>57</v>
      </c>
      <c r="J1409" t="s">
        <v>28</v>
      </c>
      <c r="K1409">
        <v>234779</v>
      </c>
      <c r="L1409" t="s">
        <v>22</v>
      </c>
    </row>
    <row r="1410" spans="1:12" x14ac:dyDescent="0.3">
      <c r="A1410">
        <v>2011</v>
      </c>
      <c r="B1410" t="s">
        <v>34</v>
      </c>
      <c r="C1410">
        <v>146</v>
      </c>
      <c r="D1410">
        <v>3729.8</v>
      </c>
      <c r="E1410">
        <v>38</v>
      </c>
      <c r="F1410" t="s">
        <v>13</v>
      </c>
      <c r="G1410" t="s">
        <v>14</v>
      </c>
      <c r="H1410">
        <v>3550</v>
      </c>
      <c r="I1410">
        <v>60</v>
      </c>
      <c r="J1410" t="s">
        <v>28</v>
      </c>
      <c r="K1410">
        <v>1493</v>
      </c>
      <c r="L1410" t="s">
        <v>22</v>
      </c>
    </row>
    <row r="1411" spans="1:12" x14ac:dyDescent="0.3">
      <c r="A1411">
        <v>2012</v>
      </c>
      <c r="B1411" t="s">
        <v>34</v>
      </c>
      <c r="C1411">
        <v>10910</v>
      </c>
      <c r="D1411">
        <v>3729.8</v>
      </c>
      <c r="E1411">
        <v>39</v>
      </c>
      <c r="F1411" t="s">
        <v>13</v>
      </c>
      <c r="G1411" t="s">
        <v>14</v>
      </c>
      <c r="H1411">
        <v>109</v>
      </c>
      <c r="I1411">
        <v>57</v>
      </c>
      <c r="J1411" t="s">
        <v>29</v>
      </c>
      <c r="K1411">
        <v>64409</v>
      </c>
      <c r="L1411" t="s">
        <v>22</v>
      </c>
    </row>
    <row r="1412" spans="1:12" x14ac:dyDescent="0.3">
      <c r="A1412">
        <v>2013</v>
      </c>
      <c r="B1412" t="s">
        <v>34</v>
      </c>
      <c r="C1412">
        <v>51355</v>
      </c>
      <c r="D1412">
        <v>2746.2</v>
      </c>
      <c r="E1412">
        <v>39</v>
      </c>
      <c r="F1412" t="s">
        <v>13</v>
      </c>
      <c r="G1412" t="s">
        <v>14</v>
      </c>
      <c r="H1412">
        <v>3368</v>
      </c>
      <c r="I1412">
        <v>57</v>
      </c>
      <c r="J1412" t="s">
        <v>29</v>
      </c>
      <c r="K1412">
        <v>249978</v>
      </c>
      <c r="L1412" t="s">
        <v>22</v>
      </c>
    </row>
    <row r="1413" spans="1:12" x14ac:dyDescent="0.3">
      <c r="A1413">
        <v>2014</v>
      </c>
      <c r="B1413" t="s">
        <v>34</v>
      </c>
      <c r="C1413">
        <v>160</v>
      </c>
      <c r="D1413">
        <v>2746.2</v>
      </c>
      <c r="E1413">
        <v>39</v>
      </c>
      <c r="F1413" t="s">
        <v>13</v>
      </c>
      <c r="G1413" t="s">
        <v>14</v>
      </c>
      <c r="H1413">
        <v>3671</v>
      </c>
      <c r="I1413">
        <v>54</v>
      </c>
      <c r="J1413" t="s">
        <v>29</v>
      </c>
      <c r="K1413">
        <v>637</v>
      </c>
      <c r="L1413" t="s">
        <v>22</v>
      </c>
    </row>
    <row r="1414" spans="1:12" x14ac:dyDescent="0.3">
      <c r="A1414">
        <v>2015</v>
      </c>
      <c r="B1414" t="s">
        <v>34</v>
      </c>
      <c r="C1414">
        <v>10912</v>
      </c>
      <c r="D1414">
        <v>2746.2</v>
      </c>
      <c r="E1414">
        <v>40</v>
      </c>
      <c r="F1414" t="s">
        <v>13</v>
      </c>
      <c r="G1414" t="s">
        <v>14</v>
      </c>
      <c r="H1414">
        <v>2404</v>
      </c>
      <c r="I1414">
        <v>54.5</v>
      </c>
      <c r="J1414" t="s">
        <v>29</v>
      </c>
      <c r="K1414">
        <v>43311</v>
      </c>
      <c r="L1414" t="s">
        <v>22</v>
      </c>
    </row>
    <row r="1415" spans="1:12" x14ac:dyDescent="0.3">
      <c r="A1415">
        <v>2016</v>
      </c>
      <c r="B1415" t="s">
        <v>34</v>
      </c>
      <c r="C1415">
        <v>51353</v>
      </c>
      <c r="D1415">
        <v>3360</v>
      </c>
      <c r="E1415">
        <v>40</v>
      </c>
      <c r="F1415" t="s">
        <v>13</v>
      </c>
      <c r="G1415" t="s">
        <v>14</v>
      </c>
      <c r="H1415">
        <v>2805</v>
      </c>
      <c r="I1415">
        <v>56.6</v>
      </c>
      <c r="J1415" t="s">
        <v>29</v>
      </c>
      <c r="K1415">
        <v>24848</v>
      </c>
      <c r="L1415" t="s">
        <v>22</v>
      </c>
    </row>
    <row r="1416" spans="1:12" x14ac:dyDescent="0.3">
      <c r="A1416">
        <v>2017</v>
      </c>
      <c r="B1416" t="s">
        <v>12</v>
      </c>
      <c r="C1416">
        <v>142</v>
      </c>
      <c r="D1416">
        <v>3360</v>
      </c>
      <c r="E1416">
        <v>40</v>
      </c>
      <c r="F1416" t="s">
        <v>13</v>
      </c>
      <c r="G1416" t="s">
        <v>14</v>
      </c>
      <c r="H1416">
        <v>2331</v>
      </c>
      <c r="I1416">
        <v>55.5</v>
      </c>
      <c r="J1416" t="s">
        <v>29</v>
      </c>
      <c r="K1416">
        <v>761</v>
      </c>
      <c r="L1416" t="s">
        <v>22</v>
      </c>
    </row>
    <row r="1417" spans="1:12" x14ac:dyDescent="0.3">
      <c r="A1417">
        <v>2018</v>
      </c>
      <c r="B1417" t="s">
        <v>12</v>
      </c>
      <c r="C1417">
        <v>10505</v>
      </c>
      <c r="D1417">
        <v>3360</v>
      </c>
      <c r="E1417">
        <v>41</v>
      </c>
      <c r="F1417" t="s">
        <v>13</v>
      </c>
      <c r="G1417" t="s">
        <v>14</v>
      </c>
      <c r="H1417">
        <v>2088</v>
      </c>
      <c r="I1417">
        <v>58.5</v>
      </c>
      <c r="J1417" t="s">
        <v>29</v>
      </c>
      <c r="K1417">
        <v>45608</v>
      </c>
      <c r="L1417" t="s">
        <v>22</v>
      </c>
    </row>
    <row r="1418" spans="1:12" x14ac:dyDescent="0.3">
      <c r="A1418">
        <v>2004</v>
      </c>
      <c r="B1418" t="s">
        <v>12</v>
      </c>
      <c r="C1418">
        <v>51040</v>
      </c>
      <c r="D1418">
        <v>3605.4</v>
      </c>
      <c r="E1418">
        <v>41</v>
      </c>
      <c r="F1418" t="s">
        <v>13</v>
      </c>
      <c r="G1418" t="s">
        <v>14</v>
      </c>
      <c r="H1418">
        <v>2628</v>
      </c>
      <c r="I1418">
        <v>59.5</v>
      </c>
      <c r="J1418" t="s">
        <v>29</v>
      </c>
      <c r="K1418">
        <v>234581</v>
      </c>
      <c r="L1418" t="s">
        <v>22</v>
      </c>
    </row>
    <row r="1419" spans="1:12" x14ac:dyDescent="0.3">
      <c r="A1419">
        <v>2005</v>
      </c>
      <c r="B1419" t="s">
        <v>12</v>
      </c>
      <c r="C1419">
        <v>154</v>
      </c>
      <c r="D1419">
        <v>3605.4</v>
      </c>
      <c r="E1419">
        <v>41</v>
      </c>
      <c r="F1419" t="s">
        <v>13</v>
      </c>
      <c r="G1419" t="s">
        <v>14</v>
      </c>
      <c r="H1419">
        <v>1939</v>
      </c>
      <c r="I1419">
        <v>55</v>
      </c>
      <c r="J1419" t="s">
        <v>29</v>
      </c>
      <c r="K1419">
        <v>646</v>
      </c>
      <c r="L1419" t="s">
        <v>22</v>
      </c>
    </row>
    <row r="1420" spans="1:12" x14ac:dyDescent="0.3">
      <c r="A1420">
        <v>2012</v>
      </c>
      <c r="B1420" t="s">
        <v>12</v>
      </c>
      <c r="C1420">
        <v>10318</v>
      </c>
      <c r="D1420">
        <v>3605.4</v>
      </c>
      <c r="E1420">
        <v>42</v>
      </c>
      <c r="F1420" t="s">
        <v>13</v>
      </c>
      <c r="G1420" t="s">
        <v>14</v>
      </c>
      <c r="H1420">
        <v>1871</v>
      </c>
      <c r="I1420">
        <v>53</v>
      </c>
      <c r="J1420" t="s">
        <v>29</v>
      </c>
      <c r="K1420">
        <v>43562</v>
      </c>
      <c r="L1420" t="s">
        <v>22</v>
      </c>
    </row>
    <row r="1421" spans="1:12" x14ac:dyDescent="0.3">
      <c r="A1421">
        <v>2013</v>
      </c>
      <c r="B1421" t="s">
        <v>12</v>
      </c>
      <c r="C1421">
        <v>48083</v>
      </c>
      <c r="D1421">
        <v>3512.4</v>
      </c>
      <c r="E1421">
        <v>42</v>
      </c>
      <c r="F1421" t="s">
        <v>13</v>
      </c>
      <c r="G1421" t="s">
        <v>14</v>
      </c>
      <c r="H1421">
        <v>1868</v>
      </c>
      <c r="I1421">
        <v>53.5</v>
      </c>
      <c r="J1421" t="s">
        <v>29</v>
      </c>
      <c r="K1421">
        <v>200000</v>
      </c>
      <c r="L1421" t="s">
        <v>22</v>
      </c>
    </row>
    <row r="1422" spans="1:12" x14ac:dyDescent="0.3">
      <c r="A1422">
        <v>2014</v>
      </c>
      <c r="B1422" t="s">
        <v>12</v>
      </c>
      <c r="C1422">
        <v>143</v>
      </c>
      <c r="D1422">
        <v>3512.4</v>
      </c>
      <c r="E1422">
        <v>27</v>
      </c>
      <c r="F1422" t="s">
        <v>13</v>
      </c>
      <c r="G1422" t="s">
        <v>14</v>
      </c>
      <c r="H1422">
        <v>127919</v>
      </c>
      <c r="I1422">
        <v>52.5</v>
      </c>
      <c r="J1422" t="s">
        <v>29</v>
      </c>
      <c r="K1422">
        <v>4847</v>
      </c>
      <c r="L1422" t="s">
        <v>22</v>
      </c>
    </row>
    <row r="1423" spans="1:12" x14ac:dyDescent="0.3">
      <c r="A1423">
        <v>2015</v>
      </c>
      <c r="B1423" t="s">
        <v>12</v>
      </c>
      <c r="C1423">
        <v>9283</v>
      </c>
      <c r="D1423">
        <v>3512.4</v>
      </c>
      <c r="E1423">
        <v>27</v>
      </c>
      <c r="F1423" t="s">
        <v>13</v>
      </c>
      <c r="G1423" t="s">
        <v>14</v>
      </c>
      <c r="H1423">
        <v>75340</v>
      </c>
      <c r="I1423">
        <v>56</v>
      </c>
      <c r="J1423" t="s">
        <v>29</v>
      </c>
      <c r="K1423">
        <v>51239</v>
      </c>
      <c r="L1423" t="s">
        <v>22</v>
      </c>
    </row>
    <row r="1424" spans="1:12" x14ac:dyDescent="0.3">
      <c r="A1424">
        <v>2016</v>
      </c>
      <c r="B1424" t="s">
        <v>12</v>
      </c>
      <c r="C1424">
        <v>47200</v>
      </c>
      <c r="D1424">
        <v>3296</v>
      </c>
      <c r="E1424">
        <v>27</v>
      </c>
      <c r="F1424" t="s">
        <v>13</v>
      </c>
      <c r="G1424" t="s">
        <v>14</v>
      </c>
      <c r="H1424">
        <v>29170</v>
      </c>
      <c r="I1424">
        <v>57</v>
      </c>
      <c r="J1424" t="s">
        <v>29</v>
      </c>
      <c r="K1424">
        <v>216396</v>
      </c>
      <c r="L1424" t="s">
        <v>22</v>
      </c>
    </row>
    <row r="1425" spans="1:12" x14ac:dyDescent="0.3">
      <c r="A1425">
        <v>2017</v>
      </c>
      <c r="B1425" t="s">
        <v>12</v>
      </c>
      <c r="C1425">
        <v>158</v>
      </c>
      <c r="D1425">
        <v>3296</v>
      </c>
      <c r="E1425">
        <v>27</v>
      </c>
      <c r="F1425" t="s">
        <v>13</v>
      </c>
      <c r="G1425" t="s">
        <v>14</v>
      </c>
      <c r="H1425">
        <v>1901</v>
      </c>
      <c r="I1425">
        <v>57.5</v>
      </c>
      <c r="J1425" t="s">
        <v>29</v>
      </c>
      <c r="K1425">
        <v>2644</v>
      </c>
      <c r="L1425" t="s">
        <v>22</v>
      </c>
    </row>
    <row r="1426" spans="1:12" x14ac:dyDescent="0.3">
      <c r="A1426">
        <v>2018</v>
      </c>
      <c r="B1426" t="s">
        <v>12</v>
      </c>
      <c r="C1426">
        <v>8982</v>
      </c>
      <c r="D1426">
        <v>3296</v>
      </c>
      <c r="E1426">
        <v>27</v>
      </c>
      <c r="F1426" t="s">
        <v>13</v>
      </c>
      <c r="G1426" t="s">
        <v>14</v>
      </c>
      <c r="H1426">
        <v>972</v>
      </c>
      <c r="I1426">
        <v>57</v>
      </c>
      <c r="J1426" t="s">
        <v>30</v>
      </c>
      <c r="K1426">
        <v>44235</v>
      </c>
      <c r="L1426" t="s">
        <v>22</v>
      </c>
    </row>
    <row r="1427" spans="1:12" x14ac:dyDescent="0.3">
      <c r="A1427">
        <v>2004</v>
      </c>
      <c r="B1427" t="s">
        <v>12</v>
      </c>
      <c r="C1427">
        <v>46990</v>
      </c>
      <c r="D1427">
        <v>3550</v>
      </c>
      <c r="E1427">
        <v>27</v>
      </c>
      <c r="F1427" t="s">
        <v>13</v>
      </c>
      <c r="G1427" t="s">
        <v>14</v>
      </c>
      <c r="H1427">
        <v>874</v>
      </c>
      <c r="I1427">
        <v>55</v>
      </c>
      <c r="J1427" t="s">
        <v>30</v>
      </c>
      <c r="K1427">
        <v>203317</v>
      </c>
      <c r="L1427" t="s">
        <v>22</v>
      </c>
    </row>
    <row r="1428" spans="1:12" x14ac:dyDescent="0.3">
      <c r="A1428">
        <v>2005</v>
      </c>
      <c r="B1428" t="s">
        <v>12</v>
      </c>
      <c r="C1428">
        <v>103</v>
      </c>
      <c r="D1428">
        <v>3550</v>
      </c>
      <c r="E1428">
        <v>27.2</v>
      </c>
      <c r="F1428" t="s">
        <v>13</v>
      </c>
      <c r="G1428" t="s">
        <v>14</v>
      </c>
      <c r="H1428">
        <v>592</v>
      </c>
      <c r="I1428">
        <v>56</v>
      </c>
      <c r="J1428" t="s">
        <v>30</v>
      </c>
      <c r="K1428">
        <v>2134</v>
      </c>
      <c r="L1428" t="s">
        <v>22</v>
      </c>
    </row>
    <row r="1429" spans="1:12" x14ac:dyDescent="0.3">
      <c r="A1429">
        <v>2006</v>
      </c>
      <c r="B1429" t="s">
        <v>12</v>
      </c>
      <c r="C1429">
        <v>8239</v>
      </c>
      <c r="D1429">
        <v>3550</v>
      </c>
      <c r="E1429">
        <v>27.2</v>
      </c>
      <c r="F1429" t="s">
        <v>13</v>
      </c>
      <c r="G1429" t="s">
        <v>14</v>
      </c>
      <c r="H1429">
        <v>864</v>
      </c>
      <c r="I1429">
        <v>54</v>
      </c>
      <c r="J1429" t="s">
        <v>30</v>
      </c>
      <c r="K1429">
        <v>45186</v>
      </c>
      <c r="L1429" t="s">
        <v>22</v>
      </c>
    </row>
    <row r="1430" spans="1:12" x14ac:dyDescent="0.3">
      <c r="A1430">
        <v>2007</v>
      </c>
      <c r="B1430" t="s">
        <v>12</v>
      </c>
      <c r="C1430">
        <v>44563</v>
      </c>
      <c r="D1430">
        <v>3654</v>
      </c>
      <c r="E1430">
        <v>27.2</v>
      </c>
      <c r="F1430" t="s">
        <v>13</v>
      </c>
      <c r="G1430" t="s">
        <v>14</v>
      </c>
      <c r="H1430">
        <v>5373</v>
      </c>
      <c r="I1430">
        <v>58</v>
      </c>
      <c r="J1430" t="s">
        <v>30</v>
      </c>
      <c r="K1430">
        <v>238542</v>
      </c>
      <c r="L1430" t="s">
        <v>22</v>
      </c>
    </row>
    <row r="1431" spans="1:12" x14ac:dyDescent="0.3">
      <c r="A1431">
        <v>2008</v>
      </c>
      <c r="B1431" t="s">
        <v>12</v>
      </c>
      <c r="C1431">
        <v>96</v>
      </c>
      <c r="D1431">
        <v>3654</v>
      </c>
      <c r="E1431">
        <v>27</v>
      </c>
      <c r="F1431" t="s">
        <v>24</v>
      </c>
      <c r="G1431" t="s">
        <v>14</v>
      </c>
      <c r="H1431">
        <v>6589</v>
      </c>
      <c r="I1431">
        <v>58</v>
      </c>
      <c r="J1431" t="s">
        <v>30</v>
      </c>
      <c r="K1431">
        <v>1516</v>
      </c>
      <c r="L1431" t="s">
        <v>22</v>
      </c>
    </row>
    <row r="1432" spans="1:12" x14ac:dyDescent="0.3">
      <c r="A1432">
        <v>2009</v>
      </c>
      <c r="B1432" t="s">
        <v>12</v>
      </c>
      <c r="C1432">
        <v>6949</v>
      </c>
      <c r="D1432">
        <v>3654</v>
      </c>
      <c r="E1432">
        <v>27</v>
      </c>
      <c r="F1432" t="s">
        <v>24</v>
      </c>
      <c r="G1432" t="s">
        <v>14</v>
      </c>
      <c r="H1432">
        <v>5107</v>
      </c>
      <c r="I1432">
        <v>59</v>
      </c>
      <c r="J1432" t="s">
        <v>30</v>
      </c>
      <c r="K1432">
        <v>57259</v>
      </c>
      <c r="L1432" t="s">
        <v>22</v>
      </c>
    </row>
    <row r="1433" spans="1:12" x14ac:dyDescent="0.3">
      <c r="A1433">
        <v>2010</v>
      </c>
      <c r="B1433" t="s">
        <v>17</v>
      </c>
      <c r="C1433">
        <v>44663</v>
      </c>
      <c r="D1433">
        <v>233</v>
      </c>
      <c r="E1433">
        <v>27</v>
      </c>
      <c r="F1433" t="s">
        <v>24</v>
      </c>
      <c r="G1433" t="s">
        <v>14</v>
      </c>
      <c r="H1433">
        <v>5518</v>
      </c>
      <c r="I1433">
        <v>50</v>
      </c>
      <c r="J1433" t="s">
        <v>30</v>
      </c>
      <c r="K1433">
        <v>234779</v>
      </c>
      <c r="L1433" t="s">
        <v>22</v>
      </c>
    </row>
    <row r="1434" spans="1:12" x14ac:dyDescent="0.3">
      <c r="A1434">
        <v>2011</v>
      </c>
      <c r="B1434" t="s">
        <v>17</v>
      </c>
      <c r="C1434">
        <v>110</v>
      </c>
      <c r="D1434">
        <v>233</v>
      </c>
      <c r="E1434">
        <v>27</v>
      </c>
      <c r="F1434" t="s">
        <v>24</v>
      </c>
      <c r="G1434" t="s">
        <v>14</v>
      </c>
      <c r="H1434">
        <v>4912</v>
      </c>
      <c r="I1434">
        <v>54</v>
      </c>
      <c r="J1434" t="s">
        <v>30</v>
      </c>
      <c r="K1434">
        <v>1493</v>
      </c>
      <c r="L1434" t="s">
        <v>22</v>
      </c>
    </row>
    <row r="1435" spans="1:12" x14ac:dyDescent="0.3">
      <c r="A1435">
        <v>2012</v>
      </c>
      <c r="B1435" t="s">
        <v>17</v>
      </c>
      <c r="C1435">
        <v>6824</v>
      </c>
      <c r="D1435">
        <v>233</v>
      </c>
      <c r="E1435">
        <v>27</v>
      </c>
      <c r="F1435" t="s">
        <v>24</v>
      </c>
      <c r="G1435" t="s">
        <v>14</v>
      </c>
      <c r="H1435">
        <v>3830</v>
      </c>
      <c r="I1435">
        <v>53</v>
      </c>
      <c r="J1435" t="s">
        <v>30</v>
      </c>
      <c r="K1435">
        <v>64409</v>
      </c>
      <c r="L1435" t="s">
        <v>22</v>
      </c>
    </row>
    <row r="1436" spans="1:12" x14ac:dyDescent="0.3">
      <c r="A1436">
        <v>2013</v>
      </c>
      <c r="B1436" t="s">
        <v>17</v>
      </c>
      <c r="C1436">
        <v>43013</v>
      </c>
      <c r="D1436">
        <v>234</v>
      </c>
      <c r="E1436">
        <v>27</v>
      </c>
      <c r="F1436" t="s">
        <v>24</v>
      </c>
      <c r="G1436" t="s">
        <v>14</v>
      </c>
      <c r="H1436">
        <v>4</v>
      </c>
      <c r="I1436">
        <v>52</v>
      </c>
      <c r="J1436" t="s">
        <v>30</v>
      </c>
      <c r="K1436">
        <v>249978</v>
      </c>
      <c r="L1436" t="s">
        <v>22</v>
      </c>
    </row>
    <row r="1437" spans="1:12" x14ac:dyDescent="0.3">
      <c r="A1437">
        <v>2014</v>
      </c>
      <c r="B1437" t="s">
        <v>17</v>
      </c>
      <c r="C1437">
        <v>95</v>
      </c>
      <c r="D1437">
        <v>234</v>
      </c>
      <c r="E1437">
        <v>27.2</v>
      </c>
      <c r="F1437" t="s">
        <v>24</v>
      </c>
      <c r="G1437" t="s">
        <v>14</v>
      </c>
      <c r="H1437">
        <v>9</v>
      </c>
      <c r="I1437">
        <v>51</v>
      </c>
      <c r="J1437" t="s">
        <v>30</v>
      </c>
      <c r="K1437">
        <v>637</v>
      </c>
      <c r="L1437" t="s">
        <v>22</v>
      </c>
    </row>
    <row r="1438" spans="1:12" x14ac:dyDescent="0.3">
      <c r="A1438">
        <v>2015</v>
      </c>
      <c r="B1438" t="s">
        <v>17</v>
      </c>
      <c r="C1438">
        <v>6441</v>
      </c>
      <c r="D1438">
        <v>234</v>
      </c>
      <c r="E1438">
        <v>27.2</v>
      </c>
      <c r="F1438" t="s">
        <v>24</v>
      </c>
      <c r="G1438" t="s">
        <v>14</v>
      </c>
      <c r="H1438">
        <v>12</v>
      </c>
      <c r="I1438">
        <v>57</v>
      </c>
      <c r="J1438" t="s">
        <v>30</v>
      </c>
      <c r="K1438">
        <v>43311</v>
      </c>
      <c r="L1438" t="s">
        <v>22</v>
      </c>
    </row>
    <row r="1439" spans="1:12" x14ac:dyDescent="0.3">
      <c r="A1439">
        <v>2016</v>
      </c>
      <c r="B1439" t="s">
        <v>17</v>
      </c>
      <c r="C1439">
        <v>4012</v>
      </c>
      <c r="D1439">
        <v>3105</v>
      </c>
      <c r="E1439">
        <v>27.2</v>
      </c>
      <c r="F1439" t="s">
        <v>24</v>
      </c>
      <c r="G1439" t="s">
        <v>14</v>
      </c>
      <c r="H1439">
        <v>2089</v>
      </c>
      <c r="I1439">
        <v>57</v>
      </c>
      <c r="J1439" t="s">
        <v>30</v>
      </c>
      <c r="K1439">
        <v>24848</v>
      </c>
      <c r="L1439" t="s">
        <v>22</v>
      </c>
    </row>
    <row r="1440" spans="1:12" x14ac:dyDescent="0.3">
      <c r="A1440">
        <v>2017</v>
      </c>
      <c r="B1440" t="s">
        <v>17</v>
      </c>
      <c r="C1440">
        <v>4877</v>
      </c>
      <c r="D1440">
        <v>3105</v>
      </c>
      <c r="E1440">
        <v>27.1</v>
      </c>
      <c r="F1440" t="s">
        <v>24</v>
      </c>
      <c r="G1440" t="s">
        <v>14</v>
      </c>
      <c r="H1440">
        <v>2810</v>
      </c>
      <c r="I1440">
        <v>60</v>
      </c>
      <c r="J1440" t="s">
        <v>30</v>
      </c>
      <c r="K1440">
        <v>761</v>
      </c>
      <c r="L1440" t="s">
        <v>22</v>
      </c>
    </row>
    <row r="1441" spans="1:12" x14ac:dyDescent="0.3">
      <c r="A1441">
        <v>2018</v>
      </c>
      <c r="B1441" t="s">
        <v>17</v>
      </c>
      <c r="C1441">
        <v>4930</v>
      </c>
      <c r="D1441">
        <v>3105</v>
      </c>
      <c r="E1441">
        <v>27.1</v>
      </c>
      <c r="F1441" t="s">
        <v>24</v>
      </c>
      <c r="G1441" t="s">
        <v>14</v>
      </c>
      <c r="H1441">
        <v>841</v>
      </c>
      <c r="I1441">
        <v>57</v>
      </c>
      <c r="J1441" t="s">
        <v>32</v>
      </c>
      <c r="K1441">
        <v>45608</v>
      </c>
      <c r="L1441" t="s">
        <v>22</v>
      </c>
    </row>
    <row r="1442" spans="1:12" x14ac:dyDescent="0.3">
      <c r="A1442">
        <v>2019</v>
      </c>
      <c r="B1442" t="s">
        <v>17</v>
      </c>
      <c r="C1442">
        <v>4954</v>
      </c>
      <c r="D1442">
        <v>236</v>
      </c>
      <c r="E1442">
        <v>27.1</v>
      </c>
      <c r="F1442" t="s">
        <v>24</v>
      </c>
      <c r="G1442" t="s">
        <v>14</v>
      </c>
      <c r="H1442">
        <v>3550</v>
      </c>
      <c r="I1442">
        <v>57</v>
      </c>
      <c r="J1442" t="s">
        <v>32</v>
      </c>
      <c r="K1442">
        <v>234581</v>
      </c>
      <c r="L1442" t="s">
        <v>22</v>
      </c>
    </row>
    <row r="1443" spans="1:12" x14ac:dyDescent="0.3">
      <c r="A1443">
        <v>2004</v>
      </c>
      <c r="B1443" t="s">
        <v>17</v>
      </c>
      <c r="C1443">
        <v>5019</v>
      </c>
      <c r="D1443">
        <v>236</v>
      </c>
      <c r="E1443">
        <v>26.8</v>
      </c>
      <c r="F1443" t="s">
        <v>24</v>
      </c>
      <c r="G1443" t="s">
        <v>14</v>
      </c>
      <c r="H1443">
        <v>109</v>
      </c>
      <c r="I1443">
        <v>54</v>
      </c>
      <c r="J1443" t="s">
        <v>32</v>
      </c>
      <c r="K1443">
        <v>646</v>
      </c>
      <c r="L1443" t="s">
        <v>22</v>
      </c>
    </row>
    <row r="1444" spans="1:12" x14ac:dyDescent="0.3">
      <c r="A1444">
        <v>2013</v>
      </c>
      <c r="B1444" t="s">
        <v>17</v>
      </c>
      <c r="C1444">
        <v>5127</v>
      </c>
      <c r="D1444">
        <v>2903.1</v>
      </c>
      <c r="E1444">
        <v>26.8</v>
      </c>
      <c r="F1444" t="s">
        <v>24</v>
      </c>
      <c r="G1444" t="s">
        <v>14</v>
      </c>
      <c r="H1444">
        <v>3368</v>
      </c>
      <c r="I1444">
        <v>54.5</v>
      </c>
      <c r="J1444" t="s">
        <v>32</v>
      </c>
      <c r="K1444">
        <v>43562</v>
      </c>
      <c r="L1444" t="s">
        <v>22</v>
      </c>
    </row>
    <row r="1445" spans="1:12" x14ac:dyDescent="0.3">
      <c r="A1445">
        <v>2014</v>
      </c>
      <c r="B1445" t="s">
        <v>17</v>
      </c>
      <c r="C1445">
        <v>5174</v>
      </c>
      <c r="D1445">
        <v>2903.1</v>
      </c>
      <c r="E1445">
        <v>26.8</v>
      </c>
      <c r="F1445" t="s">
        <v>24</v>
      </c>
      <c r="G1445" t="s">
        <v>14</v>
      </c>
      <c r="H1445">
        <v>3671</v>
      </c>
      <c r="I1445">
        <v>56.6</v>
      </c>
      <c r="J1445" t="s">
        <v>32</v>
      </c>
      <c r="K1445">
        <v>200000</v>
      </c>
      <c r="L1445" t="s">
        <v>22</v>
      </c>
    </row>
    <row r="1446" spans="1:12" x14ac:dyDescent="0.3">
      <c r="A1446">
        <v>2015</v>
      </c>
      <c r="B1446" t="s">
        <v>17</v>
      </c>
      <c r="C1446">
        <v>5294</v>
      </c>
      <c r="D1446">
        <v>2903.1</v>
      </c>
      <c r="E1446">
        <v>37</v>
      </c>
      <c r="F1446" t="s">
        <v>24</v>
      </c>
      <c r="G1446" t="s">
        <v>14</v>
      </c>
      <c r="H1446">
        <v>2404</v>
      </c>
      <c r="I1446">
        <v>55.5</v>
      </c>
      <c r="J1446" t="s">
        <v>32</v>
      </c>
      <c r="K1446">
        <v>4847</v>
      </c>
      <c r="L1446" t="s">
        <v>22</v>
      </c>
    </row>
    <row r="1447" spans="1:12" x14ac:dyDescent="0.3">
      <c r="A1447">
        <v>2016</v>
      </c>
      <c r="B1447" t="s">
        <v>17</v>
      </c>
      <c r="C1447">
        <v>5474</v>
      </c>
      <c r="D1447">
        <v>2996.6</v>
      </c>
      <c r="E1447">
        <v>37</v>
      </c>
      <c r="F1447" t="s">
        <v>24</v>
      </c>
      <c r="G1447" t="s">
        <v>14</v>
      </c>
      <c r="H1447">
        <v>2805</v>
      </c>
      <c r="I1447">
        <v>58.5</v>
      </c>
      <c r="J1447" t="s">
        <v>32</v>
      </c>
      <c r="K1447">
        <v>51239</v>
      </c>
      <c r="L1447" t="s">
        <v>22</v>
      </c>
    </row>
    <row r="1448" spans="1:12" x14ac:dyDescent="0.3">
      <c r="A1448">
        <v>2017</v>
      </c>
      <c r="B1448" t="s">
        <v>17</v>
      </c>
      <c r="C1448">
        <v>5864</v>
      </c>
      <c r="D1448">
        <v>2996.6</v>
      </c>
      <c r="E1448">
        <v>37</v>
      </c>
      <c r="F1448" t="s">
        <v>24</v>
      </c>
      <c r="G1448" t="s">
        <v>14</v>
      </c>
      <c r="H1448">
        <v>2331</v>
      </c>
      <c r="I1448">
        <v>59.5</v>
      </c>
      <c r="J1448" t="s">
        <v>32</v>
      </c>
      <c r="K1448">
        <v>216396</v>
      </c>
      <c r="L1448" t="s">
        <v>22</v>
      </c>
    </row>
    <row r="1449" spans="1:12" x14ac:dyDescent="0.3">
      <c r="A1449">
        <v>2018</v>
      </c>
      <c r="B1449" t="s">
        <v>17</v>
      </c>
      <c r="C1449">
        <v>7028</v>
      </c>
      <c r="D1449">
        <v>2996.6</v>
      </c>
      <c r="E1449">
        <v>38</v>
      </c>
      <c r="F1449" t="s">
        <v>24</v>
      </c>
      <c r="G1449" t="s">
        <v>21</v>
      </c>
      <c r="H1449">
        <v>2088</v>
      </c>
      <c r="I1449">
        <v>55</v>
      </c>
      <c r="J1449" t="s">
        <v>32</v>
      </c>
      <c r="K1449">
        <v>2644</v>
      </c>
      <c r="L1449" t="s">
        <v>22</v>
      </c>
    </row>
    <row r="1450" spans="1:12" x14ac:dyDescent="0.3">
      <c r="A1450">
        <v>2004</v>
      </c>
      <c r="B1450" t="s">
        <v>17</v>
      </c>
      <c r="C1450">
        <v>7403</v>
      </c>
      <c r="D1450">
        <v>3522.8</v>
      </c>
      <c r="E1450">
        <v>38</v>
      </c>
      <c r="F1450" t="s">
        <v>24</v>
      </c>
      <c r="G1450" t="s">
        <v>21</v>
      </c>
      <c r="H1450">
        <v>2628</v>
      </c>
      <c r="I1450">
        <v>53</v>
      </c>
      <c r="J1450" t="s">
        <v>32</v>
      </c>
      <c r="K1450">
        <v>44235</v>
      </c>
      <c r="L1450" t="s">
        <v>22</v>
      </c>
    </row>
    <row r="1451" spans="1:12" x14ac:dyDescent="0.3">
      <c r="A1451">
        <v>2005</v>
      </c>
      <c r="B1451" t="s">
        <v>17</v>
      </c>
      <c r="C1451">
        <v>7501</v>
      </c>
      <c r="D1451">
        <v>3522.8</v>
      </c>
      <c r="E1451">
        <v>38</v>
      </c>
      <c r="F1451" t="s">
        <v>24</v>
      </c>
      <c r="G1451" t="s">
        <v>21</v>
      </c>
      <c r="H1451">
        <v>1939</v>
      </c>
      <c r="I1451">
        <v>53.5</v>
      </c>
      <c r="J1451" t="s">
        <v>32</v>
      </c>
      <c r="K1451">
        <v>203317</v>
      </c>
      <c r="L1451" t="s">
        <v>22</v>
      </c>
    </row>
    <row r="1452" spans="1:12" x14ac:dyDescent="0.3">
      <c r="A1452">
        <v>2006</v>
      </c>
      <c r="B1452" t="s">
        <v>17</v>
      </c>
      <c r="C1452">
        <v>7714</v>
      </c>
      <c r="D1452">
        <v>3522.8</v>
      </c>
      <c r="E1452">
        <v>39</v>
      </c>
      <c r="F1452" t="s">
        <v>24</v>
      </c>
      <c r="G1452" t="s">
        <v>21</v>
      </c>
      <c r="H1452">
        <v>1871</v>
      </c>
      <c r="I1452">
        <v>52.5</v>
      </c>
      <c r="J1452" t="s">
        <v>32</v>
      </c>
      <c r="K1452">
        <v>2134</v>
      </c>
      <c r="L1452" t="s">
        <v>22</v>
      </c>
    </row>
    <row r="1453" spans="1:12" x14ac:dyDescent="0.3">
      <c r="A1453">
        <v>2007</v>
      </c>
      <c r="B1453" t="s">
        <v>17</v>
      </c>
      <c r="C1453">
        <v>7856</v>
      </c>
      <c r="D1453">
        <v>2903.1</v>
      </c>
      <c r="E1453">
        <v>39</v>
      </c>
      <c r="F1453" t="s">
        <v>24</v>
      </c>
      <c r="G1453" t="s">
        <v>21</v>
      </c>
      <c r="H1453">
        <v>1868</v>
      </c>
      <c r="I1453">
        <v>56</v>
      </c>
      <c r="J1453" t="s">
        <v>32</v>
      </c>
      <c r="K1453">
        <v>45186</v>
      </c>
      <c r="L1453" t="s">
        <v>22</v>
      </c>
    </row>
    <row r="1454" spans="1:12" x14ac:dyDescent="0.3">
      <c r="A1454">
        <v>2008</v>
      </c>
      <c r="B1454" t="s">
        <v>17</v>
      </c>
      <c r="C1454">
        <v>32</v>
      </c>
      <c r="D1454">
        <v>2903.1</v>
      </c>
      <c r="E1454">
        <v>39</v>
      </c>
      <c r="F1454" t="s">
        <v>24</v>
      </c>
      <c r="G1454" t="s">
        <v>21</v>
      </c>
      <c r="H1454">
        <v>127919</v>
      </c>
      <c r="I1454">
        <v>57</v>
      </c>
      <c r="J1454" t="s">
        <v>32</v>
      </c>
      <c r="K1454">
        <v>238542</v>
      </c>
      <c r="L1454" t="s">
        <v>22</v>
      </c>
    </row>
    <row r="1455" spans="1:12" x14ac:dyDescent="0.3">
      <c r="A1455">
        <v>2009</v>
      </c>
      <c r="B1455" t="s">
        <v>17</v>
      </c>
      <c r="C1455">
        <v>1</v>
      </c>
      <c r="D1455">
        <v>2903.1</v>
      </c>
      <c r="E1455">
        <v>40</v>
      </c>
      <c r="F1455" t="s">
        <v>24</v>
      </c>
      <c r="G1455" t="s">
        <v>21</v>
      </c>
      <c r="H1455">
        <v>75340</v>
      </c>
      <c r="I1455">
        <v>57.5</v>
      </c>
      <c r="J1455" t="s">
        <v>32</v>
      </c>
      <c r="K1455">
        <v>1516</v>
      </c>
      <c r="L1455" t="s">
        <v>22</v>
      </c>
    </row>
    <row r="1456" spans="1:12" x14ac:dyDescent="0.3">
      <c r="A1456">
        <v>2010</v>
      </c>
      <c r="B1456" t="s">
        <v>17</v>
      </c>
      <c r="C1456">
        <v>30</v>
      </c>
      <c r="D1456">
        <v>2996.6</v>
      </c>
      <c r="E1456">
        <v>40</v>
      </c>
      <c r="F1456" t="s">
        <v>24</v>
      </c>
      <c r="G1456" t="s">
        <v>21</v>
      </c>
      <c r="H1456">
        <v>29170</v>
      </c>
      <c r="I1456">
        <v>57</v>
      </c>
      <c r="J1456" t="s">
        <v>33</v>
      </c>
      <c r="K1456">
        <v>200000</v>
      </c>
      <c r="L1456" t="s">
        <v>22</v>
      </c>
    </row>
    <row r="1457" spans="1:12" x14ac:dyDescent="0.3">
      <c r="A1457">
        <v>2011</v>
      </c>
      <c r="B1457" t="s">
        <v>17</v>
      </c>
      <c r="C1457">
        <v>6</v>
      </c>
      <c r="D1457">
        <v>2996.6</v>
      </c>
      <c r="E1457">
        <v>40</v>
      </c>
      <c r="F1457" t="s">
        <v>24</v>
      </c>
      <c r="G1457" t="s">
        <v>21</v>
      </c>
      <c r="H1457">
        <v>1901</v>
      </c>
      <c r="I1457">
        <v>55</v>
      </c>
      <c r="J1457" t="s">
        <v>33</v>
      </c>
      <c r="K1457">
        <v>4847</v>
      </c>
      <c r="L1457" t="s">
        <v>22</v>
      </c>
    </row>
    <row r="1458" spans="1:12" x14ac:dyDescent="0.3">
      <c r="A1458">
        <v>2012</v>
      </c>
      <c r="B1458" t="s">
        <v>17</v>
      </c>
      <c r="C1458">
        <v>15</v>
      </c>
      <c r="D1458">
        <v>2996.6</v>
      </c>
      <c r="E1458">
        <v>41</v>
      </c>
      <c r="F1458" t="s">
        <v>24</v>
      </c>
      <c r="G1458" t="s">
        <v>21</v>
      </c>
      <c r="H1458">
        <v>972</v>
      </c>
      <c r="I1458">
        <v>56</v>
      </c>
      <c r="J1458" t="s">
        <v>33</v>
      </c>
      <c r="K1458">
        <v>51239</v>
      </c>
      <c r="L1458" t="s">
        <v>22</v>
      </c>
    </row>
    <row r="1459" spans="1:12" x14ac:dyDescent="0.3">
      <c r="A1459">
        <v>2013</v>
      </c>
      <c r="B1459" t="s">
        <v>17</v>
      </c>
      <c r="C1459">
        <v>4</v>
      </c>
      <c r="D1459">
        <v>3522.8</v>
      </c>
      <c r="E1459">
        <v>41</v>
      </c>
      <c r="F1459" t="s">
        <v>24</v>
      </c>
      <c r="G1459" t="s">
        <v>21</v>
      </c>
      <c r="H1459">
        <v>874</v>
      </c>
      <c r="I1459">
        <v>54</v>
      </c>
      <c r="J1459" t="s">
        <v>33</v>
      </c>
      <c r="K1459">
        <v>216396</v>
      </c>
      <c r="L1459" t="s">
        <v>22</v>
      </c>
    </row>
    <row r="1460" spans="1:12" x14ac:dyDescent="0.3">
      <c r="A1460">
        <v>2014</v>
      </c>
      <c r="B1460" t="s">
        <v>17</v>
      </c>
      <c r="C1460">
        <v>39</v>
      </c>
      <c r="D1460">
        <v>3522.8</v>
      </c>
      <c r="E1460">
        <v>41</v>
      </c>
      <c r="F1460" t="s">
        <v>24</v>
      </c>
      <c r="G1460" t="s">
        <v>21</v>
      </c>
      <c r="H1460">
        <v>592</v>
      </c>
      <c r="I1460">
        <v>58</v>
      </c>
      <c r="J1460" t="s">
        <v>33</v>
      </c>
      <c r="K1460">
        <v>2644</v>
      </c>
      <c r="L1460" t="s">
        <v>22</v>
      </c>
    </row>
    <row r="1461" spans="1:12" x14ac:dyDescent="0.3">
      <c r="A1461">
        <v>2015</v>
      </c>
      <c r="B1461" t="s">
        <v>17</v>
      </c>
      <c r="C1461">
        <v>6</v>
      </c>
      <c r="D1461">
        <v>3522.8</v>
      </c>
      <c r="E1461">
        <v>42</v>
      </c>
      <c r="F1461" t="s">
        <v>24</v>
      </c>
      <c r="G1461" t="s">
        <v>21</v>
      </c>
      <c r="H1461">
        <v>864</v>
      </c>
      <c r="I1461">
        <v>58</v>
      </c>
      <c r="J1461" t="s">
        <v>33</v>
      </c>
      <c r="K1461">
        <v>44235</v>
      </c>
      <c r="L1461" t="s">
        <v>22</v>
      </c>
    </row>
    <row r="1462" spans="1:12" x14ac:dyDescent="0.3">
      <c r="A1462">
        <v>2016</v>
      </c>
      <c r="B1462" t="s">
        <v>17</v>
      </c>
      <c r="C1462">
        <v>12</v>
      </c>
      <c r="D1462">
        <v>3729.8</v>
      </c>
      <c r="E1462">
        <v>42</v>
      </c>
      <c r="F1462" t="s">
        <v>24</v>
      </c>
      <c r="G1462" t="s">
        <v>21</v>
      </c>
      <c r="H1462">
        <v>5373</v>
      </c>
      <c r="I1462">
        <v>59</v>
      </c>
      <c r="J1462" t="s">
        <v>33</v>
      </c>
      <c r="K1462">
        <v>203317</v>
      </c>
      <c r="L1462" t="s">
        <v>22</v>
      </c>
    </row>
    <row r="1463" spans="1:12" x14ac:dyDescent="0.3">
      <c r="A1463">
        <v>2017</v>
      </c>
      <c r="B1463" t="s">
        <v>17</v>
      </c>
      <c r="C1463">
        <v>3</v>
      </c>
      <c r="D1463">
        <v>3729.8</v>
      </c>
      <c r="E1463">
        <v>42</v>
      </c>
      <c r="F1463" t="s">
        <v>24</v>
      </c>
      <c r="G1463" t="s">
        <v>21</v>
      </c>
      <c r="H1463">
        <v>6589</v>
      </c>
      <c r="I1463">
        <v>50</v>
      </c>
      <c r="J1463" t="s">
        <v>33</v>
      </c>
      <c r="K1463">
        <v>2134</v>
      </c>
      <c r="L1463" t="s">
        <v>22</v>
      </c>
    </row>
    <row r="1464" spans="1:12" x14ac:dyDescent="0.3">
      <c r="A1464">
        <v>2018</v>
      </c>
      <c r="B1464" t="s">
        <v>46</v>
      </c>
      <c r="C1464">
        <v>17</v>
      </c>
      <c r="D1464">
        <v>3729.8</v>
      </c>
      <c r="E1464">
        <v>43</v>
      </c>
      <c r="F1464" t="s">
        <v>24</v>
      </c>
      <c r="G1464" t="s">
        <v>21</v>
      </c>
      <c r="H1464">
        <v>5107</v>
      </c>
      <c r="I1464">
        <v>54</v>
      </c>
      <c r="J1464" t="s">
        <v>33</v>
      </c>
      <c r="K1464">
        <v>45186</v>
      </c>
      <c r="L1464" t="s">
        <v>22</v>
      </c>
    </row>
    <row r="1465" spans="1:12" x14ac:dyDescent="0.3">
      <c r="A1465">
        <v>2013</v>
      </c>
      <c r="B1465" t="s">
        <v>46</v>
      </c>
      <c r="C1465">
        <v>3</v>
      </c>
      <c r="D1465">
        <v>2746.2</v>
      </c>
      <c r="E1465">
        <v>43</v>
      </c>
      <c r="F1465" t="s">
        <v>24</v>
      </c>
      <c r="G1465" t="s">
        <v>21</v>
      </c>
      <c r="H1465">
        <v>5518</v>
      </c>
      <c r="I1465">
        <v>53</v>
      </c>
      <c r="J1465" t="s">
        <v>33</v>
      </c>
      <c r="K1465">
        <v>238542</v>
      </c>
      <c r="L1465" t="s">
        <v>22</v>
      </c>
    </row>
    <row r="1466" spans="1:12" x14ac:dyDescent="0.3">
      <c r="A1466">
        <v>2014</v>
      </c>
      <c r="B1466" t="s">
        <v>46</v>
      </c>
      <c r="C1466">
        <v>9</v>
      </c>
      <c r="D1466">
        <v>2746.2</v>
      </c>
      <c r="E1466">
        <v>27</v>
      </c>
      <c r="F1466" t="s">
        <v>24</v>
      </c>
      <c r="G1466" t="s">
        <v>21</v>
      </c>
      <c r="H1466">
        <v>4912</v>
      </c>
      <c r="I1466">
        <v>52</v>
      </c>
      <c r="J1466" t="s">
        <v>33</v>
      </c>
      <c r="K1466">
        <v>1516</v>
      </c>
      <c r="L1466" t="s">
        <v>22</v>
      </c>
    </row>
    <row r="1467" spans="1:12" x14ac:dyDescent="0.3">
      <c r="A1467">
        <v>2015</v>
      </c>
      <c r="B1467" t="s">
        <v>46</v>
      </c>
      <c r="C1467">
        <v>21</v>
      </c>
      <c r="D1467">
        <v>2746.2</v>
      </c>
      <c r="E1467">
        <v>27</v>
      </c>
      <c r="F1467" t="s">
        <v>24</v>
      </c>
      <c r="G1467" t="s">
        <v>21</v>
      </c>
      <c r="H1467">
        <v>3830</v>
      </c>
      <c r="I1467">
        <v>51</v>
      </c>
      <c r="J1467" t="s">
        <v>33</v>
      </c>
      <c r="K1467">
        <v>57259</v>
      </c>
      <c r="L1467" t="s">
        <v>22</v>
      </c>
    </row>
    <row r="1468" spans="1:12" x14ac:dyDescent="0.3">
      <c r="A1468">
        <v>2016</v>
      </c>
      <c r="B1468" t="s">
        <v>46</v>
      </c>
      <c r="C1468">
        <v>11</v>
      </c>
      <c r="D1468">
        <v>3360</v>
      </c>
      <c r="E1468">
        <v>27</v>
      </c>
      <c r="F1468" t="s">
        <v>24</v>
      </c>
      <c r="G1468" t="s">
        <v>21</v>
      </c>
      <c r="H1468">
        <v>4</v>
      </c>
      <c r="I1468">
        <v>57</v>
      </c>
      <c r="J1468" t="s">
        <v>33</v>
      </c>
      <c r="K1468">
        <v>234779</v>
      </c>
      <c r="L1468" t="s">
        <v>22</v>
      </c>
    </row>
    <row r="1469" spans="1:12" x14ac:dyDescent="0.3">
      <c r="A1469">
        <v>2017</v>
      </c>
      <c r="B1469" t="s">
        <v>46</v>
      </c>
      <c r="C1469">
        <v>4</v>
      </c>
      <c r="D1469">
        <v>3360</v>
      </c>
      <c r="E1469">
        <v>27</v>
      </c>
      <c r="F1469" t="s">
        <v>24</v>
      </c>
      <c r="G1469" t="s">
        <v>21</v>
      </c>
      <c r="H1469">
        <v>9</v>
      </c>
      <c r="I1469">
        <v>57</v>
      </c>
      <c r="J1469" t="s">
        <v>33</v>
      </c>
      <c r="K1469">
        <v>1493</v>
      </c>
      <c r="L1469" t="s">
        <v>22</v>
      </c>
    </row>
    <row r="1470" spans="1:12" x14ac:dyDescent="0.3">
      <c r="A1470">
        <v>2018</v>
      </c>
      <c r="B1470" t="s">
        <v>46</v>
      </c>
      <c r="C1470">
        <v>15</v>
      </c>
      <c r="D1470">
        <v>3360</v>
      </c>
      <c r="E1470">
        <v>27</v>
      </c>
      <c r="F1470" t="s">
        <v>24</v>
      </c>
      <c r="G1470" t="s">
        <v>21</v>
      </c>
      <c r="H1470">
        <v>12</v>
      </c>
      <c r="I1470">
        <v>60</v>
      </c>
      <c r="J1470" t="s">
        <v>33</v>
      </c>
      <c r="K1470">
        <v>64409</v>
      </c>
      <c r="L1470" t="s">
        <v>22</v>
      </c>
    </row>
    <row r="1471" spans="1:12" x14ac:dyDescent="0.3">
      <c r="A1471">
        <v>2004</v>
      </c>
      <c r="B1471" t="s">
        <v>46</v>
      </c>
      <c r="C1471">
        <v>8</v>
      </c>
      <c r="D1471">
        <v>3605.4</v>
      </c>
      <c r="E1471">
        <v>27</v>
      </c>
      <c r="F1471" t="s">
        <v>24</v>
      </c>
      <c r="G1471" t="s">
        <v>21</v>
      </c>
      <c r="H1471">
        <v>2089</v>
      </c>
      <c r="I1471">
        <v>57</v>
      </c>
      <c r="J1471" t="s">
        <v>35</v>
      </c>
      <c r="K1471">
        <v>249978</v>
      </c>
      <c r="L1471" t="s">
        <v>22</v>
      </c>
    </row>
    <row r="1472" spans="1:12" x14ac:dyDescent="0.3">
      <c r="A1472">
        <v>2005</v>
      </c>
      <c r="B1472" t="s">
        <v>46</v>
      </c>
      <c r="C1472">
        <v>29</v>
      </c>
      <c r="D1472">
        <v>3605.4</v>
      </c>
      <c r="E1472">
        <v>27.2</v>
      </c>
      <c r="F1472" t="s">
        <v>24</v>
      </c>
      <c r="G1472" t="s">
        <v>21</v>
      </c>
      <c r="H1472">
        <v>2810</v>
      </c>
      <c r="I1472">
        <v>57</v>
      </c>
      <c r="J1472" t="s">
        <v>35</v>
      </c>
      <c r="K1472">
        <v>637</v>
      </c>
      <c r="L1472" t="s">
        <v>22</v>
      </c>
    </row>
    <row r="1473" spans="1:12" x14ac:dyDescent="0.3">
      <c r="A1473">
        <v>2006</v>
      </c>
      <c r="B1473" t="s">
        <v>46</v>
      </c>
      <c r="C1473">
        <v>1</v>
      </c>
      <c r="D1473">
        <v>3605.4</v>
      </c>
      <c r="E1473">
        <v>27.2</v>
      </c>
      <c r="F1473" t="s">
        <v>27</v>
      </c>
      <c r="G1473" t="s">
        <v>21</v>
      </c>
      <c r="H1473">
        <v>841</v>
      </c>
      <c r="I1473">
        <v>54</v>
      </c>
      <c r="J1473" t="s">
        <v>35</v>
      </c>
      <c r="K1473">
        <v>43311</v>
      </c>
      <c r="L1473" t="s">
        <v>22</v>
      </c>
    </row>
    <row r="1474" spans="1:12" x14ac:dyDescent="0.3">
      <c r="A1474">
        <v>2007</v>
      </c>
      <c r="B1474" t="s">
        <v>46</v>
      </c>
      <c r="C1474">
        <v>13736</v>
      </c>
      <c r="D1474">
        <v>3512.4</v>
      </c>
      <c r="E1474">
        <v>27.2</v>
      </c>
      <c r="F1474" t="s">
        <v>27</v>
      </c>
      <c r="G1474" t="s">
        <v>21</v>
      </c>
      <c r="H1474">
        <v>3550</v>
      </c>
      <c r="I1474">
        <v>54.5</v>
      </c>
      <c r="J1474" t="s">
        <v>35</v>
      </c>
      <c r="K1474">
        <v>24848</v>
      </c>
      <c r="L1474" t="s">
        <v>22</v>
      </c>
    </row>
    <row r="1475" spans="1:12" x14ac:dyDescent="0.3">
      <c r="A1475">
        <v>2008</v>
      </c>
      <c r="B1475" t="s">
        <v>46</v>
      </c>
      <c r="C1475">
        <v>14003</v>
      </c>
      <c r="D1475">
        <v>3512.4</v>
      </c>
      <c r="E1475">
        <v>27</v>
      </c>
      <c r="F1475" t="s">
        <v>27</v>
      </c>
      <c r="G1475" t="s">
        <v>21</v>
      </c>
      <c r="H1475">
        <v>109</v>
      </c>
      <c r="I1475">
        <v>56.6</v>
      </c>
      <c r="J1475" t="s">
        <v>35</v>
      </c>
      <c r="K1475">
        <v>761</v>
      </c>
      <c r="L1475" t="s">
        <v>22</v>
      </c>
    </row>
    <row r="1476" spans="1:12" x14ac:dyDescent="0.3">
      <c r="A1476">
        <v>2009</v>
      </c>
      <c r="B1476" t="s">
        <v>46</v>
      </c>
      <c r="C1476">
        <v>14179</v>
      </c>
      <c r="D1476">
        <v>3512.4</v>
      </c>
      <c r="E1476">
        <v>27</v>
      </c>
      <c r="F1476" t="s">
        <v>27</v>
      </c>
      <c r="G1476" t="s">
        <v>21</v>
      </c>
      <c r="H1476">
        <v>3368</v>
      </c>
      <c r="I1476">
        <v>55.5</v>
      </c>
      <c r="J1476" t="s">
        <v>35</v>
      </c>
      <c r="K1476">
        <v>45608</v>
      </c>
      <c r="L1476" t="s">
        <v>22</v>
      </c>
    </row>
    <row r="1477" spans="1:12" x14ac:dyDescent="0.3">
      <c r="A1477">
        <v>2010</v>
      </c>
      <c r="B1477" t="s">
        <v>46</v>
      </c>
      <c r="C1477">
        <v>14319</v>
      </c>
      <c r="D1477">
        <v>3296</v>
      </c>
      <c r="E1477">
        <v>27</v>
      </c>
      <c r="F1477" t="s">
        <v>27</v>
      </c>
      <c r="G1477" t="s">
        <v>21</v>
      </c>
      <c r="H1477">
        <v>3671</v>
      </c>
      <c r="I1477">
        <v>58.5</v>
      </c>
      <c r="J1477" t="s">
        <v>35</v>
      </c>
      <c r="K1477">
        <v>234581</v>
      </c>
      <c r="L1477" t="s">
        <v>22</v>
      </c>
    </row>
    <row r="1478" spans="1:12" x14ac:dyDescent="0.3">
      <c r="A1478">
        <v>2011</v>
      </c>
      <c r="B1478" t="s">
        <v>46</v>
      </c>
      <c r="C1478">
        <v>14464</v>
      </c>
      <c r="D1478">
        <v>3296</v>
      </c>
      <c r="E1478">
        <v>27</v>
      </c>
      <c r="F1478" t="s">
        <v>27</v>
      </c>
      <c r="G1478" t="s">
        <v>21</v>
      </c>
      <c r="H1478">
        <v>2404</v>
      </c>
      <c r="I1478">
        <v>59.5</v>
      </c>
      <c r="J1478" t="s">
        <v>35</v>
      </c>
      <c r="K1478">
        <v>646</v>
      </c>
      <c r="L1478" t="s">
        <v>22</v>
      </c>
    </row>
    <row r="1479" spans="1:12" x14ac:dyDescent="0.3">
      <c r="A1479">
        <v>2012</v>
      </c>
      <c r="B1479" t="s">
        <v>46</v>
      </c>
      <c r="C1479">
        <v>14876</v>
      </c>
      <c r="D1479">
        <v>3296</v>
      </c>
      <c r="E1479">
        <v>27</v>
      </c>
      <c r="F1479" t="s">
        <v>27</v>
      </c>
      <c r="G1479" t="s">
        <v>21</v>
      </c>
      <c r="H1479">
        <v>2805</v>
      </c>
      <c r="I1479">
        <v>55</v>
      </c>
      <c r="J1479" t="s">
        <v>35</v>
      </c>
      <c r="K1479">
        <v>43562</v>
      </c>
      <c r="L1479" t="s">
        <v>22</v>
      </c>
    </row>
    <row r="1480" spans="1:12" x14ac:dyDescent="0.3">
      <c r="A1480">
        <v>2013</v>
      </c>
      <c r="B1480" t="s">
        <v>46</v>
      </c>
      <c r="C1480">
        <v>14976</v>
      </c>
      <c r="D1480">
        <v>3550</v>
      </c>
      <c r="E1480">
        <v>27</v>
      </c>
      <c r="F1480" t="s">
        <v>27</v>
      </c>
      <c r="G1480" t="s">
        <v>21</v>
      </c>
      <c r="H1480">
        <v>2331</v>
      </c>
      <c r="I1480">
        <v>53</v>
      </c>
      <c r="J1480" t="s">
        <v>35</v>
      </c>
      <c r="K1480">
        <v>200000</v>
      </c>
      <c r="L1480" t="s">
        <v>22</v>
      </c>
    </row>
    <row r="1481" spans="1:12" x14ac:dyDescent="0.3">
      <c r="A1481">
        <v>2014</v>
      </c>
      <c r="B1481" t="s">
        <v>46</v>
      </c>
      <c r="C1481">
        <v>15009</v>
      </c>
      <c r="D1481">
        <v>3550</v>
      </c>
      <c r="E1481">
        <v>27.2</v>
      </c>
      <c r="F1481" t="s">
        <v>27</v>
      </c>
      <c r="G1481" t="s">
        <v>21</v>
      </c>
      <c r="H1481">
        <v>2088</v>
      </c>
      <c r="I1481">
        <v>53.5</v>
      </c>
      <c r="J1481" t="s">
        <v>35</v>
      </c>
      <c r="K1481">
        <v>4847</v>
      </c>
      <c r="L1481" t="s">
        <v>22</v>
      </c>
    </row>
    <row r="1482" spans="1:12" x14ac:dyDescent="0.3">
      <c r="A1482">
        <v>2015</v>
      </c>
      <c r="B1482" t="s">
        <v>46</v>
      </c>
      <c r="C1482">
        <v>15114</v>
      </c>
      <c r="D1482">
        <v>3550</v>
      </c>
      <c r="E1482">
        <v>27.2</v>
      </c>
      <c r="F1482" t="s">
        <v>27</v>
      </c>
      <c r="G1482" t="s">
        <v>21</v>
      </c>
      <c r="H1482">
        <v>2628</v>
      </c>
      <c r="I1482">
        <v>52.5</v>
      </c>
      <c r="J1482" t="s">
        <v>35</v>
      </c>
      <c r="K1482">
        <v>51239</v>
      </c>
      <c r="L1482" t="s">
        <v>22</v>
      </c>
    </row>
    <row r="1483" spans="1:12" x14ac:dyDescent="0.3">
      <c r="A1483">
        <v>2016</v>
      </c>
      <c r="B1483" t="s">
        <v>46</v>
      </c>
      <c r="C1483">
        <v>16224</v>
      </c>
      <c r="D1483">
        <v>3654</v>
      </c>
      <c r="E1483">
        <v>27.2</v>
      </c>
      <c r="F1483" t="s">
        <v>27</v>
      </c>
      <c r="G1483" t="s">
        <v>21</v>
      </c>
      <c r="H1483">
        <v>1939</v>
      </c>
      <c r="I1483">
        <v>56</v>
      </c>
      <c r="J1483" t="s">
        <v>35</v>
      </c>
      <c r="K1483">
        <v>216396</v>
      </c>
      <c r="L1483" t="s">
        <v>22</v>
      </c>
    </row>
    <row r="1484" spans="1:12" x14ac:dyDescent="0.3">
      <c r="A1484">
        <v>2017</v>
      </c>
      <c r="B1484" t="s">
        <v>46</v>
      </c>
      <c r="C1484">
        <v>17095</v>
      </c>
      <c r="D1484">
        <v>3654</v>
      </c>
      <c r="E1484">
        <v>27.1</v>
      </c>
      <c r="F1484" t="s">
        <v>27</v>
      </c>
      <c r="G1484" t="s">
        <v>21</v>
      </c>
      <c r="H1484">
        <v>1871</v>
      </c>
      <c r="I1484">
        <v>57</v>
      </c>
      <c r="J1484" t="s">
        <v>35</v>
      </c>
      <c r="K1484">
        <v>2644</v>
      </c>
      <c r="L1484" t="s">
        <v>22</v>
      </c>
    </row>
    <row r="1485" spans="1:12" x14ac:dyDescent="0.3">
      <c r="A1485">
        <v>2018</v>
      </c>
      <c r="B1485" t="s">
        <v>46</v>
      </c>
      <c r="C1485">
        <v>17512</v>
      </c>
      <c r="D1485">
        <v>3654</v>
      </c>
      <c r="E1485">
        <v>27.1</v>
      </c>
      <c r="F1485" t="s">
        <v>27</v>
      </c>
      <c r="G1485" t="s">
        <v>21</v>
      </c>
      <c r="H1485">
        <v>1868</v>
      </c>
      <c r="I1485">
        <v>57.5</v>
      </c>
      <c r="J1485" t="s">
        <v>35</v>
      </c>
      <c r="K1485">
        <v>44235</v>
      </c>
      <c r="L1485" t="s">
        <v>22</v>
      </c>
    </row>
    <row r="1486" spans="1:12" x14ac:dyDescent="0.3">
      <c r="A1486">
        <v>2015</v>
      </c>
      <c r="B1486" t="s">
        <v>46</v>
      </c>
      <c r="C1486">
        <v>17587</v>
      </c>
      <c r="D1486">
        <v>233</v>
      </c>
      <c r="E1486">
        <v>27.1</v>
      </c>
      <c r="F1486" t="s">
        <v>27</v>
      </c>
      <c r="G1486" t="s">
        <v>21</v>
      </c>
      <c r="H1486">
        <v>127919</v>
      </c>
      <c r="I1486">
        <v>57</v>
      </c>
      <c r="J1486" t="s">
        <v>37</v>
      </c>
      <c r="K1486">
        <v>203317</v>
      </c>
      <c r="L1486" t="s">
        <v>22</v>
      </c>
    </row>
    <row r="1487" spans="1:12" x14ac:dyDescent="0.3">
      <c r="A1487">
        <v>2016</v>
      </c>
      <c r="B1487" t="s">
        <v>46</v>
      </c>
      <c r="C1487">
        <v>17771</v>
      </c>
      <c r="D1487">
        <v>233</v>
      </c>
      <c r="E1487">
        <v>26.8</v>
      </c>
      <c r="F1487" t="s">
        <v>27</v>
      </c>
      <c r="G1487" t="s">
        <v>21</v>
      </c>
      <c r="H1487">
        <v>75340</v>
      </c>
      <c r="I1487">
        <v>55</v>
      </c>
      <c r="J1487" t="s">
        <v>37</v>
      </c>
      <c r="K1487">
        <v>2134</v>
      </c>
      <c r="L1487" t="s">
        <v>22</v>
      </c>
    </row>
    <row r="1488" spans="1:12" x14ac:dyDescent="0.3">
      <c r="A1488">
        <v>2017</v>
      </c>
      <c r="B1488" t="s">
        <v>46</v>
      </c>
      <c r="C1488">
        <v>17825</v>
      </c>
      <c r="D1488">
        <v>233</v>
      </c>
      <c r="E1488">
        <v>26.8</v>
      </c>
      <c r="F1488" t="s">
        <v>27</v>
      </c>
      <c r="G1488" t="s">
        <v>21</v>
      </c>
      <c r="H1488">
        <v>29170</v>
      </c>
      <c r="I1488">
        <v>56</v>
      </c>
      <c r="J1488" t="s">
        <v>37</v>
      </c>
      <c r="K1488">
        <v>45186</v>
      </c>
      <c r="L1488" t="s">
        <v>22</v>
      </c>
    </row>
    <row r="1489" spans="1:12" x14ac:dyDescent="0.3">
      <c r="A1489">
        <v>2018</v>
      </c>
      <c r="B1489" t="s">
        <v>46</v>
      </c>
      <c r="C1489">
        <v>3147</v>
      </c>
      <c r="D1489">
        <v>234</v>
      </c>
      <c r="E1489">
        <v>26.8</v>
      </c>
      <c r="F1489" t="s">
        <v>27</v>
      </c>
      <c r="G1489" t="s">
        <v>21</v>
      </c>
      <c r="H1489">
        <v>1901</v>
      </c>
      <c r="I1489">
        <v>54</v>
      </c>
      <c r="J1489" t="s">
        <v>37</v>
      </c>
      <c r="K1489">
        <v>238542</v>
      </c>
      <c r="L1489" t="s">
        <v>22</v>
      </c>
    </row>
    <row r="1490" spans="1:12" x14ac:dyDescent="0.3">
      <c r="A1490">
        <v>2013</v>
      </c>
      <c r="B1490" t="s">
        <v>46</v>
      </c>
      <c r="C1490">
        <v>2578</v>
      </c>
      <c r="D1490">
        <v>234</v>
      </c>
      <c r="E1490">
        <v>37</v>
      </c>
      <c r="F1490" t="s">
        <v>27</v>
      </c>
      <c r="G1490" t="s">
        <v>21</v>
      </c>
      <c r="H1490">
        <v>972</v>
      </c>
      <c r="I1490">
        <v>58</v>
      </c>
      <c r="J1490" t="s">
        <v>37</v>
      </c>
      <c r="K1490">
        <v>1516</v>
      </c>
      <c r="L1490" t="s">
        <v>22</v>
      </c>
    </row>
    <row r="1491" spans="1:12" x14ac:dyDescent="0.3">
      <c r="A1491">
        <v>2014</v>
      </c>
      <c r="B1491" t="s">
        <v>46</v>
      </c>
      <c r="C1491">
        <v>1591</v>
      </c>
      <c r="D1491">
        <v>234</v>
      </c>
      <c r="E1491">
        <v>37</v>
      </c>
      <c r="F1491" t="s">
        <v>27</v>
      </c>
      <c r="G1491" t="s">
        <v>21</v>
      </c>
      <c r="H1491">
        <v>874</v>
      </c>
      <c r="I1491">
        <v>58</v>
      </c>
      <c r="J1491" t="s">
        <v>37</v>
      </c>
      <c r="K1491">
        <v>57259</v>
      </c>
      <c r="L1491" t="s">
        <v>22</v>
      </c>
    </row>
    <row r="1492" spans="1:12" x14ac:dyDescent="0.3">
      <c r="A1492">
        <v>2015</v>
      </c>
      <c r="B1492" t="s">
        <v>46</v>
      </c>
      <c r="C1492">
        <v>1298</v>
      </c>
      <c r="D1492">
        <v>3105</v>
      </c>
      <c r="E1492">
        <v>37</v>
      </c>
      <c r="F1492" t="s">
        <v>27</v>
      </c>
      <c r="G1492" t="s">
        <v>26</v>
      </c>
      <c r="H1492">
        <v>592</v>
      </c>
      <c r="I1492">
        <v>59</v>
      </c>
      <c r="J1492" t="s">
        <v>37</v>
      </c>
      <c r="K1492">
        <v>234779</v>
      </c>
      <c r="L1492" t="s">
        <v>22</v>
      </c>
    </row>
    <row r="1493" spans="1:12" x14ac:dyDescent="0.3">
      <c r="A1493">
        <v>2016</v>
      </c>
      <c r="B1493" t="s">
        <v>46</v>
      </c>
      <c r="C1493">
        <v>4</v>
      </c>
      <c r="D1493">
        <v>3105</v>
      </c>
      <c r="E1493">
        <v>38</v>
      </c>
      <c r="F1493" t="s">
        <v>27</v>
      </c>
      <c r="G1493" t="s">
        <v>26</v>
      </c>
      <c r="H1493">
        <v>864</v>
      </c>
      <c r="I1493">
        <v>50</v>
      </c>
      <c r="J1493" t="s">
        <v>37</v>
      </c>
      <c r="K1493">
        <v>1493</v>
      </c>
      <c r="L1493" t="s">
        <v>22</v>
      </c>
    </row>
    <row r="1494" spans="1:12" x14ac:dyDescent="0.3">
      <c r="A1494">
        <v>2017</v>
      </c>
      <c r="B1494" t="s">
        <v>46</v>
      </c>
      <c r="C1494">
        <v>1122</v>
      </c>
      <c r="D1494">
        <v>3105</v>
      </c>
      <c r="E1494">
        <v>38</v>
      </c>
      <c r="F1494" t="s">
        <v>27</v>
      </c>
      <c r="G1494" t="s">
        <v>26</v>
      </c>
      <c r="H1494">
        <v>5373</v>
      </c>
      <c r="I1494">
        <v>54</v>
      </c>
      <c r="J1494" t="s">
        <v>37</v>
      </c>
      <c r="K1494">
        <v>64409</v>
      </c>
      <c r="L1494" t="s">
        <v>22</v>
      </c>
    </row>
    <row r="1495" spans="1:12" x14ac:dyDescent="0.3">
      <c r="A1495">
        <v>2018</v>
      </c>
      <c r="B1495" t="s">
        <v>46</v>
      </c>
      <c r="C1495">
        <v>917</v>
      </c>
      <c r="D1495">
        <v>236</v>
      </c>
      <c r="E1495">
        <v>38</v>
      </c>
      <c r="F1495" t="s">
        <v>27</v>
      </c>
      <c r="G1495" t="s">
        <v>26</v>
      </c>
      <c r="H1495">
        <v>6589</v>
      </c>
      <c r="I1495">
        <v>53</v>
      </c>
      <c r="J1495" t="s">
        <v>37</v>
      </c>
      <c r="K1495">
        <v>249978</v>
      </c>
      <c r="L1495" t="s">
        <v>22</v>
      </c>
    </row>
    <row r="1496" spans="1:12" x14ac:dyDescent="0.3">
      <c r="A1496">
        <v>2004</v>
      </c>
      <c r="B1496" t="s">
        <v>46</v>
      </c>
      <c r="C1496">
        <v>819</v>
      </c>
      <c r="D1496">
        <v>236</v>
      </c>
      <c r="E1496">
        <v>39</v>
      </c>
      <c r="F1496" t="s">
        <v>27</v>
      </c>
      <c r="G1496" t="s">
        <v>26</v>
      </c>
      <c r="H1496">
        <v>5107</v>
      </c>
      <c r="I1496">
        <v>52</v>
      </c>
      <c r="J1496" t="s">
        <v>37</v>
      </c>
      <c r="K1496">
        <v>637</v>
      </c>
      <c r="L1496" t="s">
        <v>22</v>
      </c>
    </row>
    <row r="1497" spans="1:12" x14ac:dyDescent="0.3">
      <c r="A1497">
        <v>2005</v>
      </c>
      <c r="B1497" t="s">
        <v>46</v>
      </c>
      <c r="C1497">
        <v>619</v>
      </c>
      <c r="D1497">
        <v>2903.1</v>
      </c>
      <c r="E1497">
        <v>39</v>
      </c>
      <c r="F1497" t="s">
        <v>27</v>
      </c>
      <c r="G1497" t="s">
        <v>26</v>
      </c>
      <c r="H1497">
        <v>5518</v>
      </c>
      <c r="I1497">
        <v>51</v>
      </c>
      <c r="J1497" t="s">
        <v>37</v>
      </c>
      <c r="K1497">
        <v>43311</v>
      </c>
      <c r="L1497" t="s">
        <v>22</v>
      </c>
    </row>
    <row r="1498" spans="1:12" x14ac:dyDescent="0.3">
      <c r="A1498">
        <v>2006</v>
      </c>
      <c r="B1498" t="s">
        <v>46</v>
      </c>
      <c r="C1498">
        <v>391</v>
      </c>
      <c r="D1498">
        <v>2903.1</v>
      </c>
      <c r="E1498">
        <v>39</v>
      </c>
      <c r="F1498" t="s">
        <v>27</v>
      </c>
      <c r="G1498" t="s">
        <v>26</v>
      </c>
      <c r="H1498">
        <v>4912</v>
      </c>
      <c r="I1498">
        <v>57</v>
      </c>
      <c r="J1498" t="s">
        <v>37</v>
      </c>
      <c r="K1498">
        <v>24848</v>
      </c>
      <c r="L1498" t="s">
        <v>22</v>
      </c>
    </row>
    <row r="1499" spans="1:12" x14ac:dyDescent="0.3">
      <c r="A1499">
        <v>2007</v>
      </c>
      <c r="B1499" t="s">
        <v>46</v>
      </c>
      <c r="C1499">
        <v>211</v>
      </c>
      <c r="D1499">
        <v>2903.1</v>
      </c>
      <c r="E1499">
        <v>40</v>
      </c>
      <c r="F1499" t="s">
        <v>27</v>
      </c>
      <c r="G1499" t="s">
        <v>26</v>
      </c>
      <c r="H1499">
        <v>3830</v>
      </c>
      <c r="I1499">
        <v>57</v>
      </c>
      <c r="J1499" t="s">
        <v>37</v>
      </c>
      <c r="K1499">
        <v>761</v>
      </c>
      <c r="L1499" t="s">
        <v>22</v>
      </c>
    </row>
    <row r="1500" spans="1:12" x14ac:dyDescent="0.3">
      <c r="A1500">
        <v>2008</v>
      </c>
      <c r="B1500" t="s">
        <v>46</v>
      </c>
      <c r="C1500">
        <v>153</v>
      </c>
      <c r="D1500">
        <v>2996.6</v>
      </c>
      <c r="E1500">
        <v>40</v>
      </c>
      <c r="F1500" t="s">
        <v>27</v>
      </c>
      <c r="G1500" t="s">
        <v>26</v>
      </c>
      <c r="H1500">
        <v>313547</v>
      </c>
      <c r="I1500">
        <v>60</v>
      </c>
      <c r="J1500" t="s">
        <v>37</v>
      </c>
      <c r="K1500">
        <v>45608</v>
      </c>
      <c r="L1500" t="s">
        <v>22</v>
      </c>
    </row>
    <row r="1501" spans="1:12" x14ac:dyDescent="0.3">
      <c r="A1501">
        <v>2009</v>
      </c>
      <c r="B1501" t="s">
        <v>46</v>
      </c>
      <c r="C1501">
        <v>111</v>
      </c>
      <c r="D1501">
        <v>2996.6</v>
      </c>
      <c r="E1501">
        <v>40</v>
      </c>
      <c r="F1501" t="s">
        <v>27</v>
      </c>
      <c r="G1501" t="s">
        <v>26</v>
      </c>
      <c r="H1501">
        <v>2783</v>
      </c>
      <c r="I1501">
        <v>57</v>
      </c>
      <c r="J1501" t="s">
        <v>39</v>
      </c>
      <c r="K1501">
        <v>234581</v>
      </c>
      <c r="L1501" t="s">
        <v>22</v>
      </c>
    </row>
    <row r="1502" spans="1:12" x14ac:dyDescent="0.3">
      <c r="A1502">
        <v>2010</v>
      </c>
      <c r="B1502" t="s">
        <v>46</v>
      </c>
      <c r="C1502">
        <v>76</v>
      </c>
      <c r="D1502">
        <v>2996.6</v>
      </c>
      <c r="E1502">
        <v>41</v>
      </c>
      <c r="F1502" t="s">
        <v>55</v>
      </c>
      <c r="G1502" t="s">
        <v>26</v>
      </c>
      <c r="H1502">
        <v>1533</v>
      </c>
      <c r="I1502">
        <v>57</v>
      </c>
      <c r="J1502" t="s">
        <v>39</v>
      </c>
      <c r="K1502">
        <v>646</v>
      </c>
      <c r="L1502" t="s">
        <v>22</v>
      </c>
    </row>
    <row r="1503" spans="1:12" x14ac:dyDescent="0.3">
      <c r="A1503">
        <v>2011</v>
      </c>
      <c r="B1503" t="s">
        <v>46</v>
      </c>
      <c r="C1503">
        <v>53</v>
      </c>
      <c r="D1503">
        <v>3522.8</v>
      </c>
      <c r="E1503">
        <v>41</v>
      </c>
      <c r="F1503" t="s">
        <v>55</v>
      </c>
      <c r="G1503" t="s">
        <v>26</v>
      </c>
      <c r="H1503">
        <v>1647</v>
      </c>
      <c r="I1503">
        <v>54</v>
      </c>
      <c r="J1503" t="s">
        <v>39</v>
      </c>
      <c r="K1503">
        <v>43562</v>
      </c>
      <c r="L1503" t="s">
        <v>25</v>
      </c>
    </row>
    <row r="1504" spans="1:12" x14ac:dyDescent="0.3">
      <c r="A1504">
        <v>2012</v>
      </c>
      <c r="B1504" t="s">
        <v>46</v>
      </c>
      <c r="C1504">
        <v>2688</v>
      </c>
      <c r="D1504">
        <v>3522.8</v>
      </c>
      <c r="E1504">
        <v>41</v>
      </c>
      <c r="F1504" t="s">
        <v>55</v>
      </c>
      <c r="G1504" t="s">
        <v>26</v>
      </c>
      <c r="H1504">
        <v>975</v>
      </c>
      <c r="I1504">
        <v>54.5</v>
      </c>
      <c r="J1504" t="s">
        <v>39</v>
      </c>
      <c r="K1504">
        <v>200000</v>
      </c>
      <c r="L1504" t="s">
        <v>25</v>
      </c>
    </row>
    <row r="1505" spans="1:12" x14ac:dyDescent="0.3">
      <c r="A1505">
        <v>2013</v>
      </c>
      <c r="B1505" t="s">
        <v>46</v>
      </c>
      <c r="C1505">
        <v>2311</v>
      </c>
      <c r="D1505">
        <v>3522.8</v>
      </c>
      <c r="E1505">
        <v>42</v>
      </c>
      <c r="F1505" t="s">
        <v>55</v>
      </c>
      <c r="G1505" t="s">
        <v>26</v>
      </c>
      <c r="H1505">
        <v>2</v>
      </c>
      <c r="I1505">
        <v>56.6</v>
      </c>
      <c r="J1505" t="s">
        <v>39</v>
      </c>
      <c r="K1505">
        <v>4847</v>
      </c>
      <c r="L1505" t="s">
        <v>25</v>
      </c>
    </row>
    <row r="1506" spans="1:12" x14ac:dyDescent="0.3">
      <c r="A1506">
        <v>2014</v>
      </c>
      <c r="B1506" t="s">
        <v>46</v>
      </c>
      <c r="C1506">
        <v>2188</v>
      </c>
      <c r="D1506">
        <v>2903.1</v>
      </c>
      <c r="E1506">
        <v>42</v>
      </c>
      <c r="F1506" t="s">
        <v>55</v>
      </c>
      <c r="G1506" t="s">
        <v>26</v>
      </c>
      <c r="H1506">
        <v>836</v>
      </c>
      <c r="I1506">
        <v>55.5</v>
      </c>
      <c r="J1506" t="s">
        <v>39</v>
      </c>
      <c r="K1506">
        <v>51239</v>
      </c>
      <c r="L1506" t="s">
        <v>25</v>
      </c>
    </row>
    <row r="1507" spans="1:12" x14ac:dyDescent="0.3">
      <c r="A1507">
        <v>2015</v>
      </c>
      <c r="B1507" t="s">
        <v>46</v>
      </c>
      <c r="C1507">
        <v>1998</v>
      </c>
      <c r="D1507">
        <v>2903.1</v>
      </c>
      <c r="E1507">
        <v>42</v>
      </c>
      <c r="F1507" t="s">
        <v>55</v>
      </c>
      <c r="G1507" t="s">
        <v>26</v>
      </c>
      <c r="H1507">
        <v>806</v>
      </c>
      <c r="I1507">
        <v>58.5</v>
      </c>
      <c r="J1507" t="s">
        <v>39</v>
      </c>
      <c r="K1507">
        <v>216396</v>
      </c>
      <c r="L1507" t="s">
        <v>25</v>
      </c>
    </row>
    <row r="1508" spans="1:12" x14ac:dyDescent="0.3">
      <c r="A1508">
        <v>2016</v>
      </c>
      <c r="B1508" t="s">
        <v>46</v>
      </c>
      <c r="C1508">
        <v>2006</v>
      </c>
      <c r="D1508">
        <v>2903.1</v>
      </c>
      <c r="E1508">
        <v>43</v>
      </c>
      <c r="F1508" t="s">
        <v>55</v>
      </c>
      <c r="G1508" t="s">
        <v>26</v>
      </c>
      <c r="H1508">
        <v>880</v>
      </c>
      <c r="I1508">
        <v>59.5</v>
      </c>
      <c r="J1508" t="s">
        <v>39</v>
      </c>
      <c r="K1508">
        <v>2644</v>
      </c>
      <c r="L1508" t="s">
        <v>25</v>
      </c>
    </row>
    <row r="1509" spans="1:12" x14ac:dyDescent="0.3">
      <c r="A1509">
        <v>2017</v>
      </c>
      <c r="B1509" t="s">
        <v>46</v>
      </c>
      <c r="C1509">
        <v>2034</v>
      </c>
      <c r="D1509">
        <v>2996.6</v>
      </c>
      <c r="E1509">
        <v>27</v>
      </c>
      <c r="F1509" t="s">
        <v>55</v>
      </c>
      <c r="G1509" t="s">
        <v>26</v>
      </c>
      <c r="H1509">
        <v>770</v>
      </c>
      <c r="I1509">
        <v>55</v>
      </c>
      <c r="J1509" t="s">
        <v>39</v>
      </c>
      <c r="K1509">
        <v>44235</v>
      </c>
      <c r="L1509" t="s">
        <v>25</v>
      </c>
    </row>
    <row r="1510" spans="1:12" x14ac:dyDescent="0.3">
      <c r="A1510">
        <v>2016</v>
      </c>
      <c r="B1510" t="s">
        <v>46</v>
      </c>
      <c r="C1510">
        <v>2035</v>
      </c>
      <c r="D1510">
        <v>2996.6</v>
      </c>
      <c r="E1510">
        <v>27</v>
      </c>
      <c r="F1510" t="s">
        <v>55</v>
      </c>
      <c r="G1510" t="s">
        <v>26</v>
      </c>
      <c r="H1510">
        <v>395</v>
      </c>
      <c r="I1510">
        <v>53</v>
      </c>
      <c r="J1510" t="s">
        <v>39</v>
      </c>
      <c r="K1510">
        <v>203317</v>
      </c>
      <c r="L1510" t="s">
        <v>25</v>
      </c>
    </row>
    <row r="1511" spans="1:12" x14ac:dyDescent="0.3">
      <c r="A1511">
        <v>2017</v>
      </c>
      <c r="B1511" t="s">
        <v>46</v>
      </c>
      <c r="C1511">
        <v>2074</v>
      </c>
      <c r="D1511">
        <v>2996.6</v>
      </c>
      <c r="E1511">
        <v>27</v>
      </c>
      <c r="F1511" t="s">
        <v>55</v>
      </c>
      <c r="G1511" t="s">
        <v>26</v>
      </c>
      <c r="H1511">
        <v>187</v>
      </c>
      <c r="I1511">
        <v>53.5</v>
      </c>
      <c r="J1511" t="s">
        <v>39</v>
      </c>
      <c r="K1511">
        <v>2134</v>
      </c>
      <c r="L1511" t="s">
        <v>25</v>
      </c>
    </row>
    <row r="1512" spans="1:12" x14ac:dyDescent="0.3">
      <c r="A1512">
        <v>2018</v>
      </c>
      <c r="B1512" t="s">
        <v>46</v>
      </c>
      <c r="C1512">
        <v>2127</v>
      </c>
      <c r="D1512">
        <v>3522.8</v>
      </c>
      <c r="E1512">
        <v>27</v>
      </c>
      <c r="F1512" t="s">
        <v>55</v>
      </c>
      <c r="G1512" t="s">
        <v>26</v>
      </c>
      <c r="H1512">
        <v>187</v>
      </c>
      <c r="I1512">
        <v>52.5</v>
      </c>
      <c r="J1512" t="s">
        <v>39</v>
      </c>
      <c r="K1512">
        <v>45186</v>
      </c>
      <c r="L1512" t="s">
        <v>25</v>
      </c>
    </row>
    <row r="1513" spans="1:12" x14ac:dyDescent="0.3">
      <c r="A1513">
        <v>2013</v>
      </c>
      <c r="B1513" t="s">
        <v>46</v>
      </c>
      <c r="C1513">
        <v>2090</v>
      </c>
      <c r="D1513">
        <v>3522.8</v>
      </c>
      <c r="E1513">
        <v>27</v>
      </c>
      <c r="F1513" t="s">
        <v>55</v>
      </c>
      <c r="G1513" t="s">
        <v>26</v>
      </c>
      <c r="H1513">
        <v>121</v>
      </c>
      <c r="I1513">
        <v>56</v>
      </c>
      <c r="J1513" t="s">
        <v>39</v>
      </c>
      <c r="K1513">
        <v>238542</v>
      </c>
      <c r="L1513" t="s">
        <v>25</v>
      </c>
    </row>
    <row r="1514" spans="1:12" x14ac:dyDescent="0.3">
      <c r="A1514">
        <v>2014</v>
      </c>
      <c r="B1514" t="s">
        <v>46</v>
      </c>
      <c r="C1514">
        <v>2059</v>
      </c>
      <c r="D1514">
        <v>3522.8</v>
      </c>
      <c r="E1514">
        <v>27</v>
      </c>
      <c r="F1514" t="s">
        <v>55</v>
      </c>
      <c r="G1514" t="s">
        <v>26</v>
      </c>
      <c r="H1514">
        <v>103</v>
      </c>
      <c r="I1514">
        <v>57</v>
      </c>
      <c r="J1514" t="s">
        <v>39</v>
      </c>
      <c r="K1514">
        <v>1516</v>
      </c>
      <c r="L1514" t="s">
        <v>25</v>
      </c>
    </row>
    <row r="1515" spans="1:12" x14ac:dyDescent="0.3">
      <c r="A1515">
        <v>2015</v>
      </c>
      <c r="B1515" t="s">
        <v>46</v>
      </c>
      <c r="C1515">
        <v>2050</v>
      </c>
      <c r="D1515">
        <v>3729.8</v>
      </c>
      <c r="E1515">
        <v>27.2</v>
      </c>
      <c r="F1515" t="s">
        <v>55</v>
      </c>
      <c r="G1515" t="s">
        <v>26</v>
      </c>
      <c r="H1515">
        <v>71</v>
      </c>
      <c r="I1515">
        <v>57.5</v>
      </c>
      <c r="J1515" t="s">
        <v>39</v>
      </c>
      <c r="K1515">
        <v>200000</v>
      </c>
      <c r="L1515" t="s">
        <v>25</v>
      </c>
    </row>
    <row r="1516" spans="1:12" x14ac:dyDescent="0.3">
      <c r="A1516">
        <v>2016</v>
      </c>
      <c r="B1516" t="s">
        <v>46</v>
      </c>
      <c r="C1516">
        <v>1865</v>
      </c>
      <c r="D1516">
        <v>3729.8</v>
      </c>
      <c r="E1516">
        <v>27.2</v>
      </c>
      <c r="F1516" t="s">
        <v>55</v>
      </c>
      <c r="G1516" t="s">
        <v>26</v>
      </c>
      <c r="H1516">
        <v>3961</v>
      </c>
      <c r="I1516">
        <v>57</v>
      </c>
      <c r="J1516" t="s">
        <v>40</v>
      </c>
      <c r="K1516">
        <v>4847</v>
      </c>
      <c r="L1516" t="s">
        <v>25</v>
      </c>
    </row>
    <row r="1517" spans="1:12" x14ac:dyDescent="0.3">
      <c r="A1517">
        <v>2017</v>
      </c>
      <c r="B1517" t="s">
        <v>46</v>
      </c>
      <c r="C1517">
        <v>1841</v>
      </c>
      <c r="D1517">
        <v>3729.8</v>
      </c>
      <c r="E1517">
        <v>27.2</v>
      </c>
      <c r="F1517" t="s">
        <v>55</v>
      </c>
      <c r="G1517" t="s">
        <v>26</v>
      </c>
      <c r="H1517">
        <v>4247</v>
      </c>
      <c r="I1517">
        <v>55</v>
      </c>
      <c r="J1517" t="s">
        <v>40</v>
      </c>
      <c r="K1517">
        <v>51239</v>
      </c>
      <c r="L1517" t="s">
        <v>25</v>
      </c>
    </row>
    <row r="1518" spans="1:12" x14ac:dyDescent="0.3">
      <c r="A1518">
        <v>2018</v>
      </c>
      <c r="B1518" t="s">
        <v>46</v>
      </c>
      <c r="C1518">
        <v>1799</v>
      </c>
      <c r="D1518">
        <v>2746.2</v>
      </c>
      <c r="E1518">
        <v>27</v>
      </c>
      <c r="F1518" t="s">
        <v>55</v>
      </c>
      <c r="G1518" t="s">
        <v>26</v>
      </c>
      <c r="H1518">
        <v>3290</v>
      </c>
      <c r="I1518">
        <v>56</v>
      </c>
      <c r="J1518" t="s">
        <v>40</v>
      </c>
      <c r="K1518">
        <v>216396</v>
      </c>
      <c r="L1518" t="s">
        <v>25</v>
      </c>
    </row>
    <row r="1519" spans="1:12" x14ac:dyDescent="0.3">
      <c r="A1519">
        <v>2004</v>
      </c>
      <c r="B1519" t="s">
        <v>18</v>
      </c>
      <c r="C1519">
        <v>1468</v>
      </c>
      <c r="D1519">
        <v>2746.2</v>
      </c>
      <c r="E1519">
        <v>27</v>
      </c>
      <c r="F1519" t="s">
        <v>55</v>
      </c>
      <c r="G1519" t="s">
        <v>26</v>
      </c>
      <c r="H1519">
        <v>3138</v>
      </c>
      <c r="I1519">
        <v>54</v>
      </c>
      <c r="J1519" t="s">
        <v>40</v>
      </c>
      <c r="K1519">
        <v>2644</v>
      </c>
      <c r="L1519" t="s">
        <v>25</v>
      </c>
    </row>
    <row r="1520" spans="1:12" x14ac:dyDescent="0.3">
      <c r="A1520">
        <v>2005</v>
      </c>
      <c r="B1520" t="s">
        <v>18</v>
      </c>
      <c r="C1520">
        <v>568</v>
      </c>
      <c r="D1520">
        <v>2746.2</v>
      </c>
      <c r="E1520">
        <v>27</v>
      </c>
      <c r="F1520" t="s">
        <v>55</v>
      </c>
      <c r="G1520" t="s">
        <v>26</v>
      </c>
      <c r="H1520">
        <v>3423</v>
      </c>
      <c r="I1520">
        <v>58</v>
      </c>
      <c r="J1520" t="s">
        <v>40</v>
      </c>
      <c r="K1520">
        <v>44235</v>
      </c>
      <c r="L1520" t="s">
        <v>25</v>
      </c>
    </row>
    <row r="1521" spans="1:12" x14ac:dyDescent="0.3">
      <c r="A1521">
        <v>2006</v>
      </c>
      <c r="B1521" t="s">
        <v>18</v>
      </c>
      <c r="C1521">
        <v>407</v>
      </c>
      <c r="D1521">
        <v>3360</v>
      </c>
      <c r="E1521">
        <v>27</v>
      </c>
      <c r="F1521" t="s">
        <v>55</v>
      </c>
      <c r="G1521" t="s">
        <v>26</v>
      </c>
      <c r="H1521">
        <v>3899</v>
      </c>
      <c r="I1521">
        <v>58</v>
      </c>
      <c r="J1521" t="s">
        <v>40</v>
      </c>
      <c r="K1521">
        <v>203317</v>
      </c>
      <c r="L1521" t="s">
        <v>25</v>
      </c>
    </row>
    <row r="1522" spans="1:12" x14ac:dyDescent="0.3">
      <c r="A1522">
        <v>2007</v>
      </c>
      <c r="B1522" t="s">
        <v>18</v>
      </c>
      <c r="C1522">
        <v>177</v>
      </c>
      <c r="D1522">
        <v>3360</v>
      </c>
      <c r="E1522">
        <v>27</v>
      </c>
      <c r="F1522" t="s">
        <v>55</v>
      </c>
      <c r="G1522" t="s">
        <v>26</v>
      </c>
      <c r="H1522">
        <v>4015</v>
      </c>
      <c r="I1522">
        <v>59</v>
      </c>
      <c r="J1522" t="s">
        <v>40</v>
      </c>
      <c r="K1522">
        <v>2134</v>
      </c>
      <c r="L1522" t="s">
        <v>25</v>
      </c>
    </row>
    <row r="1523" spans="1:12" x14ac:dyDescent="0.3">
      <c r="A1523">
        <v>2008</v>
      </c>
      <c r="B1523" t="s">
        <v>18</v>
      </c>
      <c r="C1523">
        <v>51</v>
      </c>
      <c r="D1523">
        <v>3360</v>
      </c>
      <c r="E1523">
        <v>27</v>
      </c>
      <c r="F1523" t="s">
        <v>55</v>
      </c>
      <c r="G1523" t="s">
        <v>26</v>
      </c>
      <c r="H1523">
        <v>4279</v>
      </c>
      <c r="I1523">
        <v>50</v>
      </c>
      <c r="J1523" t="s">
        <v>40</v>
      </c>
      <c r="K1523">
        <v>45186</v>
      </c>
      <c r="L1523" t="s">
        <v>25</v>
      </c>
    </row>
    <row r="1524" spans="1:12" x14ac:dyDescent="0.3">
      <c r="A1524">
        <v>2009</v>
      </c>
      <c r="B1524" t="s">
        <v>18</v>
      </c>
      <c r="C1524">
        <v>173</v>
      </c>
      <c r="D1524">
        <v>3605.4</v>
      </c>
      <c r="E1524">
        <v>27.2</v>
      </c>
      <c r="F1524" t="s">
        <v>55</v>
      </c>
      <c r="G1524" t="s">
        <v>26</v>
      </c>
      <c r="H1524">
        <v>4167</v>
      </c>
      <c r="I1524">
        <v>54</v>
      </c>
      <c r="J1524" t="s">
        <v>40</v>
      </c>
      <c r="K1524">
        <v>238542</v>
      </c>
      <c r="L1524" t="s">
        <v>25</v>
      </c>
    </row>
    <row r="1525" spans="1:12" x14ac:dyDescent="0.3">
      <c r="A1525">
        <v>2010</v>
      </c>
      <c r="B1525" t="s">
        <v>18</v>
      </c>
      <c r="C1525">
        <v>201</v>
      </c>
      <c r="D1525">
        <v>3605.4</v>
      </c>
      <c r="E1525">
        <v>27.2</v>
      </c>
      <c r="F1525" t="s">
        <v>55</v>
      </c>
      <c r="G1525" t="s">
        <v>26</v>
      </c>
      <c r="H1525">
        <v>4479</v>
      </c>
      <c r="I1525">
        <v>53</v>
      </c>
      <c r="J1525" t="s">
        <v>40</v>
      </c>
      <c r="K1525">
        <v>1516</v>
      </c>
      <c r="L1525" t="s">
        <v>25</v>
      </c>
    </row>
    <row r="1526" spans="1:12" x14ac:dyDescent="0.3">
      <c r="A1526">
        <v>2011</v>
      </c>
      <c r="B1526" t="s">
        <v>18</v>
      </c>
      <c r="C1526">
        <v>206</v>
      </c>
      <c r="D1526">
        <v>2903.1</v>
      </c>
      <c r="E1526">
        <v>27.2</v>
      </c>
      <c r="F1526" t="s">
        <v>55</v>
      </c>
      <c r="G1526" t="s">
        <v>26</v>
      </c>
      <c r="H1526">
        <v>3699</v>
      </c>
      <c r="I1526">
        <v>52</v>
      </c>
      <c r="J1526" t="s">
        <v>40</v>
      </c>
      <c r="K1526">
        <v>57259</v>
      </c>
      <c r="L1526" t="s">
        <v>25</v>
      </c>
    </row>
    <row r="1527" spans="1:12" x14ac:dyDescent="0.3">
      <c r="A1527">
        <v>2012</v>
      </c>
      <c r="B1527" t="s">
        <v>18</v>
      </c>
      <c r="C1527">
        <v>243</v>
      </c>
      <c r="D1527">
        <v>2903.1</v>
      </c>
      <c r="E1527">
        <v>27.1</v>
      </c>
      <c r="F1527" t="s">
        <v>55</v>
      </c>
      <c r="G1527" t="s">
        <v>26</v>
      </c>
      <c r="H1527">
        <v>4904</v>
      </c>
      <c r="I1527">
        <v>51</v>
      </c>
      <c r="J1527" t="s">
        <v>40</v>
      </c>
      <c r="K1527">
        <v>234779</v>
      </c>
      <c r="L1527" t="s">
        <v>25</v>
      </c>
    </row>
    <row r="1528" spans="1:12" x14ac:dyDescent="0.3">
      <c r="A1528">
        <v>2013</v>
      </c>
      <c r="B1528" t="s">
        <v>18</v>
      </c>
      <c r="C1528">
        <v>123</v>
      </c>
      <c r="D1528">
        <v>2903.1</v>
      </c>
      <c r="E1528">
        <v>27.1</v>
      </c>
      <c r="F1528" t="s">
        <v>55</v>
      </c>
      <c r="G1528" t="s">
        <v>26</v>
      </c>
      <c r="H1528">
        <v>2821</v>
      </c>
      <c r="I1528">
        <v>57</v>
      </c>
      <c r="J1528" t="s">
        <v>40</v>
      </c>
      <c r="K1528">
        <v>1493</v>
      </c>
      <c r="L1528" t="s">
        <v>25</v>
      </c>
    </row>
    <row r="1529" spans="1:12" x14ac:dyDescent="0.3">
      <c r="A1529">
        <v>2014</v>
      </c>
      <c r="B1529" t="s">
        <v>18</v>
      </c>
      <c r="C1529">
        <v>82</v>
      </c>
      <c r="D1529">
        <v>2996.6</v>
      </c>
      <c r="E1529">
        <v>27.1</v>
      </c>
      <c r="F1529" t="s">
        <v>55</v>
      </c>
      <c r="G1529" t="s">
        <v>26</v>
      </c>
      <c r="H1529">
        <v>3472</v>
      </c>
      <c r="I1529">
        <v>57</v>
      </c>
      <c r="J1529" t="s">
        <v>40</v>
      </c>
      <c r="K1529">
        <v>64409</v>
      </c>
      <c r="L1529" t="s">
        <v>25</v>
      </c>
    </row>
    <row r="1530" spans="1:12" x14ac:dyDescent="0.3">
      <c r="A1530">
        <v>2015</v>
      </c>
      <c r="B1530" t="s">
        <v>18</v>
      </c>
      <c r="C1530">
        <v>74</v>
      </c>
      <c r="D1530">
        <v>2996.6</v>
      </c>
      <c r="E1530">
        <v>26.8</v>
      </c>
      <c r="F1530" t="s">
        <v>55</v>
      </c>
      <c r="G1530" t="s">
        <v>26</v>
      </c>
      <c r="H1530">
        <v>3647</v>
      </c>
      <c r="I1530">
        <v>60</v>
      </c>
      <c r="J1530" t="s">
        <v>40</v>
      </c>
      <c r="K1530">
        <v>249978</v>
      </c>
      <c r="L1530" t="s">
        <v>25</v>
      </c>
    </row>
    <row r="1531" spans="1:12" x14ac:dyDescent="0.3">
      <c r="A1531">
        <v>2016</v>
      </c>
      <c r="B1531" t="s">
        <v>18</v>
      </c>
      <c r="C1531">
        <v>18</v>
      </c>
      <c r="D1531">
        <v>2996.6</v>
      </c>
      <c r="E1531">
        <v>26.8</v>
      </c>
      <c r="F1531" t="s">
        <v>56</v>
      </c>
      <c r="G1531" t="s">
        <v>26</v>
      </c>
      <c r="H1531">
        <v>393</v>
      </c>
      <c r="I1531">
        <v>57</v>
      </c>
      <c r="J1531" t="s">
        <v>42</v>
      </c>
      <c r="K1531">
        <v>637</v>
      </c>
      <c r="L1531" t="s">
        <v>25</v>
      </c>
    </row>
    <row r="1532" spans="1:12" x14ac:dyDescent="0.3">
      <c r="A1532">
        <v>2017</v>
      </c>
      <c r="B1532" t="s">
        <v>18</v>
      </c>
      <c r="C1532">
        <v>37</v>
      </c>
      <c r="D1532">
        <v>3522.8</v>
      </c>
      <c r="E1532">
        <v>26.8</v>
      </c>
      <c r="F1532" t="s">
        <v>56</v>
      </c>
      <c r="G1532" t="s">
        <v>26</v>
      </c>
      <c r="H1532">
        <v>167</v>
      </c>
      <c r="I1532">
        <v>57</v>
      </c>
      <c r="J1532" t="s">
        <v>42</v>
      </c>
      <c r="K1532">
        <v>43311</v>
      </c>
      <c r="L1532" t="s">
        <v>25</v>
      </c>
    </row>
    <row r="1533" spans="1:12" x14ac:dyDescent="0.3">
      <c r="A1533">
        <v>2016</v>
      </c>
      <c r="B1533" t="s">
        <v>18</v>
      </c>
      <c r="C1533">
        <v>35</v>
      </c>
      <c r="D1533">
        <v>3522.8</v>
      </c>
      <c r="E1533">
        <v>37</v>
      </c>
      <c r="F1533" t="s">
        <v>56</v>
      </c>
      <c r="G1533" t="s">
        <v>26</v>
      </c>
      <c r="H1533">
        <v>71</v>
      </c>
      <c r="I1533">
        <v>54</v>
      </c>
      <c r="J1533" t="s">
        <v>42</v>
      </c>
      <c r="K1533">
        <v>24848</v>
      </c>
      <c r="L1533" t="s">
        <v>25</v>
      </c>
    </row>
    <row r="1534" spans="1:12" x14ac:dyDescent="0.3">
      <c r="A1534">
        <v>2017</v>
      </c>
      <c r="B1534" t="s">
        <v>18</v>
      </c>
      <c r="C1534">
        <v>5974</v>
      </c>
      <c r="D1534">
        <v>3522.8</v>
      </c>
      <c r="E1534">
        <v>37</v>
      </c>
      <c r="F1534" t="s">
        <v>56</v>
      </c>
      <c r="G1534" t="s">
        <v>26</v>
      </c>
      <c r="H1534">
        <v>52</v>
      </c>
      <c r="I1534">
        <v>54.5</v>
      </c>
      <c r="J1534" t="s">
        <v>42</v>
      </c>
      <c r="K1534">
        <v>761</v>
      </c>
      <c r="L1534" t="s">
        <v>25</v>
      </c>
    </row>
    <row r="1535" spans="1:12" x14ac:dyDescent="0.3">
      <c r="A1535">
        <v>2016</v>
      </c>
      <c r="B1535" t="s">
        <v>18</v>
      </c>
      <c r="C1535">
        <v>6631</v>
      </c>
      <c r="D1535">
        <v>3729.8</v>
      </c>
      <c r="E1535">
        <v>37</v>
      </c>
      <c r="F1535" t="s">
        <v>56</v>
      </c>
      <c r="G1535" t="s">
        <v>26</v>
      </c>
      <c r="H1535">
        <v>313547</v>
      </c>
      <c r="I1535">
        <v>56.6</v>
      </c>
      <c r="J1535" t="s">
        <v>42</v>
      </c>
      <c r="K1535">
        <v>45608</v>
      </c>
      <c r="L1535" t="s">
        <v>25</v>
      </c>
    </row>
    <row r="1536" spans="1:12" x14ac:dyDescent="0.3">
      <c r="A1536">
        <v>2017</v>
      </c>
      <c r="B1536" t="s">
        <v>18</v>
      </c>
      <c r="C1536">
        <v>6705</v>
      </c>
      <c r="D1536">
        <v>3729.8</v>
      </c>
      <c r="E1536">
        <v>38</v>
      </c>
      <c r="F1536" t="s">
        <v>56</v>
      </c>
      <c r="G1536" t="s">
        <v>14</v>
      </c>
      <c r="H1536">
        <v>2783</v>
      </c>
      <c r="I1536">
        <v>55.5</v>
      </c>
      <c r="J1536" t="s">
        <v>42</v>
      </c>
      <c r="K1536">
        <v>234581</v>
      </c>
      <c r="L1536" t="s">
        <v>25</v>
      </c>
    </row>
    <row r="1537" spans="1:12" x14ac:dyDescent="0.3">
      <c r="A1537">
        <v>2018</v>
      </c>
      <c r="B1537" t="s">
        <v>18</v>
      </c>
      <c r="C1537">
        <v>5876</v>
      </c>
      <c r="D1537">
        <v>3729.8</v>
      </c>
      <c r="E1537">
        <v>38</v>
      </c>
      <c r="F1537" t="s">
        <v>56</v>
      </c>
      <c r="G1537" t="s">
        <v>14</v>
      </c>
      <c r="H1537">
        <v>1533</v>
      </c>
      <c r="I1537">
        <v>58.5</v>
      </c>
      <c r="J1537" t="s">
        <v>42</v>
      </c>
      <c r="K1537">
        <v>646</v>
      </c>
      <c r="L1537" t="s">
        <v>25</v>
      </c>
    </row>
    <row r="1538" spans="1:12" x14ac:dyDescent="0.3">
      <c r="A1538">
        <v>2013</v>
      </c>
      <c r="B1538" t="s">
        <v>18</v>
      </c>
      <c r="C1538">
        <v>326</v>
      </c>
      <c r="D1538">
        <v>2746.2</v>
      </c>
      <c r="E1538">
        <v>38</v>
      </c>
      <c r="F1538" t="s">
        <v>56</v>
      </c>
      <c r="G1538" t="s">
        <v>14</v>
      </c>
      <c r="H1538">
        <v>1647</v>
      </c>
      <c r="I1538">
        <v>59.5</v>
      </c>
      <c r="J1538" t="s">
        <v>42</v>
      </c>
      <c r="K1538">
        <v>43562</v>
      </c>
      <c r="L1538" t="s">
        <v>25</v>
      </c>
    </row>
    <row r="1539" spans="1:12" x14ac:dyDescent="0.3">
      <c r="A1539">
        <v>2014</v>
      </c>
      <c r="B1539" t="s">
        <v>18</v>
      </c>
      <c r="C1539">
        <v>6470</v>
      </c>
      <c r="D1539">
        <v>2746.2</v>
      </c>
      <c r="E1539">
        <v>39</v>
      </c>
      <c r="F1539" t="s">
        <v>56</v>
      </c>
      <c r="G1539" t="s">
        <v>14</v>
      </c>
      <c r="H1539">
        <v>975</v>
      </c>
      <c r="I1539">
        <v>55</v>
      </c>
      <c r="J1539" t="s">
        <v>42</v>
      </c>
      <c r="K1539">
        <v>200000</v>
      </c>
      <c r="L1539" t="s">
        <v>25</v>
      </c>
    </row>
    <row r="1540" spans="1:12" x14ac:dyDescent="0.3">
      <c r="A1540">
        <v>2015</v>
      </c>
      <c r="B1540" t="s">
        <v>18</v>
      </c>
      <c r="C1540">
        <v>6709</v>
      </c>
      <c r="D1540">
        <v>2746.2</v>
      </c>
      <c r="E1540">
        <v>39</v>
      </c>
      <c r="F1540" t="s">
        <v>56</v>
      </c>
      <c r="G1540" t="s">
        <v>14</v>
      </c>
      <c r="H1540">
        <v>2</v>
      </c>
      <c r="I1540">
        <v>53</v>
      </c>
      <c r="J1540" t="s">
        <v>42</v>
      </c>
      <c r="K1540">
        <v>4847</v>
      </c>
      <c r="L1540" t="s">
        <v>25</v>
      </c>
    </row>
    <row r="1541" spans="1:12" x14ac:dyDescent="0.3">
      <c r="A1541">
        <v>2016</v>
      </c>
      <c r="B1541" t="s">
        <v>18</v>
      </c>
      <c r="C1541">
        <v>6186</v>
      </c>
      <c r="D1541">
        <v>3360</v>
      </c>
      <c r="E1541">
        <v>39</v>
      </c>
      <c r="F1541" t="s">
        <v>56</v>
      </c>
      <c r="G1541" t="s">
        <v>14</v>
      </c>
      <c r="H1541">
        <v>836</v>
      </c>
      <c r="I1541">
        <v>53.5</v>
      </c>
      <c r="J1541" t="s">
        <v>42</v>
      </c>
      <c r="K1541">
        <v>51239</v>
      </c>
      <c r="L1541" t="s">
        <v>25</v>
      </c>
    </row>
    <row r="1542" spans="1:12" x14ac:dyDescent="0.3">
      <c r="A1542">
        <v>2017</v>
      </c>
      <c r="B1542" t="s">
        <v>18</v>
      </c>
      <c r="C1542">
        <v>6503</v>
      </c>
      <c r="D1542">
        <v>3360</v>
      </c>
      <c r="E1542">
        <v>40</v>
      </c>
      <c r="F1542" t="s">
        <v>56</v>
      </c>
      <c r="G1542" t="s">
        <v>14</v>
      </c>
      <c r="H1542">
        <v>806</v>
      </c>
      <c r="I1542">
        <v>52.5</v>
      </c>
      <c r="J1542" t="s">
        <v>42</v>
      </c>
      <c r="K1542">
        <v>216396</v>
      </c>
      <c r="L1542" t="s">
        <v>25</v>
      </c>
    </row>
    <row r="1543" spans="1:12" x14ac:dyDescent="0.3">
      <c r="A1543">
        <v>2018</v>
      </c>
      <c r="B1543" t="s">
        <v>18</v>
      </c>
      <c r="C1543">
        <v>5220</v>
      </c>
      <c r="D1543">
        <v>3360</v>
      </c>
      <c r="E1543">
        <v>40</v>
      </c>
      <c r="F1543" t="s">
        <v>56</v>
      </c>
      <c r="G1543" t="s">
        <v>14</v>
      </c>
      <c r="H1543">
        <v>880</v>
      </c>
      <c r="I1543">
        <v>56</v>
      </c>
      <c r="J1543" t="s">
        <v>42</v>
      </c>
      <c r="K1543">
        <v>2644</v>
      </c>
      <c r="L1543" t="s">
        <v>25</v>
      </c>
    </row>
    <row r="1544" spans="1:12" x14ac:dyDescent="0.3">
      <c r="A1544">
        <v>2004</v>
      </c>
      <c r="B1544" t="s">
        <v>18</v>
      </c>
      <c r="C1544">
        <v>4677</v>
      </c>
      <c r="D1544">
        <v>3605.4</v>
      </c>
      <c r="E1544">
        <v>40</v>
      </c>
      <c r="F1544" t="s">
        <v>56</v>
      </c>
      <c r="G1544" t="s">
        <v>14</v>
      </c>
      <c r="H1544">
        <v>770</v>
      </c>
      <c r="I1544">
        <v>59.5</v>
      </c>
      <c r="J1544" t="s">
        <v>42</v>
      </c>
      <c r="K1544">
        <v>44235</v>
      </c>
      <c r="L1544" t="s">
        <v>25</v>
      </c>
    </row>
    <row r="1545" spans="1:12" x14ac:dyDescent="0.3">
      <c r="A1545">
        <v>2005</v>
      </c>
      <c r="B1545" t="s">
        <v>18</v>
      </c>
      <c r="C1545">
        <v>4803</v>
      </c>
      <c r="D1545">
        <v>3605.4</v>
      </c>
      <c r="E1545">
        <v>41</v>
      </c>
      <c r="F1545" t="s">
        <v>56</v>
      </c>
      <c r="G1545" t="s">
        <v>14</v>
      </c>
      <c r="H1545">
        <v>395</v>
      </c>
      <c r="I1545">
        <v>55</v>
      </c>
      <c r="J1545" t="s">
        <v>42</v>
      </c>
      <c r="K1545">
        <v>203317</v>
      </c>
      <c r="L1545" t="s">
        <v>25</v>
      </c>
    </row>
    <row r="1546" spans="1:12" x14ac:dyDescent="0.3">
      <c r="A1546">
        <v>2006</v>
      </c>
      <c r="B1546" t="s">
        <v>18</v>
      </c>
      <c r="C1546">
        <v>3739</v>
      </c>
      <c r="D1546">
        <v>3605.4</v>
      </c>
      <c r="E1546">
        <v>41</v>
      </c>
      <c r="F1546" t="s">
        <v>56</v>
      </c>
      <c r="G1546" t="s">
        <v>14</v>
      </c>
      <c r="H1546">
        <v>187</v>
      </c>
      <c r="I1546">
        <v>53</v>
      </c>
      <c r="J1546" t="s">
        <v>43</v>
      </c>
      <c r="K1546">
        <v>2134</v>
      </c>
      <c r="L1546" t="s">
        <v>25</v>
      </c>
    </row>
    <row r="1547" spans="1:12" x14ac:dyDescent="0.3">
      <c r="A1547">
        <v>2007</v>
      </c>
      <c r="B1547" t="s">
        <v>18</v>
      </c>
      <c r="C1547">
        <v>3529</v>
      </c>
      <c r="D1547">
        <v>3512.4</v>
      </c>
      <c r="E1547">
        <v>41</v>
      </c>
      <c r="F1547" t="s">
        <v>56</v>
      </c>
      <c r="G1547" t="s">
        <v>14</v>
      </c>
      <c r="H1547">
        <v>187</v>
      </c>
      <c r="I1547">
        <v>53.5</v>
      </c>
      <c r="J1547" t="s">
        <v>43</v>
      </c>
      <c r="K1547">
        <v>45186</v>
      </c>
      <c r="L1547" t="s">
        <v>25</v>
      </c>
    </row>
    <row r="1548" spans="1:12" x14ac:dyDescent="0.3">
      <c r="A1548">
        <v>2008</v>
      </c>
      <c r="B1548" t="s">
        <v>18</v>
      </c>
      <c r="C1548">
        <v>3649</v>
      </c>
      <c r="D1548">
        <v>3512.4</v>
      </c>
      <c r="E1548">
        <v>42</v>
      </c>
      <c r="F1548" t="s">
        <v>56</v>
      </c>
      <c r="G1548" t="s">
        <v>14</v>
      </c>
      <c r="H1548">
        <v>121</v>
      </c>
      <c r="I1548">
        <v>52.5</v>
      </c>
      <c r="J1548" t="s">
        <v>43</v>
      </c>
      <c r="K1548">
        <v>238542</v>
      </c>
      <c r="L1548" t="s">
        <v>25</v>
      </c>
    </row>
    <row r="1549" spans="1:12" x14ac:dyDescent="0.3">
      <c r="A1549">
        <v>2009</v>
      </c>
      <c r="B1549" t="s">
        <v>20</v>
      </c>
      <c r="C1549">
        <v>1374</v>
      </c>
      <c r="D1549">
        <v>3512.4</v>
      </c>
      <c r="E1549">
        <v>42</v>
      </c>
      <c r="F1549" t="s">
        <v>56</v>
      </c>
      <c r="G1549" t="s">
        <v>14</v>
      </c>
      <c r="H1549">
        <v>103</v>
      </c>
      <c r="I1549">
        <v>56</v>
      </c>
      <c r="J1549" t="s">
        <v>43</v>
      </c>
      <c r="K1549">
        <v>1516</v>
      </c>
      <c r="L1549" t="s">
        <v>25</v>
      </c>
    </row>
    <row r="1550" spans="1:12" x14ac:dyDescent="0.3">
      <c r="A1550">
        <v>2010</v>
      </c>
      <c r="B1550" t="s">
        <v>20</v>
      </c>
      <c r="C1550">
        <v>933</v>
      </c>
      <c r="D1550">
        <v>3296</v>
      </c>
      <c r="E1550">
        <v>42</v>
      </c>
      <c r="F1550" t="s">
        <v>56</v>
      </c>
      <c r="G1550" t="s">
        <v>14</v>
      </c>
      <c r="H1550">
        <v>71</v>
      </c>
      <c r="I1550">
        <v>57</v>
      </c>
      <c r="J1550" t="s">
        <v>43</v>
      </c>
      <c r="K1550">
        <v>57259</v>
      </c>
      <c r="L1550" t="s">
        <v>25</v>
      </c>
    </row>
    <row r="1551" spans="1:12" x14ac:dyDescent="0.3">
      <c r="A1551">
        <v>2011</v>
      </c>
      <c r="B1551" t="s">
        <v>20</v>
      </c>
      <c r="C1551">
        <v>345</v>
      </c>
      <c r="D1551">
        <v>3550</v>
      </c>
      <c r="E1551">
        <v>43</v>
      </c>
      <c r="F1551" t="s">
        <v>56</v>
      </c>
      <c r="G1551" t="s">
        <v>14</v>
      </c>
      <c r="H1551">
        <v>3961</v>
      </c>
      <c r="I1551">
        <v>57.5</v>
      </c>
      <c r="J1551" t="s">
        <v>43</v>
      </c>
      <c r="K1551">
        <v>234779</v>
      </c>
      <c r="L1551" t="s">
        <v>25</v>
      </c>
    </row>
    <row r="1552" spans="1:12" x14ac:dyDescent="0.3">
      <c r="A1552">
        <v>2012</v>
      </c>
      <c r="B1552" t="s">
        <v>20</v>
      </c>
      <c r="C1552">
        <v>29</v>
      </c>
      <c r="D1552">
        <v>3550</v>
      </c>
      <c r="E1552">
        <v>43</v>
      </c>
      <c r="F1552" t="s">
        <v>56</v>
      </c>
      <c r="G1552" t="s">
        <v>14</v>
      </c>
      <c r="H1552">
        <v>4247</v>
      </c>
      <c r="I1552">
        <v>57</v>
      </c>
      <c r="J1552" t="s">
        <v>43</v>
      </c>
      <c r="K1552">
        <v>1493</v>
      </c>
      <c r="L1552" t="s">
        <v>25</v>
      </c>
    </row>
    <row r="1553" spans="1:12" x14ac:dyDescent="0.3">
      <c r="A1553">
        <v>2013</v>
      </c>
      <c r="B1553" t="s">
        <v>20</v>
      </c>
      <c r="C1553">
        <v>11</v>
      </c>
      <c r="D1553">
        <v>3550</v>
      </c>
      <c r="E1553">
        <v>128</v>
      </c>
      <c r="F1553" t="s">
        <v>56</v>
      </c>
      <c r="G1553" t="s">
        <v>14</v>
      </c>
      <c r="H1553">
        <v>3290</v>
      </c>
      <c r="I1553">
        <v>55</v>
      </c>
      <c r="J1553" t="s">
        <v>43</v>
      </c>
      <c r="K1553">
        <v>64409</v>
      </c>
      <c r="L1553" t="s">
        <v>25</v>
      </c>
    </row>
    <row r="1554" spans="1:12" x14ac:dyDescent="0.3">
      <c r="A1554">
        <v>2014</v>
      </c>
      <c r="B1554" t="s">
        <v>20</v>
      </c>
      <c r="C1554">
        <v>10</v>
      </c>
      <c r="D1554">
        <v>3654</v>
      </c>
      <c r="E1554">
        <v>129</v>
      </c>
      <c r="F1554" t="s">
        <v>56</v>
      </c>
      <c r="G1554" t="s">
        <v>14</v>
      </c>
      <c r="H1554">
        <v>3138</v>
      </c>
      <c r="I1554">
        <v>56</v>
      </c>
      <c r="J1554" t="s">
        <v>43</v>
      </c>
      <c r="K1554">
        <v>249978</v>
      </c>
      <c r="L1554" t="s">
        <v>25</v>
      </c>
    </row>
    <row r="1555" spans="1:12" x14ac:dyDescent="0.3">
      <c r="A1555">
        <v>2015</v>
      </c>
      <c r="B1555" t="s">
        <v>20</v>
      </c>
      <c r="C1555">
        <v>7</v>
      </c>
      <c r="D1555">
        <v>3654</v>
      </c>
      <c r="E1555">
        <v>130</v>
      </c>
      <c r="F1555" t="s">
        <v>56</v>
      </c>
      <c r="G1555" t="s">
        <v>14</v>
      </c>
      <c r="H1555">
        <v>3423</v>
      </c>
      <c r="I1555">
        <v>54</v>
      </c>
      <c r="J1555" t="s">
        <v>43</v>
      </c>
      <c r="K1555">
        <v>637</v>
      </c>
      <c r="L1555" t="s">
        <v>25</v>
      </c>
    </row>
    <row r="1556" spans="1:12" x14ac:dyDescent="0.3">
      <c r="A1556">
        <v>2016</v>
      </c>
      <c r="B1556" t="s">
        <v>20</v>
      </c>
      <c r="C1556">
        <v>10</v>
      </c>
      <c r="D1556">
        <v>3654</v>
      </c>
      <c r="E1556">
        <v>131</v>
      </c>
      <c r="F1556" t="s">
        <v>56</v>
      </c>
      <c r="G1556" t="s">
        <v>14</v>
      </c>
      <c r="H1556">
        <v>3899</v>
      </c>
      <c r="I1556">
        <v>58</v>
      </c>
      <c r="J1556" t="s">
        <v>43</v>
      </c>
      <c r="K1556">
        <v>43311</v>
      </c>
      <c r="L1556" t="s">
        <v>25</v>
      </c>
    </row>
    <row r="1557" spans="1:12" x14ac:dyDescent="0.3">
      <c r="A1557">
        <v>2017</v>
      </c>
      <c r="B1557" t="s">
        <v>20</v>
      </c>
      <c r="C1557">
        <v>56</v>
      </c>
      <c r="D1557">
        <v>233</v>
      </c>
      <c r="E1557">
        <v>132</v>
      </c>
      <c r="F1557" t="s">
        <v>56</v>
      </c>
      <c r="G1557" t="s">
        <v>14</v>
      </c>
      <c r="H1557">
        <v>4015</v>
      </c>
      <c r="I1557">
        <v>58</v>
      </c>
      <c r="J1557" t="s">
        <v>43</v>
      </c>
      <c r="K1557">
        <v>24848</v>
      </c>
      <c r="L1557" t="s">
        <v>25</v>
      </c>
    </row>
    <row r="1558" spans="1:12" x14ac:dyDescent="0.3">
      <c r="A1558">
        <v>2017</v>
      </c>
      <c r="B1558" t="s">
        <v>20</v>
      </c>
      <c r="C1558">
        <v>68</v>
      </c>
      <c r="D1558">
        <v>233</v>
      </c>
      <c r="E1558">
        <v>133</v>
      </c>
      <c r="F1558" t="s">
        <v>56</v>
      </c>
      <c r="G1558" t="s">
        <v>14</v>
      </c>
      <c r="H1558">
        <v>4279</v>
      </c>
      <c r="I1558">
        <v>59</v>
      </c>
      <c r="J1558" t="s">
        <v>43</v>
      </c>
      <c r="K1558">
        <v>761</v>
      </c>
      <c r="L1558" t="s">
        <v>25</v>
      </c>
    </row>
    <row r="1559" spans="1:12" x14ac:dyDescent="0.3">
      <c r="A1559">
        <v>2016</v>
      </c>
      <c r="B1559" t="s">
        <v>20</v>
      </c>
      <c r="C1559">
        <v>56</v>
      </c>
      <c r="D1559">
        <v>233</v>
      </c>
      <c r="E1559">
        <v>134</v>
      </c>
      <c r="F1559" t="s">
        <v>56</v>
      </c>
      <c r="G1559" t="s">
        <v>14</v>
      </c>
      <c r="H1559">
        <v>4167</v>
      </c>
      <c r="I1559">
        <v>50</v>
      </c>
      <c r="J1559" t="s">
        <v>43</v>
      </c>
      <c r="K1559">
        <v>45608</v>
      </c>
      <c r="L1559" t="s">
        <v>25</v>
      </c>
    </row>
    <row r="1560" spans="1:12" x14ac:dyDescent="0.3">
      <c r="A1560">
        <v>2017</v>
      </c>
      <c r="B1560" t="s">
        <v>20</v>
      </c>
      <c r="C1560">
        <v>66</v>
      </c>
      <c r="D1560">
        <v>234</v>
      </c>
      <c r="E1560">
        <v>135</v>
      </c>
      <c r="F1560" t="s">
        <v>56</v>
      </c>
      <c r="G1560" t="s">
        <v>14</v>
      </c>
      <c r="H1560">
        <v>4479</v>
      </c>
      <c r="I1560">
        <v>54</v>
      </c>
      <c r="J1560" t="s">
        <v>43</v>
      </c>
      <c r="K1560">
        <v>234581</v>
      </c>
      <c r="L1560" t="s">
        <v>25</v>
      </c>
    </row>
    <row r="1561" spans="1:12" x14ac:dyDescent="0.3">
      <c r="A1561">
        <v>2018</v>
      </c>
      <c r="B1561" t="s">
        <v>20</v>
      </c>
      <c r="C1561">
        <v>55</v>
      </c>
      <c r="D1561">
        <v>234</v>
      </c>
      <c r="E1561">
        <v>136</v>
      </c>
      <c r="F1561" t="s">
        <v>56</v>
      </c>
      <c r="G1561" t="s">
        <v>14</v>
      </c>
      <c r="H1561">
        <v>3699</v>
      </c>
      <c r="I1561">
        <v>53</v>
      </c>
      <c r="J1561" t="s">
        <v>15</v>
      </c>
      <c r="K1561">
        <v>646</v>
      </c>
      <c r="L1561" t="s">
        <v>25</v>
      </c>
    </row>
    <row r="1562" spans="1:12" x14ac:dyDescent="0.3">
      <c r="A1562">
        <v>2013</v>
      </c>
      <c r="B1562" t="s">
        <v>20</v>
      </c>
      <c r="C1562">
        <v>42</v>
      </c>
      <c r="D1562">
        <v>234</v>
      </c>
      <c r="E1562">
        <v>137</v>
      </c>
      <c r="F1562" t="s">
        <v>56</v>
      </c>
      <c r="G1562" t="s">
        <v>14</v>
      </c>
      <c r="H1562">
        <v>4904</v>
      </c>
      <c r="I1562">
        <v>59.5</v>
      </c>
      <c r="J1562" t="s">
        <v>15</v>
      </c>
      <c r="K1562">
        <v>43562</v>
      </c>
      <c r="L1562" t="s">
        <v>25</v>
      </c>
    </row>
    <row r="1563" spans="1:12" x14ac:dyDescent="0.3">
      <c r="A1563">
        <v>2014</v>
      </c>
      <c r="B1563" t="s">
        <v>20</v>
      </c>
      <c r="C1563">
        <v>51179</v>
      </c>
      <c r="D1563">
        <v>3105</v>
      </c>
      <c r="E1563">
        <v>138</v>
      </c>
      <c r="F1563" t="s">
        <v>56</v>
      </c>
      <c r="G1563" t="s">
        <v>14</v>
      </c>
      <c r="H1563">
        <v>2821</v>
      </c>
      <c r="I1563">
        <v>55</v>
      </c>
      <c r="J1563" t="s">
        <v>15</v>
      </c>
      <c r="K1563">
        <v>200000</v>
      </c>
      <c r="L1563" t="s">
        <v>25</v>
      </c>
    </row>
    <row r="1564" spans="1:12" x14ac:dyDescent="0.3">
      <c r="A1564">
        <v>2015</v>
      </c>
      <c r="B1564" t="s">
        <v>20</v>
      </c>
      <c r="C1564">
        <v>468</v>
      </c>
      <c r="D1564">
        <v>3105</v>
      </c>
      <c r="E1564">
        <v>139</v>
      </c>
      <c r="F1564" t="s">
        <v>56</v>
      </c>
      <c r="G1564" t="s">
        <v>14</v>
      </c>
      <c r="H1564">
        <v>3472</v>
      </c>
      <c r="I1564">
        <v>53</v>
      </c>
      <c r="J1564" t="s">
        <v>15</v>
      </c>
      <c r="K1564">
        <v>4847</v>
      </c>
      <c r="L1564" t="s">
        <v>25</v>
      </c>
    </row>
    <row r="1565" spans="1:12" x14ac:dyDescent="0.3">
      <c r="A1565">
        <v>2016</v>
      </c>
      <c r="B1565" t="s">
        <v>20</v>
      </c>
      <c r="C1565">
        <v>11841</v>
      </c>
      <c r="D1565">
        <v>3105</v>
      </c>
      <c r="E1565">
        <v>140</v>
      </c>
      <c r="F1565" t="s">
        <v>56</v>
      </c>
      <c r="G1565" t="s">
        <v>14</v>
      </c>
      <c r="H1565">
        <v>3647</v>
      </c>
      <c r="I1565">
        <v>53.5</v>
      </c>
      <c r="J1565" t="s">
        <v>15</v>
      </c>
      <c r="K1565">
        <v>51239</v>
      </c>
      <c r="L1565" t="s">
        <v>25</v>
      </c>
    </row>
    <row r="1566" spans="1:12" x14ac:dyDescent="0.3">
      <c r="A1566">
        <v>2017</v>
      </c>
      <c r="B1566" t="s">
        <v>20</v>
      </c>
      <c r="C1566">
        <v>50975</v>
      </c>
      <c r="D1566">
        <v>236</v>
      </c>
      <c r="E1566">
        <v>141</v>
      </c>
      <c r="F1566" t="s">
        <v>56</v>
      </c>
      <c r="G1566" t="s">
        <v>14</v>
      </c>
      <c r="H1566">
        <v>393</v>
      </c>
      <c r="I1566">
        <v>52.5</v>
      </c>
      <c r="J1566" t="s">
        <v>15</v>
      </c>
      <c r="K1566">
        <v>216396</v>
      </c>
      <c r="L1566" t="s">
        <v>25</v>
      </c>
    </row>
    <row r="1567" spans="1:12" x14ac:dyDescent="0.3">
      <c r="A1567">
        <v>2018</v>
      </c>
      <c r="B1567" t="s">
        <v>20</v>
      </c>
      <c r="C1567">
        <v>206</v>
      </c>
      <c r="D1567">
        <v>236</v>
      </c>
      <c r="E1567">
        <v>142</v>
      </c>
      <c r="F1567" t="s">
        <v>56</v>
      </c>
      <c r="G1567" t="s">
        <v>14</v>
      </c>
      <c r="H1567">
        <v>167</v>
      </c>
      <c r="I1567">
        <v>56</v>
      </c>
      <c r="J1567" t="s">
        <v>15</v>
      </c>
      <c r="K1567">
        <v>2644</v>
      </c>
      <c r="L1567" t="s">
        <v>25</v>
      </c>
    </row>
    <row r="1568" spans="1:12" x14ac:dyDescent="0.3">
      <c r="A1568">
        <v>2004</v>
      </c>
      <c r="B1568" t="s">
        <v>20</v>
      </c>
      <c r="C1568">
        <v>10922</v>
      </c>
      <c r="D1568">
        <v>2903.1</v>
      </c>
      <c r="E1568">
        <v>143</v>
      </c>
      <c r="F1568" t="s">
        <v>56</v>
      </c>
      <c r="G1568" t="s">
        <v>14</v>
      </c>
      <c r="H1568">
        <v>71</v>
      </c>
      <c r="I1568">
        <v>57</v>
      </c>
      <c r="J1568" t="s">
        <v>15</v>
      </c>
      <c r="K1568">
        <v>44235</v>
      </c>
      <c r="L1568" t="s">
        <v>25</v>
      </c>
    </row>
    <row r="1569" spans="1:12" x14ac:dyDescent="0.3">
      <c r="A1569">
        <v>2005</v>
      </c>
      <c r="B1569" t="s">
        <v>20</v>
      </c>
      <c r="C1569">
        <v>51390</v>
      </c>
      <c r="D1569">
        <v>2903.1</v>
      </c>
      <c r="E1569">
        <v>144</v>
      </c>
      <c r="F1569" t="s">
        <v>56</v>
      </c>
      <c r="G1569" t="s">
        <v>14</v>
      </c>
      <c r="H1569">
        <v>52</v>
      </c>
      <c r="I1569">
        <v>57.5</v>
      </c>
      <c r="J1569" t="s">
        <v>15</v>
      </c>
      <c r="K1569">
        <v>203317</v>
      </c>
      <c r="L1569" t="s">
        <v>25</v>
      </c>
    </row>
    <row r="1570" spans="1:12" x14ac:dyDescent="0.3">
      <c r="A1570">
        <v>2006</v>
      </c>
      <c r="B1570" t="s">
        <v>20</v>
      </c>
      <c r="C1570">
        <v>177</v>
      </c>
      <c r="D1570">
        <v>2903.1</v>
      </c>
      <c r="E1570">
        <v>145</v>
      </c>
      <c r="F1570" t="s">
        <v>56</v>
      </c>
      <c r="G1570" t="s">
        <v>14</v>
      </c>
      <c r="H1570">
        <v>2570</v>
      </c>
      <c r="I1570">
        <v>57</v>
      </c>
      <c r="J1570" t="s">
        <v>15</v>
      </c>
      <c r="K1570">
        <v>2134</v>
      </c>
      <c r="L1570" t="s">
        <v>25</v>
      </c>
    </row>
    <row r="1571" spans="1:12" x14ac:dyDescent="0.3">
      <c r="A1571">
        <v>2007</v>
      </c>
      <c r="B1571" t="s">
        <v>20</v>
      </c>
      <c r="C1571">
        <v>10723</v>
      </c>
      <c r="D1571">
        <v>2996.6</v>
      </c>
      <c r="E1571">
        <v>146</v>
      </c>
      <c r="F1571" t="s">
        <v>27</v>
      </c>
      <c r="G1571" t="s">
        <v>14</v>
      </c>
      <c r="H1571">
        <v>27170</v>
      </c>
      <c r="I1571">
        <v>55</v>
      </c>
      <c r="J1571" t="s">
        <v>15</v>
      </c>
      <c r="K1571">
        <v>45186</v>
      </c>
      <c r="L1571" t="s">
        <v>25</v>
      </c>
    </row>
    <row r="1572" spans="1:12" x14ac:dyDescent="0.3">
      <c r="A1572">
        <v>2008</v>
      </c>
      <c r="B1572" t="s">
        <v>20</v>
      </c>
      <c r="C1572">
        <v>51709</v>
      </c>
      <c r="D1572">
        <v>2996.6</v>
      </c>
      <c r="E1572">
        <v>147</v>
      </c>
      <c r="F1572" t="s">
        <v>27</v>
      </c>
      <c r="G1572" t="s">
        <v>14</v>
      </c>
      <c r="H1572">
        <v>114744</v>
      </c>
      <c r="I1572">
        <v>56</v>
      </c>
      <c r="J1572" t="s">
        <v>15</v>
      </c>
      <c r="K1572">
        <v>238542</v>
      </c>
      <c r="L1572" t="s">
        <v>25</v>
      </c>
    </row>
    <row r="1573" spans="1:12" x14ac:dyDescent="0.3">
      <c r="A1573">
        <v>2009</v>
      </c>
      <c r="B1573" t="s">
        <v>20</v>
      </c>
      <c r="C1573">
        <v>146</v>
      </c>
      <c r="D1573">
        <v>2996.6</v>
      </c>
      <c r="E1573">
        <v>148</v>
      </c>
      <c r="F1573" t="s">
        <v>27</v>
      </c>
      <c r="G1573" t="s">
        <v>14</v>
      </c>
      <c r="H1573">
        <v>1402</v>
      </c>
      <c r="I1573">
        <v>54</v>
      </c>
      <c r="J1573" t="s">
        <v>15</v>
      </c>
      <c r="K1573">
        <v>1516</v>
      </c>
      <c r="L1573" t="s">
        <v>25</v>
      </c>
    </row>
    <row r="1574" spans="1:12" x14ac:dyDescent="0.3">
      <c r="A1574">
        <v>2010</v>
      </c>
      <c r="B1574" t="s">
        <v>20</v>
      </c>
      <c r="C1574">
        <v>10910</v>
      </c>
      <c r="D1574">
        <v>3296</v>
      </c>
      <c r="E1574">
        <v>149</v>
      </c>
      <c r="F1574" t="s">
        <v>27</v>
      </c>
      <c r="G1574" t="s">
        <v>14</v>
      </c>
      <c r="H1574">
        <v>23456</v>
      </c>
      <c r="I1574">
        <v>58</v>
      </c>
      <c r="J1574" t="s">
        <v>15</v>
      </c>
      <c r="K1574">
        <v>200000</v>
      </c>
      <c r="L1574" t="s">
        <v>25</v>
      </c>
    </row>
    <row r="1575" spans="1:12" x14ac:dyDescent="0.3">
      <c r="A1575">
        <v>2011</v>
      </c>
      <c r="B1575" t="s">
        <v>20</v>
      </c>
      <c r="C1575">
        <v>51355</v>
      </c>
      <c r="D1575">
        <v>3550</v>
      </c>
      <c r="E1575">
        <v>150</v>
      </c>
      <c r="F1575" t="s">
        <v>27</v>
      </c>
      <c r="G1575" t="s">
        <v>14</v>
      </c>
      <c r="H1575">
        <v>107809</v>
      </c>
      <c r="I1575">
        <v>58</v>
      </c>
      <c r="J1575" t="s">
        <v>15</v>
      </c>
      <c r="K1575">
        <v>4847</v>
      </c>
      <c r="L1575" t="s">
        <v>25</v>
      </c>
    </row>
    <row r="1576" spans="1:12" x14ac:dyDescent="0.3">
      <c r="A1576">
        <v>2012</v>
      </c>
      <c r="B1576" t="s">
        <v>20</v>
      </c>
      <c r="C1576">
        <v>160</v>
      </c>
      <c r="D1576">
        <v>3550</v>
      </c>
      <c r="E1576">
        <v>151</v>
      </c>
      <c r="F1576" t="s">
        <v>27</v>
      </c>
      <c r="G1576" t="s">
        <v>14</v>
      </c>
      <c r="H1576">
        <v>1132</v>
      </c>
      <c r="I1576">
        <v>59</v>
      </c>
      <c r="J1576" t="s">
        <v>15</v>
      </c>
      <c r="K1576">
        <v>51239</v>
      </c>
      <c r="L1576" t="s">
        <v>25</v>
      </c>
    </row>
    <row r="1577" spans="1:12" x14ac:dyDescent="0.3">
      <c r="A1577">
        <v>2013</v>
      </c>
      <c r="B1577" t="s">
        <v>20</v>
      </c>
      <c r="C1577">
        <v>10912</v>
      </c>
      <c r="D1577">
        <v>3550</v>
      </c>
      <c r="E1577">
        <v>152</v>
      </c>
      <c r="F1577" t="s">
        <v>27</v>
      </c>
      <c r="G1577" t="s">
        <v>14</v>
      </c>
      <c r="H1577">
        <v>23960</v>
      </c>
      <c r="I1577">
        <v>50</v>
      </c>
      <c r="J1577" t="s">
        <v>35</v>
      </c>
      <c r="K1577">
        <v>216396</v>
      </c>
      <c r="L1577" t="s">
        <v>25</v>
      </c>
    </row>
    <row r="1578" spans="1:12" x14ac:dyDescent="0.3">
      <c r="A1578">
        <v>2014</v>
      </c>
      <c r="B1578" t="s">
        <v>20</v>
      </c>
      <c r="C1578">
        <v>51353</v>
      </c>
      <c r="D1578">
        <v>3654</v>
      </c>
      <c r="E1578">
        <v>153</v>
      </c>
      <c r="F1578" t="s">
        <v>27</v>
      </c>
      <c r="G1578" t="s">
        <v>14</v>
      </c>
      <c r="H1578">
        <v>126487</v>
      </c>
      <c r="I1578">
        <v>54</v>
      </c>
      <c r="J1578" t="s">
        <v>35</v>
      </c>
      <c r="K1578">
        <v>2644</v>
      </c>
      <c r="L1578" t="s">
        <v>25</v>
      </c>
    </row>
    <row r="1579" spans="1:12" x14ac:dyDescent="0.3">
      <c r="A1579">
        <v>2015</v>
      </c>
      <c r="B1579" t="s">
        <v>23</v>
      </c>
      <c r="C1579">
        <v>142</v>
      </c>
      <c r="D1579">
        <v>3654</v>
      </c>
      <c r="E1579">
        <v>154</v>
      </c>
      <c r="F1579" t="s">
        <v>27</v>
      </c>
      <c r="G1579" t="s">
        <v>14</v>
      </c>
      <c r="H1579">
        <v>804</v>
      </c>
      <c r="I1579">
        <v>53</v>
      </c>
      <c r="J1579" t="s">
        <v>35</v>
      </c>
      <c r="K1579">
        <v>44235</v>
      </c>
      <c r="L1579" t="s">
        <v>25</v>
      </c>
    </row>
    <row r="1580" spans="1:12" x14ac:dyDescent="0.3">
      <c r="A1580">
        <v>2016</v>
      </c>
      <c r="B1580" t="s">
        <v>23</v>
      </c>
      <c r="C1580">
        <v>10505</v>
      </c>
      <c r="D1580">
        <v>3654</v>
      </c>
      <c r="E1580">
        <v>155</v>
      </c>
      <c r="F1580" t="s">
        <v>27</v>
      </c>
      <c r="G1580" t="s">
        <v>21</v>
      </c>
      <c r="H1580">
        <v>30362</v>
      </c>
      <c r="I1580">
        <v>59.5</v>
      </c>
      <c r="J1580" t="s">
        <v>35</v>
      </c>
      <c r="K1580">
        <v>203317</v>
      </c>
      <c r="L1580" t="s">
        <v>25</v>
      </c>
    </row>
    <row r="1581" spans="1:12" x14ac:dyDescent="0.3">
      <c r="A1581">
        <v>2017</v>
      </c>
      <c r="B1581" t="s">
        <v>23</v>
      </c>
      <c r="C1581">
        <v>51040</v>
      </c>
      <c r="D1581">
        <v>233</v>
      </c>
      <c r="E1581">
        <v>156</v>
      </c>
      <c r="F1581" t="s">
        <v>27</v>
      </c>
      <c r="G1581" t="s">
        <v>21</v>
      </c>
      <c r="H1581">
        <v>124492</v>
      </c>
      <c r="I1581">
        <v>55</v>
      </c>
      <c r="J1581" t="s">
        <v>35</v>
      </c>
      <c r="K1581">
        <v>2134</v>
      </c>
      <c r="L1581" t="s">
        <v>25</v>
      </c>
    </row>
    <row r="1582" spans="1:12" x14ac:dyDescent="0.3">
      <c r="A1582">
        <v>2004</v>
      </c>
      <c r="B1582" t="s">
        <v>23</v>
      </c>
      <c r="C1582">
        <v>154</v>
      </c>
      <c r="D1582">
        <v>233</v>
      </c>
      <c r="E1582">
        <v>157</v>
      </c>
      <c r="F1582" t="s">
        <v>27</v>
      </c>
      <c r="G1582" t="s">
        <v>21</v>
      </c>
      <c r="H1582">
        <v>792</v>
      </c>
      <c r="I1582">
        <v>53</v>
      </c>
      <c r="J1582" t="s">
        <v>35</v>
      </c>
      <c r="K1582">
        <v>45186</v>
      </c>
      <c r="L1582" t="s">
        <v>25</v>
      </c>
    </row>
    <row r="1583" spans="1:12" x14ac:dyDescent="0.3">
      <c r="A1583">
        <v>2004</v>
      </c>
      <c r="B1583" t="s">
        <v>23</v>
      </c>
      <c r="C1583">
        <v>10318</v>
      </c>
      <c r="D1583">
        <v>233</v>
      </c>
      <c r="E1583">
        <v>158</v>
      </c>
      <c r="F1583" t="s">
        <v>27</v>
      </c>
      <c r="G1583" t="s">
        <v>21</v>
      </c>
      <c r="H1583">
        <v>34153</v>
      </c>
      <c r="I1583">
        <v>53.5</v>
      </c>
      <c r="J1583" t="s">
        <v>35</v>
      </c>
      <c r="K1583">
        <v>238542</v>
      </c>
      <c r="L1583" t="s">
        <v>25</v>
      </c>
    </row>
    <row r="1584" spans="1:12" x14ac:dyDescent="0.3">
      <c r="A1584">
        <v>2004</v>
      </c>
      <c r="B1584" t="s">
        <v>23</v>
      </c>
      <c r="C1584">
        <v>48083</v>
      </c>
      <c r="D1584">
        <v>234</v>
      </c>
      <c r="E1584">
        <v>159</v>
      </c>
      <c r="F1584" t="s">
        <v>27</v>
      </c>
      <c r="G1584" t="s">
        <v>21</v>
      </c>
      <c r="H1584">
        <v>2570</v>
      </c>
      <c r="I1584">
        <v>52.5</v>
      </c>
      <c r="J1584" t="s">
        <v>35</v>
      </c>
      <c r="K1584">
        <v>1516</v>
      </c>
      <c r="L1584" t="s">
        <v>25</v>
      </c>
    </row>
    <row r="1585" spans="1:12" x14ac:dyDescent="0.3">
      <c r="A1585">
        <v>2004</v>
      </c>
      <c r="B1585" t="s">
        <v>23</v>
      </c>
      <c r="C1585">
        <v>143</v>
      </c>
      <c r="D1585">
        <v>234</v>
      </c>
      <c r="E1585">
        <v>160</v>
      </c>
      <c r="F1585" t="s">
        <v>27</v>
      </c>
      <c r="G1585" t="s">
        <v>21</v>
      </c>
      <c r="H1585">
        <v>27170</v>
      </c>
      <c r="I1585">
        <v>56</v>
      </c>
      <c r="J1585" t="s">
        <v>35</v>
      </c>
      <c r="K1585">
        <v>57259</v>
      </c>
      <c r="L1585" t="s">
        <v>25</v>
      </c>
    </row>
    <row r="1586" spans="1:12" x14ac:dyDescent="0.3">
      <c r="A1586">
        <v>2004</v>
      </c>
      <c r="B1586" t="s">
        <v>23</v>
      </c>
      <c r="C1586">
        <v>9283</v>
      </c>
      <c r="D1586">
        <v>234</v>
      </c>
      <c r="E1586">
        <v>161</v>
      </c>
      <c r="F1586" t="s">
        <v>27</v>
      </c>
      <c r="G1586" t="s">
        <v>21</v>
      </c>
      <c r="H1586">
        <v>114744</v>
      </c>
      <c r="I1586">
        <v>57</v>
      </c>
      <c r="J1586" t="s">
        <v>35</v>
      </c>
      <c r="K1586">
        <v>234779</v>
      </c>
      <c r="L1586" t="s">
        <v>25</v>
      </c>
    </row>
    <row r="1587" spans="1:12" x14ac:dyDescent="0.3">
      <c r="A1587">
        <v>2004</v>
      </c>
      <c r="B1587" t="s">
        <v>23</v>
      </c>
      <c r="C1587">
        <v>47200</v>
      </c>
      <c r="D1587">
        <v>3105</v>
      </c>
      <c r="E1587">
        <v>162</v>
      </c>
      <c r="F1587" t="s">
        <v>27</v>
      </c>
      <c r="G1587" t="s">
        <v>21</v>
      </c>
      <c r="H1587">
        <v>1402</v>
      </c>
      <c r="I1587">
        <v>57.5</v>
      </c>
      <c r="J1587" t="s">
        <v>35</v>
      </c>
      <c r="K1587">
        <v>1493</v>
      </c>
      <c r="L1587" t="s">
        <v>25</v>
      </c>
    </row>
    <row r="1588" spans="1:12" x14ac:dyDescent="0.3">
      <c r="A1588">
        <v>2004</v>
      </c>
      <c r="B1588" t="s">
        <v>23</v>
      </c>
      <c r="C1588">
        <v>158</v>
      </c>
      <c r="D1588">
        <v>3105</v>
      </c>
      <c r="E1588">
        <v>163</v>
      </c>
      <c r="F1588" t="s">
        <v>27</v>
      </c>
      <c r="G1588" t="s">
        <v>21</v>
      </c>
      <c r="H1588">
        <v>23456</v>
      </c>
      <c r="I1588">
        <v>57</v>
      </c>
      <c r="J1588" t="s">
        <v>35</v>
      </c>
      <c r="K1588">
        <v>64409</v>
      </c>
      <c r="L1588" t="s">
        <v>25</v>
      </c>
    </row>
    <row r="1589" spans="1:12" x14ac:dyDescent="0.3">
      <c r="A1589">
        <v>2004</v>
      </c>
      <c r="B1589" t="s">
        <v>23</v>
      </c>
      <c r="C1589">
        <v>8982</v>
      </c>
      <c r="D1589">
        <v>3105</v>
      </c>
      <c r="E1589">
        <v>164</v>
      </c>
      <c r="F1589" t="s">
        <v>27</v>
      </c>
      <c r="G1589" t="s">
        <v>21</v>
      </c>
      <c r="H1589">
        <v>107809</v>
      </c>
      <c r="I1589">
        <v>55</v>
      </c>
      <c r="J1589" t="s">
        <v>35</v>
      </c>
      <c r="K1589">
        <v>249978</v>
      </c>
      <c r="L1589" t="s">
        <v>25</v>
      </c>
    </row>
    <row r="1590" spans="1:12" x14ac:dyDescent="0.3">
      <c r="A1590">
        <v>2004</v>
      </c>
      <c r="B1590" t="s">
        <v>23</v>
      </c>
      <c r="C1590">
        <v>46990</v>
      </c>
      <c r="D1590">
        <v>236</v>
      </c>
      <c r="E1590">
        <v>165</v>
      </c>
      <c r="F1590" t="s">
        <v>27</v>
      </c>
      <c r="G1590" t="s">
        <v>21</v>
      </c>
      <c r="H1590">
        <v>1132</v>
      </c>
      <c r="I1590">
        <v>56</v>
      </c>
      <c r="J1590" t="s">
        <v>35</v>
      </c>
      <c r="K1590">
        <v>637</v>
      </c>
      <c r="L1590" t="s">
        <v>25</v>
      </c>
    </row>
    <row r="1591" spans="1:12" x14ac:dyDescent="0.3">
      <c r="A1591">
        <v>2004</v>
      </c>
      <c r="B1591" t="s">
        <v>23</v>
      </c>
      <c r="C1591">
        <v>103</v>
      </c>
      <c r="D1591">
        <v>236</v>
      </c>
      <c r="E1591">
        <v>166</v>
      </c>
      <c r="F1591" t="s">
        <v>27</v>
      </c>
      <c r="G1591" t="s">
        <v>21</v>
      </c>
      <c r="H1591">
        <v>23960</v>
      </c>
      <c r="I1591">
        <v>54</v>
      </c>
      <c r="J1591" t="s">
        <v>35</v>
      </c>
      <c r="K1591">
        <v>43311</v>
      </c>
      <c r="L1591" t="s">
        <v>25</v>
      </c>
    </row>
    <row r="1592" spans="1:12" x14ac:dyDescent="0.3">
      <c r="A1592">
        <v>2004</v>
      </c>
      <c r="B1592" t="s">
        <v>23</v>
      </c>
      <c r="C1592">
        <v>8239</v>
      </c>
      <c r="D1592">
        <v>2903.1</v>
      </c>
      <c r="E1592">
        <v>167</v>
      </c>
      <c r="F1592" t="s">
        <v>27</v>
      </c>
      <c r="G1592" t="s">
        <v>14</v>
      </c>
      <c r="H1592">
        <v>126487</v>
      </c>
      <c r="I1592">
        <v>57</v>
      </c>
      <c r="J1592" t="s">
        <v>15</v>
      </c>
      <c r="K1592">
        <v>200000</v>
      </c>
      <c r="L1592" t="s">
        <v>25</v>
      </c>
    </row>
    <row r="1593" spans="1:12" x14ac:dyDescent="0.3">
      <c r="A1593">
        <v>2004</v>
      </c>
      <c r="B1593" t="s">
        <v>23</v>
      </c>
      <c r="C1593">
        <v>44563</v>
      </c>
      <c r="D1593">
        <v>2903.1</v>
      </c>
      <c r="E1593">
        <v>168</v>
      </c>
      <c r="F1593" t="s">
        <v>27</v>
      </c>
      <c r="G1593" t="s">
        <v>14</v>
      </c>
      <c r="H1593">
        <v>804</v>
      </c>
      <c r="I1593">
        <v>57.5</v>
      </c>
      <c r="J1593" t="s">
        <v>15</v>
      </c>
      <c r="K1593">
        <v>4847</v>
      </c>
      <c r="L1593" t="s">
        <v>25</v>
      </c>
    </row>
    <row r="1594" spans="1:12" x14ac:dyDescent="0.3">
      <c r="A1594">
        <v>2004</v>
      </c>
      <c r="B1594" t="s">
        <v>23</v>
      </c>
      <c r="C1594">
        <v>96</v>
      </c>
      <c r="D1594">
        <v>2903.1</v>
      </c>
      <c r="E1594">
        <v>169</v>
      </c>
      <c r="F1594" t="s">
        <v>27</v>
      </c>
      <c r="G1594" t="s">
        <v>14</v>
      </c>
      <c r="H1594">
        <v>30362</v>
      </c>
      <c r="I1594">
        <v>57</v>
      </c>
      <c r="J1594" t="s">
        <v>15</v>
      </c>
      <c r="K1594">
        <v>51239</v>
      </c>
      <c r="L1594" t="s">
        <v>25</v>
      </c>
    </row>
    <row r="1595" spans="1:12" x14ac:dyDescent="0.3">
      <c r="A1595">
        <v>2004</v>
      </c>
      <c r="B1595" t="s">
        <v>23</v>
      </c>
      <c r="C1595">
        <v>6949</v>
      </c>
      <c r="D1595">
        <v>2996.6</v>
      </c>
      <c r="E1595">
        <v>170</v>
      </c>
      <c r="F1595" t="s">
        <v>27</v>
      </c>
      <c r="G1595" t="s">
        <v>14</v>
      </c>
      <c r="H1595">
        <v>124492</v>
      </c>
      <c r="I1595">
        <v>55</v>
      </c>
      <c r="J1595" t="s">
        <v>15</v>
      </c>
      <c r="K1595">
        <v>216396</v>
      </c>
      <c r="L1595" t="s">
        <v>25</v>
      </c>
    </row>
    <row r="1596" spans="1:12" x14ac:dyDescent="0.3">
      <c r="A1596">
        <v>2004</v>
      </c>
      <c r="B1596" t="s">
        <v>23</v>
      </c>
      <c r="C1596">
        <v>44663</v>
      </c>
      <c r="D1596">
        <v>2996.6</v>
      </c>
      <c r="E1596">
        <v>171</v>
      </c>
      <c r="F1596" t="s">
        <v>27</v>
      </c>
      <c r="G1596" t="s">
        <v>14</v>
      </c>
      <c r="H1596">
        <v>792</v>
      </c>
      <c r="I1596">
        <v>56</v>
      </c>
      <c r="J1596" t="s">
        <v>15</v>
      </c>
      <c r="K1596">
        <v>2644</v>
      </c>
      <c r="L1596" t="s">
        <v>25</v>
      </c>
    </row>
    <row r="1597" spans="1:12" x14ac:dyDescent="0.3">
      <c r="A1597">
        <v>2004</v>
      </c>
      <c r="B1597" t="s">
        <v>23</v>
      </c>
      <c r="C1597">
        <v>110</v>
      </c>
      <c r="D1597">
        <v>2996.6</v>
      </c>
      <c r="E1597">
        <v>172</v>
      </c>
      <c r="F1597" t="s">
        <v>27</v>
      </c>
      <c r="G1597" t="s">
        <v>14</v>
      </c>
      <c r="H1597">
        <v>34153</v>
      </c>
      <c r="I1597">
        <v>54</v>
      </c>
      <c r="J1597" t="s">
        <v>15</v>
      </c>
      <c r="K1597">
        <v>44235</v>
      </c>
      <c r="L1597" t="s">
        <v>25</v>
      </c>
    </row>
    <row r="1598" spans="1:12" x14ac:dyDescent="0.3">
      <c r="A1598">
        <v>2004</v>
      </c>
      <c r="B1598" t="s">
        <v>23</v>
      </c>
      <c r="C1598">
        <v>6824</v>
      </c>
      <c r="D1598">
        <v>2903.1</v>
      </c>
      <c r="E1598">
        <v>173</v>
      </c>
      <c r="F1598" t="s">
        <v>27</v>
      </c>
      <c r="G1598" t="s">
        <v>14</v>
      </c>
      <c r="H1598">
        <v>132551</v>
      </c>
      <c r="I1598">
        <v>58</v>
      </c>
      <c r="J1598" t="s">
        <v>15</v>
      </c>
      <c r="K1598">
        <v>203317</v>
      </c>
      <c r="L1598" t="s">
        <v>25</v>
      </c>
    </row>
    <row r="1599" spans="1:12" x14ac:dyDescent="0.3">
      <c r="A1599">
        <v>2004</v>
      </c>
      <c r="B1599" t="s">
        <v>23</v>
      </c>
      <c r="C1599">
        <v>43013</v>
      </c>
      <c r="D1599">
        <v>2903.1</v>
      </c>
      <c r="E1599">
        <v>174</v>
      </c>
      <c r="F1599" t="s">
        <v>27</v>
      </c>
      <c r="G1599" t="s">
        <v>14</v>
      </c>
      <c r="H1599">
        <v>338</v>
      </c>
      <c r="I1599">
        <v>58</v>
      </c>
      <c r="J1599" t="s">
        <v>15</v>
      </c>
      <c r="K1599">
        <v>2134</v>
      </c>
      <c r="L1599" t="s">
        <v>25</v>
      </c>
    </row>
    <row r="1600" spans="1:12" x14ac:dyDescent="0.3">
      <c r="A1600">
        <v>2004</v>
      </c>
      <c r="B1600" t="s">
        <v>23</v>
      </c>
      <c r="C1600">
        <v>95</v>
      </c>
      <c r="D1600">
        <v>2903.1</v>
      </c>
      <c r="E1600">
        <v>175</v>
      </c>
      <c r="F1600" t="s">
        <v>27</v>
      </c>
      <c r="G1600" t="s">
        <v>14</v>
      </c>
      <c r="H1600">
        <v>22966</v>
      </c>
      <c r="I1600">
        <v>59</v>
      </c>
      <c r="J1600" t="s">
        <v>15</v>
      </c>
      <c r="K1600">
        <v>45186</v>
      </c>
      <c r="L1600" t="s">
        <v>25</v>
      </c>
    </row>
    <row r="1601" spans="1:12" x14ac:dyDescent="0.3">
      <c r="A1601">
        <v>2004</v>
      </c>
      <c r="B1601" t="s">
        <v>23</v>
      </c>
      <c r="C1601">
        <v>6441</v>
      </c>
      <c r="D1601">
        <v>2996.6</v>
      </c>
      <c r="E1601">
        <v>176</v>
      </c>
      <c r="F1601" t="s">
        <v>27</v>
      </c>
      <c r="G1601" t="s">
        <v>14</v>
      </c>
      <c r="H1601">
        <v>131763</v>
      </c>
      <c r="I1601">
        <v>50</v>
      </c>
      <c r="J1601" t="s">
        <v>15</v>
      </c>
      <c r="K1601">
        <v>238542</v>
      </c>
      <c r="L1601" t="s">
        <v>25</v>
      </c>
    </row>
    <row r="1602" spans="1:12" x14ac:dyDescent="0.3">
      <c r="A1602">
        <v>2004</v>
      </c>
      <c r="B1602" t="s">
        <v>23</v>
      </c>
      <c r="C1602">
        <v>4012</v>
      </c>
      <c r="D1602">
        <v>2996.6</v>
      </c>
      <c r="E1602">
        <v>177</v>
      </c>
      <c r="F1602" t="s">
        <v>57</v>
      </c>
      <c r="G1602" t="s">
        <v>14</v>
      </c>
      <c r="H1602">
        <v>404</v>
      </c>
      <c r="I1602">
        <v>54</v>
      </c>
      <c r="J1602" t="s">
        <v>15</v>
      </c>
      <c r="K1602">
        <v>1516</v>
      </c>
      <c r="L1602" t="s">
        <v>25</v>
      </c>
    </row>
    <row r="1603" spans="1:12" x14ac:dyDescent="0.3">
      <c r="A1603">
        <v>2004</v>
      </c>
      <c r="B1603" t="s">
        <v>23</v>
      </c>
      <c r="C1603">
        <v>4877</v>
      </c>
      <c r="D1603">
        <v>2996.6</v>
      </c>
      <c r="E1603">
        <v>178</v>
      </c>
      <c r="F1603" t="s">
        <v>57</v>
      </c>
      <c r="G1603" t="s">
        <v>14</v>
      </c>
      <c r="H1603">
        <v>24184</v>
      </c>
      <c r="I1603">
        <v>53</v>
      </c>
      <c r="J1603" t="s">
        <v>15</v>
      </c>
      <c r="K1603">
        <v>57259</v>
      </c>
      <c r="L1603" t="s">
        <v>25</v>
      </c>
    </row>
    <row r="1604" spans="1:12" x14ac:dyDescent="0.3">
      <c r="A1604">
        <v>2004</v>
      </c>
      <c r="B1604" t="s">
        <v>23</v>
      </c>
      <c r="C1604">
        <v>4930</v>
      </c>
      <c r="D1604">
        <v>3522.8</v>
      </c>
      <c r="E1604">
        <v>179</v>
      </c>
      <c r="F1604" t="s">
        <v>57</v>
      </c>
      <c r="G1604" t="s">
        <v>14</v>
      </c>
      <c r="H1604">
        <v>124387</v>
      </c>
      <c r="I1604">
        <v>52</v>
      </c>
      <c r="J1604" t="s">
        <v>15</v>
      </c>
      <c r="K1604">
        <v>234779</v>
      </c>
      <c r="L1604" t="s">
        <v>25</v>
      </c>
    </row>
    <row r="1605" spans="1:12" x14ac:dyDescent="0.3">
      <c r="A1605">
        <v>2004</v>
      </c>
      <c r="B1605" t="s">
        <v>23</v>
      </c>
      <c r="C1605">
        <v>4954</v>
      </c>
      <c r="D1605">
        <v>3522.8</v>
      </c>
      <c r="E1605">
        <v>180</v>
      </c>
      <c r="F1605" t="s">
        <v>57</v>
      </c>
      <c r="G1605" t="s">
        <v>14</v>
      </c>
      <c r="H1605">
        <v>343</v>
      </c>
      <c r="I1605">
        <v>51</v>
      </c>
      <c r="J1605" t="s">
        <v>15</v>
      </c>
      <c r="K1605">
        <v>1493</v>
      </c>
      <c r="L1605" t="s">
        <v>25</v>
      </c>
    </row>
    <row r="1606" spans="1:12" x14ac:dyDescent="0.3">
      <c r="A1606">
        <v>2004</v>
      </c>
      <c r="B1606" t="s">
        <v>23</v>
      </c>
      <c r="C1606">
        <v>5019</v>
      </c>
      <c r="D1606">
        <v>3522.8</v>
      </c>
      <c r="E1606">
        <v>181</v>
      </c>
      <c r="F1606" t="s">
        <v>57</v>
      </c>
      <c r="G1606" t="s">
        <v>14</v>
      </c>
      <c r="H1606">
        <v>23099</v>
      </c>
      <c r="I1606">
        <v>57</v>
      </c>
      <c r="J1606" t="s">
        <v>15</v>
      </c>
      <c r="K1606">
        <v>64409</v>
      </c>
      <c r="L1606" t="s">
        <v>25</v>
      </c>
    </row>
    <row r="1607" spans="1:12" x14ac:dyDescent="0.3">
      <c r="A1607">
        <v>2004</v>
      </c>
      <c r="B1607" t="s">
        <v>23</v>
      </c>
      <c r="C1607">
        <v>5127</v>
      </c>
      <c r="D1607">
        <v>3729.8</v>
      </c>
      <c r="E1607">
        <v>182</v>
      </c>
      <c r="F1607" t="s">
        <v>57</v>
      </c>
      <c r="G1607" t="s">
        <v>14</v>
      </c>
      <c r="H1607">
        <v>117825.84</v>
      </c>
      <c r="I1607">
        <v>57</v>
      </c>
      <c r="J1607" t="s">
        <v>15</v>
      </c>
      <c r="K1607">
        <v>249978</v>
      </c>
      <c r="L1607" t="s">
        <v>25</v>
      </c>
    </row>
    <row r="1608" spans="1:12" x14ac:dyDescent="0.3">
      <c r="A1608">
        <v>2004</v>
      </c>
      <c r="B1608" t="s">
        <v>23</v>
      </c>
      <c r="C1608">
        <v>5174</v>
      </c>
      <c r="D1608">
        <v>3729.8</v>
      </c>
      <c r="E1608">
        <v>183</v>
      </c>
      <c r="F1608" t="s">
        <v>57</v>
      </c>
      <c r="G1608" t="s">
        <v>14</v>
      </c>
      <c r="H1608">
        <v>336</v>
      </c>
      <c r="I1608">
        <v>60</v>
      </c>
      <c r="J1608" t="s">
        <v>15</v>
      </c>
      <c r="K1608">
        <v>637</v>
      </c>
      <c r="L1608" t="s">
        <v>25</v>
      </c>
    </row>
    <row r="1609" spans="1:12" x14ac:dyDescent="0.3">
      <c r="A1609">
        <v>2004</v>
      </c>
      <c r="B1609" t="s">
        <v>23</v>
      </c>
      <c r="C1609">
        <v>5294</v>
      </c>
      <c r="D1609">
        <v>3729.8</v>
      </c>
      <c r="E1609">
        <v>184</v>
      </c>
      <c r="F1609" t="s">
        <v>57</v>
      </c>
      <c r="G1609" t="s">
        <v>14</v>
      </c>
      <c r="H1609">
        <v>22594</v>
      </c>
      <c r="I1609">
        <v>57</v>
      </c>
      <c r="J1609" t="s">
        <v>15</v>
      </c>
      <c r="K1609">
        <v>43311</v>
      </c>
      <c r="L1609" t="s">
        <v>25</v>
      </c>
    </row>
    <row r="1610" spans="1:12" x14ac:dyDescent="0.3">
      <c r="A1610">
        <v>2004</v>
      </c>
      <c r="B1610" t="s">
        <v>23</v>
      </c>
      <c r="C1610">
        <v>5474</v>
      </c>
      <c r="D1610">
        <v>2746.2</v>
      </c>
      <c r="E1610">
        <v>185</v>
      </c>
      <c r="F1610" t="s">
        <v>57</v>
      </c>
      <c r="G1610" t="s">
        <v>14</v>
      </c>
      <c r="H1610">
        <v>116481.07</v>
      </c>
      <c r="I1610">
        <v>57</v>
      </c>
      <c r="J1610" t="s">
        <v>15</v>
      </c>
      <c r="K1610">
        <v>24848</v>
      </c>
      <c r="L1610" t="s">
        <v>25</v>
      </c>
    </row>
    <row r="1611" spans="1:12" x14ac:dyDescent="0.3">
      <c r="A1611">
        <v>2004</v>
      </c>
      <c r="B1611" t="s">
        <v>23</v>
      </c>
      <c r="C1611">
        <v>5864</v>
      </c>
      <c r="D1611">
        <v>2746.2</v>
      </c>
      <c r="E1611">
        <v>186</v>
      </c>
      <c r="F1611" t="s">
        <v>57</v>
      </c>
      <c r="G1611" t="s">
        <v>14</v>
      </c>
      <c r="H1611">
        <v>316</v>
      </c>
      <c r="I1611">
        <v>54</v>
      </c>
      <c r="J1611" t="s">
        <v>15</v>
      </c>
      <c r="K1611">
        <v>761</v>
      </c>
      <c r="L1611" t="s">
        <v>25</v>
      </c>
    </row>
    <row r="1612" spans="1:12" x14ac:dyDescent="0.3">
      <c r="A1612">
        <v>2004</v>
      </c>
      <c r="B1612" t="s">
        <v>23</v>
      </c>
      <c r="C1612">
        <v>7028</v>
      </c>
      <c r="D1612">
        <v>2746.2</v>
      </c>
      <c r="E1612">
        <v>187</v>
      </c>
      <c r="F1612" t="s">
        <v>57</v>
      </c>
      <c r="G1612" t="s">
        <v>14</v>
      </c>
      <c r="H1612">
        <v>21400</v>
      </c>
      <c r="I1612">
        <v>54.5</v>
      </c>
      <c r="J1612" t="s">
        <v>15</v>
      </c>
      <c r="K1612">
        <v>45608</v>
      </c>
      <c r="L1612" t="s">
        <v>25</v>
      </c>
    </row>
    <row r="1613" spans="1:12" x14ac:dyDescent="0.3">
      <c r="A1613">
        <v>2004</v>
      </c>
      <c r="B1613" t="s">
        <v>23</v>
      </c>
      <c r="C1613">
        <v>7403</v>
      </c>
      <c r="D1613">
        <v>3360</v>
      </c>
      <c r="E1613">
        <v>188</v>
      </c>
      <c r="F1613" t="s">
        <v>57</v>
      </c>
      <c r="G1613" t="s">
        <v>14</v>
      </c>
      <c r="H1613">
        <v>122102</v>
      </c>
      <c r="I1613">
        <v>56.6</v>
      </c>
      <c r="J1613" t="s">
        <v>15</v>
      </c>
      <c r="K1613">
        <v>234581</v>
      </c>
      <c r="L1613" t="s">
        <v>25</v>
      </c>
    </row>
    <row r="1614" spans="1:12" x14ac:dyDescent="0.3">
      <c r="A1614">
        <v>2004</v>
      </c>
      <c r="B1614" t="s">
        <v>23</v>
      </c>
      <c r="C1614">
        <v>7501</v>
      </c>
      <c r="D1614">
        <v>3360</v>
      </c>
      <c r="E1614">
        <v>189</v>
      </c>
      <c r="F1614" t="s">
        <v>57</v>
      </c>
      <c r="G1614" t="s">
        <v>14</v>
      </c>
      <c r="H1614">
        <v>382</v>
      </c>
      <c r="I1614">
        <v>55.5</v>
      </c>
      <c r="J1614" t="s">
        <v>15</v>
      </c>
      <c r="K1614">
        <v>646</v>
      </c>
      <c r="L1614" t="s">
        <v>25</v>
      </c>
    </row>
    <row r="1615" spans="1:12" x14ac:dyDescent="0.3">
      <c r="A1615">
        <v>2004</v>
      </c>
      <c r="B1615" t="s">
        <v>23</v>
      </c>
      <c r="C1615">
        <v>7714</v>
      </c>
      <c r="D1615">
        <v>3360</v>
      </c>
      <c r="E1615">
        <v>190</v>
      </c>
      <c r="F1615" t="s">
        <v>57</v>
      </c>
      <c r="G1615" t="s">
        <v>14</v>
      </c>
      <c r="H1615">
        <v>19578</v>
      </c>
      <c r="I1615">
        <v>58.5</v>
      </c>
      <c r="J1615" t="s">
        <v>15</v>
      </c>
      <c r="K1615">
        <v>43562</v>
      </c>
      <c r="L1615" t="s">
        <v>25</v>
      </c>
    </row>
    <row r="1616" spans="1:12" x14ac:dyDescent="0.3">
      <c r="A1616">
        <v>2004</v>
      </c>
      <c r="B1616" t="s">
        <v>31</v>
      </c>
      <c r="C1616">
        <v>7856</v>
      </c>
      <c r="D1616">
        <v>3605.4</v>
      </c>
      <c r="E1616">
        <v>191</v>
      </c>
      <c r="F1616" t="s">
        <v>57</v>
      </c>
      <c r="G1616" t="s">
        <v>14</v>
      </c>
      <c r="H1616">
        <v>121037</v>
      </c>
      <c r="I1616">
        <v>59.5</v>
      </c>
      <c r="J1616" t="s">
        <v>15</v>
      </c>
      <c r="K1616">
        <v>200000</v>
      </c>
      <c r="L1616" t="s">
        <v>25</v>
      </c>
    </row>
    <row r="1617" spans="1:12" x14ac:dyDescent="0.3">
      <c r="A1617">
        <v>2004</v>
      </c>
      <c r="B1617" t="s">
        <v>31</v>
      </c>
      <c r="C1617">
        <v>32</v>
      </c>
      <c r="D1617">
        <v>3605.4</v>
      </c>
      <c r="E1617">
        <v>192</v>
      </c>
      <c r="F1617" t="s">
        <v>57</v>
      </c>
      <c r="G1617" t="s">
        <v>14</v>
      </c>
      <c r="H1617">
        <v>231</v>
      </c>
      <c r="I1617">
        <v>55</v>
      </c>
      <c r="J1617" t="s">
        <v>15</v>
      </c>
      <c r="K1617">
        <v>4847</v>
      </c>
      <c r="L1617" t="s">
        <v>25</v>
      </c>
    </row>
    <row r="1618" spans="1:12" x14ac:dyDescent="0.3">
      <c r="A1618">
        <v>2004</v>
      </c>
      <c r="B1618" t="s">
        <v>31</v>
      </c>
      <c r="C1618">
        <v>1</v>
      </c>
      <c r="D1618">
        <v>3605.4</v>
      </c>
      <c r="E1618">
        <v>193</v>
      </c>
      <c r="F1618" t="s">
        <v>57</v>
      </c>
      <c r="G1618" t="s">
        <v>14</v>
      </c>
      <c r="H1618">
        <v>18951</v>
      </c>
      <c r="I1618">
        <v>53</v>
      </c>
      <c r="J1618" t="s">
        <v>15</v>
      </c>
      <c r="K1618">
        <v>51239</v>
      </c>
      <c r="L1618" t="s">
        <v>25</v>
      </c>
    </row>
    <row r="1619" spans="1:12" x14ac:dyDescent="0.3">
      <c r="A1619">
        <v>2004</v>
      </c>
      <c r="B1619" t="s">
        <v>31</v>
      </c>
      <c r="C1619">
        <v>30</v>
      </c>
      <c r="D1619">
        <v>3512.4</v>
      </c>
      <c r="E1619">
        <v>194</v>
      </c>
      <c r="F1619" t="s">
        <v>57</v>
      </c>
      <c r="G1619" t="s">
        <v>14</v>
      </c>
      <c r="H1619">
        <v>110579</v>
      </c>
      <c r="I1619">
        <v>53.5</v>
      </c>
      <c r="J1619" t="s">
        <v>15</v>
      </c>
      <c r="K1619">
        <v>216396</v>
      </c>
      <c r="L1619" t="s">
        <v>25</v>
      </c>
    </row>
    <row r="1620" spans="1:12" x14ac:dyDescent="0.3">
      <c r="A1620">
        <v>2004</v>
      </c>
      <c r="B1620" t="s">
        <v>31</v>
      </c>
      <c r="C1620">
        <v>6</v>
      </c>
      <c r="D1620">
        <v>3512.4</v>
      </c>
      <c r="E1620">
        <v>195</v>
      </c>
      <c r="F1620" t="s">
        <v>57</v>
      </c>
      <c r="G1620" t="s">
        <v>14</v>
      </c>
      <c r="H1620">
        <v>221</v>
      </c>
      <c r="I1620">
        <v>52.5</v>
      </c>
      <c r="J1620" t="s">
        <v>15</v>
      </c>
      <c r="K1620">
        <v>2644</v>
      </c>
      <c r="L1620" t="s">
        <v>25</v>
      </c>
    </row>
    <row r="1621" spans="1:12" x14ac:dyDescent="0.3">
      <c r="A1621">
        <v>2004</v>
      </c>
      <c r="B1621" t="s">
        <v>31</v>
      </c>
      <c r="C1621">
        <v>15</v>
      </c>
      <c r="D1621">
        <v>3512.4</v>
      </c>
      <c r="E1621">
        <v>196</v>
      </c>
      <c r="F1621" t="s">
        <v>57</v>
      </c>
      <c r="G1621" t="s">
        <v>14</v>
      </c>
      <c r="H1621">
        <v>15362</v>
      </c>
      <c r="I1621">
        <v>56</v>
      </c>
      <c r="J1621" t="s">
        <v>15</v>
      </c>
      <c r="K1621">
        <v>44235</v>
      </c>
      <c r="L1621" t="s">
        <v>25</v>
      </c>
    </row>
    <row r="1622" spans="1:12" x14ac:dyDescent="0.3">
      <c r="A1622">
        <v>2004</v>
      </c>
      <c r="B1622" t="s">
        <v>31</v>
      </c>
      <c r="C1622">
        <v>4</v>
      </c>
      <c r="D1622">
        <v>3296</v>
      </c>
      <c r="E1622">
        <v>197</v>
      </c>
      <c r="F1622" t="s">
        <v>57</v>
      </c>
      <c r="G1622" t="s">
        <v>14</v>
      </c>
      <c r="H1622">
        <v>120373</v>
      </c>
      <c r="I1622">
        <v>57</v>
      </c>
      <c r="J1622" t="s">
        <v>15</v>
      </c>
      <c r="K1622">
        <v>203317</v>
      </c>
      <c r="L1622" t="s">
        <v>25</v>
      </c>
    </row>
    <row r="1623" spans="1:12" x14ac:dyDescent="0.3">
      <c r="A1623">
        <v>2004</v>
      </c>
      <c r="B1623" t="s">
        <v>31</v>
      </c>
      <c r="C1623">
        <v>39</v>
      </c>
      <c r="D1623">
        <v>3296</v>
      </c>
      <c r="E1623">
        <v>198</v>
      </c>
      <c r="F1623" t="s">
        <v>57</v>
      </c>
      <c r="G1623" t="s">
        <v>14</v>
      </c>
      <c r="H1623">
        <v>291</v>
      </c>
      <c r="I1623">
        <v>57.5</v>
      </c>
      <c r="J1623" t="s">
        <v>15</v>
      </c>
      <c r="K1623">
        <v>2134</v>
      </c>
      <c r="L1623" t="s">
        <v>25</v>
      </c>
    </row>
    <row r="1624" spans="1:12" x14ac:dyDescent="0.3">
      <c r="A1624">
        <v>2004</v>
      </c>
      <c r="B1624" t="s">
        <v>31</v>
      </c>
      <c r="C1624">
        <v>6</v>
      </c>
      <c r="D1624">
        <v>3296</v>
      </c>
      <c r="E1624">
        <v>199</v>
      </c>
      <c r="F1624" t="s">
        <v>57</v>
      </c>
      <c r="G1624" t="s">
        <v>14</v>
      </c>
      <c r="H1624">
        <v>17231</v>
      </c>
      <c r="I1624">
        <v>57</v>
      </c>
      <c r="J1624" t="s">
        <v>15</v>
      </c>
      <c r="K1624">
        <v>45186</v>
      </c>
      <c r="L1624" t="s">
        <v>25</v>
      </c>
    </row>
    <row r="1625" spans="1:12" x14ac:dyDescent="0.3">
      <c r="A1625">
        <v>2004</v>
      </c>
      <c r="B1625" t="s">
        <v>31</v>
      </c>
      <c r="C1625">
        <v>12</v>
      </c>
      <c r="D1625">
        <v>3550</v>
      </c>
      <c r="E1625">
        <v>200</v>
      </c>
      <c r="F1625" t="s">
        <v>57</v>
      </c>
      <c r="G1625" t="s">
        <v>14</v>
      </c>
      <c r="H1625">
        <v>119359</v>
      </c>
      <c r="I1625">
        <v>55</v>
      </c>
      <c r="J1625" t="s">
        <v>15</v>
      </c>
      <c r="K1625">
        <v>238542</v>
      </c>
      <c r="L1625" t="s">
        <v>25</v>
      </c>
    </row>
    <row r="1626" spans="1:12" x14ac:dyDescent="0.3">
      <c r="A1626">
        <v>2004</v>
      </c>
      <c r="B1626" t="s">
        <v>31</v>
      </c>
      <c r="C1626">
        <v>3</v>
      </c>
      <c r="D1626">
        <v>3550</v>
      </c>
      <c r="E1626">
        <v>201</v>
      </c>
      <c r="F1626" t="s">
        <v>57</v>
      </c>
      <c r="G1626" t="s">
        <v>14</v>
      </c>
      <c r="H1626">
        <v>283</v>
      </c>
      <c r="I1626">
        <v>56</v>
      </c>
      <c r="J1626" t="s">
        <v>15</v>
      </c>
      <c r="K1626">
        <v>1516</v>
      </c>
      <c r="L1626" t="s">
        <v>25</v>
      </c>
    </row>
    <row r="1627" spans="1:12" x14ac:dyDescent="0.3">
      <c r="A1627">
        <v>2004</v>
      </c>
      <c r="B1627" t="s">
        <v>31</v>
      </c>
      <c r="C1627">
        <v>17</v>
      </c>
      <c r="D1627">
        <v>3550</v>
      </c>
      <c r="E1627">
        <v>202</v>
      </c>
      <c r="F1627" t="s">
        <v>57</v>
      </c>
      <c r="G1627" t="s">
        <v>14</v>
      </c>
      <c r="H1627">
        <v>17690</v>
      </c>
      <c r="I1627">
        <v>54</v>
      </c>
      <c r="J1627" t="s">
        <v>15</v>
      </c>
      <c r="K1627">
        <v>57259</v>
      </c>
      <c r="L1627" t="s">
        <v>25</v>
      </c>
    </row>
    <row r="1628" spans="1:12" x14ac:dyDescent="0.3">
      <c r="A1628">
        <v>2004</v>
      </c>
      <c r="B1628" t="s">
        <v>31</v>
      </c>
      <c r="C1628">
        <v>3</v>
      </c>
      <c r="D1628">
        <v>3654</v>
      </c>
      <c r="E1628">
        <v>203</v>
      </c>
      <c r="F1628" t="s">
        <v>57</v>
      </c>
      <c r="G1628" t="s">
        <v>14</v>
      </c>
      <c r="H1628">
        <v>7157</v>
      </c>
      <c r="I1628">
        <v>58</v>
      </c>
      <c r="J1628" t="s">
        <v>15</v>
      </c>
      <c r="K1628">
        <v>234779</v>
      </c>
      <c r="L1628" t="s">
        <v>25</v>
      </c>
    </row>
    <row r="1629" spans="1:12" x14ac:dyDescent="0.3">
      <c r="A1629">
        <v>2004</v>
      </c>
      <c r="B1629" t="s">
        <v>31</v>
      </c>
      <c r="C1629">
        <v>9</v>
      </c>
      <c r="D1629">
        <v>3654</v>
      </c>
      <c r="E1629">
        <v>204</v>
      </c>
      <c r="F1629" t="s">
        <v>57</v>
      </c>
      <c r="G1629" t="s">
        <v>14</v>
      </c>
      <c r="H1629">
        <v>8700</v>
      </c>
      <c r="I1629">
        <v>58</v>
      </c>
      <c r="J1629" t="s">
        <v>15</v>
      </c>
      <c r="K1629">
        <v>1493</v>
      </c>
      <c r="L1629" t="s">
        <v>25</v>
      </c>
    </row>
    <row r="1630" spans="1:12" x14ac:dyDescent="0.3">
      <c r="A1630">
        <v>2004</v>
      </c>
      <c r="B1630" t="s">
        <v>31</v>
      </c>
      <c r="C1630">
        <v>21</v>
      </c>
      <c r="D1630">
        <v>3654</v>
      </c>
      <c r="E1630">
        <v>205</v>
      </c>
      <c r="F1630" t="s">
        <v>57</v>
      </c>
      <c r="G1630" t="s">
        <v>14</v>
      </c>
      <c r="H1630">
        <v>41266</v>
      </c>
      <c r="I1630">
        <v>59</v>
      </c>
      <c r="J1630" t="s">
        <v>15</v>
      </c>
      <c r="K1630">
        <v>64409</v>
      </c>
      <c r="L1630" t="s">
        <v>25</v>
      </c>
    </row>
    <row r="1631" spans="1:12" x14ac:dyDescent="0.3">
      <c r="A1631">
        <v>2004</v>
      </c>
      <c r="B1631" t="s">
        <v>31</v>
      </c>
      <c r="C1631">
        <v>11</v>
      </c>
      <c r="D1631">
        <v>233</v>
      </c>
      <c r="E1631">
        <v>206</v>
      </c>
      <c r="F1631" t="s">
        <v>57</v>
      </c>
      <c r="G1631" t="s">
        <v>14</v>
      </c>
      <c r="H1631">
        <v>8838</v>
      </c>
      <c r="I1631">
        <v>50</v>
      </c>
      <c r="J1631" t="s">
        <v>15</v>
      </c>
      <c r="K1631">
        <v>249978</v>
      </c>
      <c r="L1631" t="s">
        <v>25</v>
      </c>
    </row>
    <row r="1632" spans="1:12" x14ac:dyDescent="0.3">
      <c r="A1632">
        <v>2004</v>
      </c>
      <c r="B1632" t="s">
        <v>31</v>
      </c>
      <c r="C1632">
        <v>4</v>
      </c>
      <c r="D1632">
        <v>233</v>
      </c>
      <c r="E1632">
        <v>207</v>
      </c>
      <c r="F1632" t="s">
        <v>57</v>
      </c>
      <c r="G1632" t="s">
        <v>14</v>
      </c>
      <c r="H1632">
        <v>8954</v>
      </c>
      <c r="I1632">
        <v>54</v>
      </c>
      <c r="J1632" t="s">
        <v>15</v>
      </c>
      <c r="K1632">
        <v>637</v>
      </c>
      <c r="L1632" t="s">
        <v>25</v>
      </c>
    </row>
    <row r="1633" spans="1:12" x14ac:dyDescent="0.3">
      <c r="A1633">
        <v>2004</v>
      </c>
      <c r="B1633" t="s">
        <v>31</v>
      </c>
      <c r="C1633">
        <v>15</v>
      </c>
      <c r="D1633">
        <v>233</v>
      </c>
      <c r="E1633">
        <v>208</v>
      </c>
      <c r="F1633" t="s">
        <v>57</v>
      </c>
      <c r="G1633" t="s">
        <v>14</v>
      </c>
      <c r="H1633">
        <v>42915</v>
      </c>
      <c r="I1633">
        <v>53</v>
      </c>
      <c r="J1633" t="s">
        <v>15</v>
      </c>
      <c r="K1633">
        <v>43311</v>
      </c>
      <c r="L1633" t="s">
        <v>25</v>
      </c>
    </row>
    <row r="1634" spans="1:12" x14ac:dyDescent="0.3">
      <c r="A1634">
        <v>2004</v>
      </c>
      <c r="B1634" t="s">
        <v>31</v>
      </c>
      <c r="C1634">
        <v>8</v>
      </c>
      <c r="D1634">
        <v>234</v>
      </c>
      <c r="E1634">
        <v>209</v>
      </c>
      <c r="F1634" t="s">
        <v>57</v>
      </c>
      <c r="G1634" t="s">
        <v>14</v>
      </c>
      <c r="H1634">
        <v>9230</v>
      </c>
      <c r="I1634">
        <v>52</v>
      </c>
      <c r="J1634" t="s">
        <v>15</v>
      </c>
      <c r="K1634">
        <v>24848</v>
      </c>
      <c r="L1634" t="s">
        <v>25</v>
      </c>
    </row>
    <row r="1635" spans="1:12" x14ac:dyDescent="0.3">
      <c r="A1635">
        <v>2004</v>
      </c>
      <c r="B1635" t="s">
        <v>31</v>
      </c>
      <c r="C1635">
        <v>29</v>
      </c>
      <c r="D1635">
        <v>234</v>
      </c>
      <c r="E1635">
        <v>210</v>
      </c>
      <c r="F1635" t="s">
        <v>57</v>
      </c>
      <c r="G1635" t="s">
        <v>14</v>
      </c>
      <c r="H1635">
        <v>44313</v>
      </c>
      <c r="I1635">
        <v>51</v>
      </c>
      <c r="J1635" t="s">
        <v>15</v>
      </c>
      <c r="K1635">
        <v>761</v>
      </c>
      <c r="L1635" t="s">
        <v>25</v>
      </c>
    </row>
    <row r="1636" spans="1:12" x14ac:dyDescent="0.3">
      <c r="A1636">
        <v>2004</v>
      </c>
      <c r="B1636" t="s">
        <v>31</v>
      </c>
      <c r="C1636">
        <v>1</v>
      </c>
      <c r="D1636">
        <v>234</v>
      </c>
      <c r="E1636">
        <v>211</v>
      </c>
      <c r="F1636" t="s">
        <v>57</v>
      </c>
      <c r="G1636" t="s">
        <v>21</v>
      </c>
      <c r="H1636">
        <v>45820</v>
      </c>
      <c r="I1636">
        <v>57</v>
      </c>
      <c r="J1636" t="s">
        <v>15</v>
      </c>
      <c r="K1636">
        <v>45608</v>
      </c>
      <c r="L1636" t="s">
        <v>25</v>
      </c>
    </row>
    <row r="1637" spans="1:12" x14ac:dyDescent="0.3">
      <c r="A1637">
        <v>2004</v>
      </c>
      <c r="B1637" t="s">
        <v>31</v>
      </c>
      <c r="C1637">
        <v>13736</v>
      </c>
      <c r="D1637">
        <v>3105</v>
      </c>
      <c r="E1637">
        <v>212</v>
      </c>
      <c r="F1637" t="s">
        <v>57</v>
      </c>
      <c r="G1637" t="s">
        <v>21</v>
      </c>
      <c r="H1637">
        <v>49084</v>
      </c>
      <c r="I1637">
        <v>57</v>
      </c>
      <c r="J1637" t="s">
        <v>15</v>
      </c>
      <c r="K1637">
        <v>234581</v>
      </c>
      <c r="L1637" t="s">
        <v>25</v>
      </c>
    </row>
    <row r="1638" spans="1:12" x14ac:dyDescent="0.3">
      <c r="A1638">
        <v>2004</v>
      </c>
      <c r="B1638" t="s">
        <v>31</v>
      </c>
      <c r="C1638">
        <v>14003</v>
      </c>
      <c r="D1638">
        <v>3105</v>
      </c>
      <c r="E1638">
        <v>213</v>
      </c>
      <c r="F1638" t="s">
        <v>57</v>
      </c>
      <c r="G1638" t="s">
        <v>21</v>
      </c>
      <c r="H1638">
        <v>86311</v>
      </c>
      <c r="I1638">
        <v>60</v>
      </c>
      <c r="J1638" t="s">
        <v>15</v>
      </c>
      <c r="K1638">
        <v>646</v>
      </c>
      <c r="L1638" t="s">
        <v>25</v>
      </c>
    </row>
    <row r="1639" spans="1:12" x14ac:dyDescent="0.3">
      <c r="A1639">
        <v>2004</v>
      </c>
      <c r="B1639" t="s">
        <v>31</v>
      </c>
      <c r="C1639">
        <v>14179</v>
      </c>
      <c r="D1639">
        <v>3105</v>
      </c>
      <c r="E1639">
        <v>214</v>
      </c>
      <c r="F1639" t="s">
        <v>57</v>
      </c>
      <c r="G1639" t="s">
        <v>21</v>
      </c>
      <c r="H1639">
        <v>57642</v>
      </c>
      <c r="I1639">
        <v>57</v>
      </c>
      <c r="J1639" t="s">
        <v>15</v>
      </c>
      <c r="K1639">
        <v>43562</v>
      </c>
      <c r="L1639" t="s">
        <v>25</v>
      </c>
    </row>
    <row r="1640" spans="1:12" x14ac:dyDescent="0.3">
      <c r="A1640">
        <v>2004</v>
      </c>
      <c r="B1640" t="s">
        <v>31</v>
      </c>
      <c r="C1640">
        <v>14319</v>
      </c>
      <c r="D1640">
        <v>236</v>
      </c>
      <c r="E1640">
        <v>215</v>
      </c>
      <c r="F1640" t="s">
        <v>57</v>
      </c>
      <c r="G1640" t="s">
        <v>21</v>
      </c>
      <c r="H1640">
        <v>58405</v>
      </c>
      <c r="I1640">
        <v>57</v>
      </c>
      <c r="J1640" t="s">
        <v>15</v>
      </c>
      <c r="K1640">
        <v>200000</v>
      </c>
      <c r="L1640" t="s">
        <v>25</v>
      </c>
    </row>
    <row r="1641" spans="1:12" x14ac:dyDescent="0.3">
      <c r="A1641">
        <v>2004</v>
      </c>
      <c r="B1641" t="s">
        <v>31</v>
      </c>
      <c r="C1641">
        <v>14464</v>
      </c>
      <c r="D1641">
        <v>236</v>
      </c>
      <c r="E1641">
        <v>216</v>
      </c>
      <c r="F1641" t="s">
        <v>57</v>
      </c>
      <c r="G1641" t="s">
        <v>21</v>
      </c>
      <c r="H1641">
        <v>60751</v>
      </c>
      <c r="I1641">
        <v>54</v>
      </c>
      <c r="J1641" t="s">
        <v>15</v>
      </c>
      <c r="K1641">
        <v>4847</v>
      </c>
      <c r="L1641" t="s">
        <v>25</v>
      </c>
    </row>
    <row r="1642" spans="1:12" x14ac:dyDescent="0.3">
      <c r="A1642">
        <v>2004</v>
      </c>
      <c r="B1642" t="s">
        <v>31</v>
      </c>
      <c r="C1642">
        <v>14876</v>
      </c>
      <c r="D1642">
        <v>2903.1</v>
      </c>
      <c r="E1642">
        <v>217</v>
      </c>
      <c r="F1642" t="s">
        <v>57</v>
      </c>
      <c r="G1642" t="s">
        <v>21</v>
      </c>
      <c r="H1642">
        <v>109506</v>
      </c>
      <c r="I1642">
        <v>54.5</v>
      </c>
      <c r="J1642" t="s">
        <v>15</v>
      </c>
      <c r="K1642">
        <v>51239</v>
      </c>
      <c r="L1642" t="s">
        <v>25</v>
      </c>
    </row>
    <row r="1643" spans="1:12" x14ac:dyDescent="0.3">
      <c r="A1643">
        <v>2004</v>
      </c>
      <c r="B1643" t="s">
        <v>31</v>
      </c>
      <c r="C1643">
        <v>14976</v>
      </c>
      <c r="D1643">
        <v>2903.1</v>
      </c>
      <c r="E1643">
        <v>218</v>
      </c>
      <c r="F1643" t="s">
        <v>57</v>
      </c>
      <c r="G1643" t="s">
        <v>21</v>
      </c>
      <c r="H1643">
        <v>114</v>
      </c>
      <c r="I1643">
        <v>56.6</v>
      </c>
      <c r="J1643" t="s">
        <v>15</v>
      </c>
      <c r="K1643">
        <v>216396</v>
      </c>
      <c r="L1643" t="s">
        <v>25</v>
      </c>
    </row>
    <row r="1644" spans="1:12" x14ac:dyDescent="0.3">
      <c r="A1644">
        <v>2004</v>
      </c>
      <c r="B1644" t="s">
        <v>31</v>
      </c>
      <c r="C1644">
        <v>15009</v>
      </c>
      <c r="D1644">
        <v>2903.1</v>
      </c>
      <c r="E1644">
        <v>219</v>
      </c>
      <c r="F1644" t="s">
        <v>57</v>
      </c>
      <c r="G1644" t="s">
        <v>21</v>
      </c>
      <c r="H1644">
        <v>3</v>
      </c>
      <c r="I1644">
        <v>55.5</v>
      </c>
      <c r="J1644" t="s">
        <v>15</v>
      </c>
      <c r="K1644">
        <v>2644</v>
      </c>
      <c r="L1644" t="s">
        <v>25</v>
      </c>
    </row>
    <row r="1645" spans="1:12" x14ac:dyDescent="0.3">
      <c r="A1645">
        <v>2004</v>
      </c>
      <c r="B1645" t="s">
        <v>31</v>
      </c>
      <c r="C1645">
        <v>15114</v>
      </c>
      <c r="D1645">
        <v>2996.6</v>
      </c>
      <c r="E1645">
        <v>220</v>
      </c>
      <c r="F1645" t="s">
        <v>57</v>
      </c>
      <c r="G1645" t="s">
        <v>21</v>
      </c>
      <c r="H1645">
        <v>95</v>
      </c>
      <c r="I1645">
        <v>58.5</v>
      </c>
      <c r="J1645" t="s">
        <v>15</v>
      </c>
      <c r="K1645">
        <v>44235</v>
      </c>
      <c r="L1645" t="s">
        <v>25</v>
      </c>
    </row>
    <row r="1646" spans="1:12" x14ac:dyDescent="0.3">
      <c r="A1646">
        <v>2004</v>
      </c>
      <c r="B1646" t="s">
        <v>53</v>
      </c>
      <c r="C1646">
        <v>16224</v>
      </c>
      <c r="D1646">
        <v>2996.6</v>
      </c>
      <c r="E1646">
        <v>221</v>
      </c>
      <c r="F1646" t="s">
        <v>57</v>
      </c>
      <c r="G1646" t="s">
        <v>21</v>
      </c>
      <c r="H1646">
        <v>19</v>
      </c>
      <c r="I1646">
        <v>59.5</v>
      </c>
      <c r="J1646" t="s">
        <v>15</v>
      </c>
      <c r="K1646">
        <v>203317</v>
      </c>
      <c r="L1646" t="s">
        <v>25</v>
      </c>
    </row>
    <row r="1647" spans="1:12" x14ac:dyDescent="0.3">
      <c r="A1647">
        <v>2004</v>
      </c>
      <c r="B1647" t="s">
        <v>53</v>
      </c>
      <c r="C1647">
        <v>17095</v>
      </c>
      <c r="D1647">
        <v>2996.6</v>
      </c>
      <c r="E1647">
        <v>222</v>
      </c>
      <c r="F1647" t="s">
        <v>57</v>
      </c>
      <c r="G1647" t="s">
        <v>21</v>
      </c>
      <c r="H1647">
        <v>54</v>
      </c>
      <c r="I1647">
        <v>55</v>
      </c>
      <c r="J1647" t="s">
        <v>15</v>
      </c>
      <c r="K1647">
        <v>2134</v>
      </c>
      <c r="L1647" t="s">
        <v>25</v>
      </c>
    </row>
    <row r="1648" spans="1:12" x14ac:dyDescent="0.3">
      <c r="A1648">
        <v>2004</v>
      </c>
      <c r="B1648" t="s">
        <v>53</v>
      </c>
      <c r="C1648">
        <v>17512</v>
      </c>
      <c r="D1648">
        <v>3522.8</v>
      </c>
      <c r="E1648">
        <v>27</v>
      </c>
      <c r="F1648" t="s">
        <v>57</v>
      </c>
      <c r="G1648" t="s">
        <v>21</v>
      </c>
      <c r="H1648">
        <v>13</v>
      </c>
      <c r="I1648">
        <v>53</v>
      </c>
      <c r="J1648" t="s">
        <v>15</v>
      </c>
      <c r="K1648">
        <v>45186</v>
      </c>
      <c r="L1648" t="s">
        <v>25</v>
      </c>
    </row>
    <row r="1649" spans="1:12" x14ac:dyDescent="0.3">
      <c r="A1649">
        <v>2004</v>
      </c>
      <c r="B1649" t="s">
        <v>53</v>
      </c>
      <c r="C1649">
        <v>17587</v>
      </c>
      <c r="D1649">
        <v>3522.8</v>
      </c>
      <c r="E1649">
        <v>27</v>
      </c>
      <c r="F1649" t="s">
        <v>57</v>
      </c>
      <c r="G1649" t="s">
        <v>21</v>
      </c>
      <c r="H1649">
        <v>123</v>
      </c>
      <c r="I1649">
        <v>53.5</v>
      </c>
      <c r="J1649" t="s">
        <v>15</v>
      </c>
      <c r="K1649">
        <v>238542</v>
      </c>
      <c r="L1649" t="s">
        <v>25</v>
      </c>
    </row>
    <row r="1650" spans="1:12" x14ac:dyDescent="0.3">
      <c r="A1650">
        <v>2004</v>
      </c>
      <c r="B1650" t="s">
        <v>53</v>
      </c>
      <c r="C1650">
        <v>17771</v>
      </c>
      <c r="D1650">
        <v>3522.8</v>
      </c>
      <c r="E1650">
        <v>27</v>
      </c>
      <c r="F1650" t="s">
        <v>57</v>
      </c>
      <c r="G1650" t="s">
        <v>21</v>
      </c>
      <c r="H1650">
        <v>19</v>
      </c>
      <c r="I1650">
        <v>52.5</v>
      </c>
      <c r="J1650" t="s">
        <v>15</v>
      </c>
      <c r="K1650">
        <v>1516</v>
      </c>
      <c r="L1650" t="s">
        <v>25</v>
      </c>
    </row>
    <row r="1651" spans="1:12" x14ac:dyDescent="0.3">
      <c r="A1651">
        <v>2004</v>
      </c>
      <c r="B1651" t="s">
        <v>53</v>
      </c>
      <c r="C1651">
        <v>17825</v>
      </c>
      <c r="D1651">
        <v>3729.8</v>
      </c>
      <c r="E1651">
        <v>27</v>
      </c>
      <c r="F1651" t="s">
        <v>57</v>
      </c>
      <c r="G1651" t="s">
        <v>21</v>
      </c>
      <c r="H1651">
        <v>32</v>
      </c>
      <c r="I1651">
        <v>56</v>
      </c>
      <c r="J1651" t="s">
        <v>15</v>
      </c>
      <c r="K1651">
        <v>57259</v>
      </c>
      <c r="L1651" t="s">
        <v>25</v>
      </c>
    </row>
    <row r="1652" spans="1:12" x14ac:dyDescent="0.3">
      <c r="A1652">
        <v>2004</v>
      </c>
      <c r="B1652" t="s">
        <v>53</v>
      </c>
      <c r="C1652">
        <v>3147</v>
      </c>
      <c r="D1652">
        <v>3729.8</v>
      </c>
      <c r="E1652">
        <v>27</v>
      </c>
      <c r="F1652" t="s">
        <v>57</v>
      </c>
      <c r="G1652" t="s">
        <v>21</v>
      </c>
      <c r="H1652">
        <v>8</v>
      </c>
      <c r="I1652">
        <v>57</v>
      </c>
      <c r="J1652" t="s">
        <v>15</v>
      </c>
      <c r="K1652">
        <v>234779</v>
      </c>
      <c r="L1652" t="s">
        <v>25</v>
      </c>
    </row>
    <row r="1653" spans="1:12" x14ac:dyDescent="0.3">
      <c r="A1653">
        <v>2004</v>
      </c>
      <c r="B1653" t="s">
        <v>53</v>
      </c>
      <c r="C1653">
        <v>2578</v>
      </c>
      <c r="D1653">
        <v>3729.8</v>
      </c>
      <c r="E1653">
        <v>27.2</v>
      </c>
      <c r="F1653" t="s">
        <v>57</v>
      </c>
      <c r="G1653" t="s">
        <v>21</v>
      </c>
      <c r="H1653">
        <v>50</v>
      </c>
      <c r="I1653">
        <v>57.5</v>
      </c>
      <c r="J1653" t="s">
        <v>15</v>
      </c>
      <c r="K1653">
        <v>1493</v>
      </c>
      <c r="L1653" t="s">
        <v>25</v>
      </c>
    </row>
    <row r="1654" spans="1:12" x14ac:dyDescent="0.3">
      <c r="A1654">
        <v>2004</v>
      </c>
      <c r="B1654" t="s">
        <v>53</v>
      </c>
      <c r="C1654">
        <v>1591</v>
      </c>
      <c r="D1654">
        <v>2746.2</v>
      </c>
      <c r="E1654">
        <v>27.2</v>
      </c>
      <c r="F1654" t="s">
        <v>57</v>
      </c>
      <c r="G1654" t="s">
        <v>21</v>
      </c>
      <c r="H1654">
        <v>10</v>
      </c>
      <c r="I1654">
        <v>57</v>
      </c>
      <c r="J1654" t="s">
        <v>15</v>
      </c>
      <c r="K1654">
        <v>64409</v>
      </c>
      <c r="L1654" t="s">
        <v>25</v>
      </c>
    </row>
    <row r="1655" spans="1:12" x14ac:dyDescent="0.3">
      <c r="A1655">
        <v>2004</v>
      </c>
      <c r="B1655" t="s">
        <v>53</v>
      </c>
      <c r="C1655">
        <v>1298</v>
      </c>
      <c r="D1655">
        <v>2746.2</v>
      </c>
      <c r="E1655">
        <v>27.2</v>
      </c>
      <c r="F1655" t="s">
        <v>57</v>
      </c>
      <c r="G1655" t="s">
        <v>21</v>
      </c>
      <c r="H1655">
        <v>29</v>
      </c>
      <c r="I1655">
        <v>55</v>
      </c>
      <c r="J1655" t="s">
        <v>15</v>
      </c>
      <c r="K1655">
        <v>249978</v>
      </c>
      <c r="L1655" t="s">
        <v>25</v>
      </c>
    </row>
    <row r="1656" spans="1:12" x14ac:dyDescent="0.3">
      <c r="A1656">
        <v>2004</v>
      </c>
      <c r="B1656" t="s">
        <v>53</v>
      </c>
      <c r="C1656">
        <v>4</v>
      </c>
      <c r="D1656">
        <v>2746.2</v>
      </c>
      <c r="E1656">
        <v>27</v>
      </c>
      <c r="F1656" t="s">
        <v>57</v>
      </c>
      <c r="G1656" t="s">
        <v>21</v>
      </c>
      <c r="H1656">
        <v>44</v>
      </c>
      <c r="I1656">
        <v>56</v>
      </c>
      <c r="J1656" t="s">
        <v>15</v>
      </c>
      <c r="K1656">
        <v>200000</v>
      </c>
      <c r="L1656" t="s">
        <v>25</v>
      </c>
    </row>
    <row r="1657" spans="1:12" x14ac:dyDescent="0.3">
      <c r="A1657">
        <v>2004</v>
      </c>
      <c r="B1657" t="s">
        <v>53</v>
      </c>
      <c r="C1657">
        <v>1122</v>
      </c>
      <c r="D1657">
        <v>3360</v>
      </c>
      <c r="E1657">
        <v>27</v>
      </c>
      <c r="F1657" t="s">
        <v>57</v>
      </c>
      <c r="G1657" t="s">
        <v>21</v>
      </c>
      <c r="H1657">
        <v>33</v>
      </c>
      <c r="I1657">
        <v>54</v>
      </c>
      <c r="J1657" t="s">
        <v>15</v>
      </c>
      <c r="K1657">
        <v>4847</v>
      </c>
      <c r="L1657" t="s">
        <v>25</v>
      </c>
    </row>
    <row r="1658" spans="1:12" x14ac:dyDescent="0.3">
      <c r="A1658">
        <v>2004</v>
      </c>
      <c r="B1658" t="s">
        <v>53</v>
      </c>
      <c r="C1658">
        <v>917</v>
      </c>
      <c r="D1658">
        <v>3360</v>
      </c>
      <c r="E1658">
        <v>27</v>
      </c>
      <c r="F1658" t="s">
        <v>57</v>
      </c>
      <c r="G1658" t="s">
        <v>21</v>
      </c>
      <c r="H1658">
        <v>14</v>
      </c>
      <c r="I1658">
        <v>58</v>
      </c>
      <c r="J1658" t="s">
        <v>15</v>
      </c>
      <c r="K1658">
        <v>51239</v>
      </c>
      <c r="L1658" t="s">
        <v>25</v>
      </c>
    </row>
    <row r="1659" spans="1:12" x14ac:dyDescent="0.3">
      <c r="A1659">
        <v>2004</v>
      </c>
      <c r="B1659" t="s">
        <v>53</v>
      </c>
      <c r="C1659">
        <v>819</v>
      </c>
      <c r="D1659">
        <v>3360</v>
      </c>
      <c r="E1659">
        <v>27</v>
      </c>
      <c r="F1659" t="s">
        <v>57</v>
      </c>
      <c r="G1659" t="s">
        <v>21</v>
      </c>
      <c r="H1659">
        <v>56</v>
      </c>
      <c r="I1659">
        <v>58</v>
      </c>
      <c r="J1659" t="s">
        <v>15</v>
      </c>
      <c r="K1659">
        <v>216396</v>
      </c>
      <c r="L1659" t="s">
        <v>25</v>
      </c>
    </row>
    <row r="1660" spans="1:12" x14ac:dyDescent="0.3">
      <c r="A1660">
        <v>2004</v>
      </c>
      <c r="B1660" t="s">
        <v>53</v>
      </c>
      <c r="C1660">
        <v>619</v>
      </c>
      <c r="D1660">
        <v>3605.4</v>
      </c>
      <c r="E1660">
        <v>27</v>
      </c>
      <c r="F1660" t="s">
        <v>57</v>
      </c>
      <c r="G1660" t="s">
        <v>21</v>
      </c>
      <c r="H1660">
        <v>26</v>
      </c>
      <c r="I1660">
        <v>59</v>
      </c>
      <c r="J1660" t="s">
        <v>15</v>
      </c>
      <c r="K1660">
        <v>2644</v>
      </c>
      <c r="L1660" t="s">
        <v>25</v>
      </c>
    </row>
    <row r="1661" spans="1:12" x14ac:dyDescent="0.3">
      <c r="A1661">
        <v>2004</v>
      </c>
      <c r="B1661" t="s">
        <v>53</v>
      </c>
      <c r="C1661">
        <v>391</v>
      </c>
      <c r="D1661">
        <v>3605.4</v>
      </c>
      <c r="E1661">
        <v>27</v>
      </c>
      <c r="F1661" t="s">
        <v>57</v>
      </c>
      <c r="G1661" t="s">
        <v>21</v>
      </c>
      <c r="H1661">
        <v>98</v>
      </c>
      <c r="I1661">
        <v>50</v>
      </c>
      <c r="J1661" t="s">
        <v>15</v>
      </c>
      <c r="K1661">
        <v>44235</v>
      </c>
      <c r="L1661" t="s">
        <v>25</v>
      </c>
    </row>
    <row r="1662" spans="1:12" x14ac:dyDescent="0.3">
      <c r="A1662">
        <v>2004</v>
      </c>
      <c r="B1662" t="s">
        <v>53</v>
      </c>
      <c r="C1662">
        <v>211</v>
      </c>
      <c r="D1662">
        <v>3605.4</v>
      </c>
      <c r="E1662">
        <v>27.2</v>
      </c>
      <c r="F1662" t="s">
        <v>57</v>
      </c>
      <c r="G1662" t="s">
        <v>21</v>
      </c>
      <c r="H1662">
        <v>3</v>
      </c>
      <c r="I1662">
        <v>54</v>
      </c>
      <c r="J1662" t="s">
        <v>15</v>
      </c>
      <c r="K1662">
        <v>203317</v>
      </c>
      <c r="L1662" t="s">
        <v>25</v>
      </c>
    </row>
    <row r="1663" spans="1:12" x14ac:dyDescent="0.3">
      <c r="A1663">
        <v>2004</v>
      </c>
      <c r="B1663" t="s">
        <v>53</v>
      </c>
      <c r="C1663">
        <v>153</v>
      </c>
      <c r="D1663">
        <v>3512.4</v>
      </c>
      <c r="E1663">
        <v>27.2</v>
      </c>
      <c r="F1663" t="s">
        <v>57</v>
      </c>
      <c r="G1663" t="s">
        <v>21</v>
      </c>
      <c r="H1663">
        <v>58637</v>
      </c>
      <c r="I1663">
        <v>53</v>
      </c>
      <c r="J1663" t="s">
        <v>15</v>
      </c>
      <c r="K1663">
        <v>2134</v>
      </c>
      <c r="L1663" t="s">
        <v>25</v>
      </c>
    </row>
    <row r="1664" spans="1:12" x14ac:dyDescent="0.3">
      <c r="A1664">
        <v>2004</v>
      </c>
      <c r="B1664" t="s">
        <v>53</v>
      </c>
      <c r="C1664">
        <v>111</v>
      </c>
      <c r="D1664">
        <v>3512.4</v>
      </c>
      <c r="E1664">
        <v>27.2</v>
      </c>
      <c r="F1664" t="s">
        <v>57</v>
      </c>
      <c r="G1664" t="s">
        <v>21</v>
      </c>
      <c r="H1664">
        <v>59777</v>
      </c>
      <c r="I1664">
        <v>52</v>
      </c>
      <c r="J1664" t="s">
        <v>15</v>
      </c>
      <c r="K1664">
        <v>45186</v>
      </c>
      <c r="L1664" t="s">
        <v>25</v>
      </c>
    </row>
    <row r="1665" spans="1:12" x14ac:dyDescent="0.3">
      <c r="A1665">
        <v>2004</v>
      </c>
      <c r="B1665" t="s">
        <v>53</v>
      </c>
      <c r="C1665">
        <v>76</v>
      </c>
      <c r="D1665">
        <v>3512.4</v>
      </c>
      <c r="E1665">
        <v>27.1</v>
      </c>
      <c r="F1665" t="s">
        <v>57</v>
      </c>
      <c r="G1665" t="s">
        <v>21</v>
      </c>
      <c r="H1665">
        <v>60528</v>
      </c>
      <c r="I1665">
        <v>51</v>
      </c>
      <c r="J1665" t="s">
        <v>15</v>
      </c>
      <c r="K1665">
        <v>238542</v>
      </c>
      <c r="L1665" t="s">
        <v>25</v>
      </c>
    </row>
    <row r="1666" spans="1:12" x14ac:dyDescent="0.3">
      <c r="A1666">
        <v>2004</v>
      </c>
      <c r="B1666" t="s">
        <v>53</v>
      </c>
      <c r="C1666">
        <v>53</v>
      </c>
      <c r="D1666">
        <v>3296</v>
      </c>
      <c r="E1666">
        <v>27.1</v>
      </c>
      <c r="F1666" t="s">
        <v>57</v>
      </c>
      <c r="G1666" t="s">
        <v>21</v>
      </c>
      <c r="H1666">
        <v>61126</v>
      </c>
      <c r="I1666">
        <v>57</v>
      </c>
      <c r="J1666" t="s">
        <v>15</v>
      </c>
      <c r="K1666">
        <v>1516</v>
      </c>
      <c r="L1666" t="s">
        <v>25</v>
      </c>
    </row>
    <row r="1667" spans="1:12" x14ac:dyDescent="0.3">
      <c r="A1667">
        <v>2004</v>
      </c>
      <c r="B1667" t="s">
        <v>53</v>
      </c>
      <c r="C1667">
        <v>2688</v>
      </c>
      <c r="D1667">
        <v>3296</v>
      </c>
      <c r="E1667">
        <v>27.1</v>
      </c>
      <c r="F1667" t="s">
        <v>57</v>
      </c>
      <c r="G1667" t="s">
        <v>21</v>
      </c>
      <c r="H1667">
        <v>623687</v>
      </c>
      <c r="I1667">
        <v>57</v>
      </c>
      <c r="J1667" t="s">
        <v>15</v>
      </c>
      <c r="K1667">
        <v>57259</v>
      </c>
      <c r="L1667" t="s">
        <v>25</v>
      </c>
    </row>
    <row r="1668" spans="1:12" x14ac:dyDescent="0.3">
      <c r="A1668">
        <v>2004</v>
      </c>
      <c r="B1668" t="s">
        <v>53</v>
      </c>
      <c r="C1668">
        <v>2311</v>
      </c>
      <c r="D1668">
        <v>3296</v>
      </c>
      <c r="E1668">
        <v>26.8</v>
      </c>
      <c r="F1668" t="s">
        <v>57</v>
      </c>
      <c r="G1668" t="s">
        <v>21</v>
      </c>
      <c r="H1668">
        <v>63504</v>
      </c>
      <c r="I1668">
        <v>60</v>
      </c>
      <c r="J1668" t="s">
        <v>15</v>
      </c>
      <c r="K1668">
        <v>234779</v>
      </c>
      <c r="L1668" t="s">
        <v>25</v>
      </c>
    </row>
    <row r="1669" spans="1:12" x14ac:dyDescent="0.3">
      <c r="A1669">
        <v>2004</v>
      </c>
      <c r="B1669" t="s">
        <v>53</v>
      </c>
      <c r="C1669">
        <v>2188</v>
      </c>
      <c r="D1669">
        <v>3550</v>
      </c>
      <c r="E1669">
        <v>26.8</v>
      </c>
      <c r="F1669" t="s">
        <v>57</v>
      </c>
      <c r="G1669" t="s">
        <v>21</v>
      </c>
      <c r="H1669">
        <v>63931</v>
      </c>
      <c r="I1669">
        <v>57</v>
      </c>
      <c r="J1669" t="s">
        <v>15</v>
      </c>
      <c r="K1669">
        <v>1493</v>
      </c>
      <c r="L1669" t="s">
        <v>25</v>
      </c>
    </row>
    <row r="1670" spans="1:12" x14ac:dyDescent="0.3">
      <c r="A1670">
        <v>2004</v>
      </c>
      <c r="B1670" t="s">
        <v>53</v>
      </c>
      <c r="C1670">
        <v>1998</v>
      </c>
      <c r="D1670">
        <v>3550</v>
      </c>
      <c r="E1670">
        <v>26.8</v>
      </c>
      <c r="F1670" t="s">
        <v>57</v>
      </c>
      <c r="G1670" t="s">
        <v>21</v>
      </c>
      <c r="H1670">
        <v>73730</v>
      </c>
      <c r="I1670">
        <v>57</v>
      </c>
      <c r="J1670" t="s">
        <v>15</v>
      </c>
      <c r="K1670">
        <v>64409</v>
      </c>
      <c r="L1670" t="s">
        <v>25</v>
      </c>
    </row>
    <row r="1671" spans="1:12" x14ac:dyDescent="0.3">
      <c r="A1671">
        <v>2004</v>
      </c>
      <c r="B1671" t="s">
        <v>53</v>
      </c>
      <c r="C1671">
        <v>2006</v>
      </c>
      <c r="D1671">
        <v>3550</v>
      </c>
      <c r="E1671">
        <v>37</v>
      </c>
      <c r="F1671" t="s">
        <v>57</v>
      </c>
      <c r="G1671" t="s">
        <v>21</v>
      </c>
      <c r="H1671">
        <v>118416</v>
      </c>
      <c r="I1671">
        <v>54</v>
      </c>
      <c r="J1671" t="s">
        <v>15</v>
      </c>
      <c r="K1671">
        <v>249978</v>
      </c>
      <c r="L1671" t="s">
        <v>25</v>
      </c>
    </row>
    <row r="1672" spans="1:12" x14ac:dyDescent="0.3">
      <c r="A1672">
        <v>2004</v>
      </c>
      <c r="B1672" t="s">
        <v>53</v>
      </c>
      <c r="C1672">
        <v>2034</v>
      </c>
      <c r="D1672">
        <v>3654</v>
      </c>
      <c r="E1672">
        <v>37</v>
      </c>
      <c r="F1672" t="s">
        <v>57</v>
      </c>
      <c r="G1672" t="s">
        <v>21</v>
      </c>
      <c r="H1672">
        <v>130132</v>
      </c>
      <c r="I1672">
        <v>54.5</v>
      </c>
      <c r="J1672" t="s">
        <v>15</v>
      </c>
      <c r="K1672">
        <v>637</v>
      </c>
      <c r="L1672" t="s">
        <v>25</v>
      </c>
    </row>
    <row r="1673" spans="1:12" x14ac:dyDescent="0.3">
      <c r="A1673">
        <v>2004</v>
      </c>
      <c r="B1673" t="s">
        <v>53</v>
      </c>
      <c r="C1673">
        <v>2035</v>
      </c>
      <c r="D1673">
        <v>3654</v>
      </c>
      <c r="E1673">
        <v>37</v>
      </c>
      <c r="F1673" t="s">
        <v>57</v>
      </c>
      <c r="G1673" t="s">
        <v>21</v>
      </c>
      <c r="H1673">
        <v>154889</v>
      </c>
      <c r="I1673">
        <v>56.6</v>
      </c>
      <c r="J1673" t="s">
        <v>15</v>
      </c>
      <c r="K1673">
        <v>43311</v>
      </c>
      <c r="L1673" t="s">
        <v>25</v>
      </c>
    </row>
    <row r="1674" spans="1:12" x14ac:dyDescent="0.3">
      <c r="A1674">
        <v>2004</v>
      </c>
      <c r="B1674" t="s">
        <v>53</v>
      </c>
      <c r="C1674">
        <v>2074</v>
      </c>
      <c r="D1674">
        <v>3654</v>
      </c>
      <c r="E1674">
        <v>38</v>
      </c>
      <c r="F1674" t="s">
        <v>57</v>
      </c>
      <c r="G1674" t="s">
        <v>21</v>
      </c>
      <c r="H1674">
        <v>171739</v>
      </c>
      <c r="I1674">
        <v>55.5</v>
      </c>
      <c r="J1674" t="s">
        <v>15</v>
      </c>
      <c r="K1674">
        <v>24848</v>
      </c>
      <c r="L1674" t="s">
        <v>25</v>
      </c>
    </row>
    <row r="1675" spans="1:12" x14ac:dyDescent="0.3">
      <c r="A1675">
        <v>2004</v>
      </c>
      <c r="B1675" t="s">
        <v>53</v>
      </c>
      <c r="C1675">
        <v>2127</v>
      </c>
      <c r="D1675">
        <v>233</v>
      </c>
      <c r="E1675">
        <v>38</v>
      </c>
      <c r="F1675" t="s">
        <v>57</v>
      </c>
      <c r="G1675" t="s">
        <v>21</v>
      </c>
      <c r="H1675">
        <v>172475</v>
      </c>
      <c r="I1675">
        <v>58.5</v>
      </c>
      <c r="J1675" t="s">
        <v>15</v>
      </c>
      <c r="K1675">
        <v>761</v>
      </c>
      <c r="L1675" t="s">
        <v>25</v>
      </c>
    </row>
    <row r="1676" spans="1:12" x14ac:dyDescent="0.3">
      <c r="A1676">
        <v>2004</v>
      </c>
      <c r="B1676" t="s">
        <v>53</v>
      </c>
      <c r="C1676">
        <v>2090</v>
      </c>
      <c r="D1676">
        <v>233</v>
      </c>
      <c r="E1676">
        <v>38</v>
      </c>
      <c r="F1676" t="s">
        <v>57</v>
      </c>
      <c r="G1676" t="s">
        <v>21</v>
      </c>
      <c r="H1676">
        <v>177939</v>
      </c>
      <c r="I1676">
        <v>59.5</v>
      </c>
      <c r="J1676" t="s">
        <v>15</v>
      </c>
      <c r="K1676">
        <v>45608</v>
      </c>
      <c r="L1676" t="s">
        <v>25</v>
      </c>
    </row>
    <row r="1677" spans="1:12" x14ac:dyDescent="0.3">
      <c r="A1677">
        <v>2004</v>
      </c>
      <c r="B1677" t="s">
        <v>53</v>
      </c>
      <c r="C1677">
        <v>2059</v>
      </c>
      <c r="D1677">
        <v>233</v>
      </c>
      <c r="E1677">
        <v>39</v>
      </c>
      <c r="F1677" t="s">
        <v>57</v>
      </c>
      <c r="G1677" t="s">
        <v>21</v>
      </c>
      <c r="H1677">
        <v>313547</v>
      </c>
      <c r="I1677">
        <v>55</v>
      </c>
      <c r="J1677" t="s">
        <v>15</v>
      </c>
      <c r="K1677">
        <v>234581</v>
      </c>
      <c r="L1677" t="s">
        <v>25</v>
      </c>
    </row>
    <row r="1678" spans="1:12" x14ac:dyDescent="0.3">
      <c r="A1678">
        <v>2004</v>
      </c>
      <c r="B1678" t="s">
        <v>53</v>
      </c>
      <c r="C1678">
        <v>2050</v>
      </c>
      <c r="D1678">
        <v>2903.1</v>
      </c>
      <c r="E1678">
        <v>39</v>
      </c>
      <c r="F1678" t="s">
        <v>57</v>
      </c>
      <c r="G1678" t="s">
        <v>21</v>
      </c>
      <c r="H1678">
        <v>2783</v>
      </c>
      <c r="I1678">
        <v>53</v>
      </c>
      <c r="J1678" t="s">
        <v>15</v>
      </c>
      <c r="K1678">
        <v>646</v>
      </c>
      <c r="L1678" t="s">
        <v>25</v>
      </c>
    </row>
    <row r="1679" spans="1:12" x14ac:dyDescent="0.3">
      <c r="A1679">
        <v>2004</v>
      </c>
      <c r="B1679" t="s">
        <v>53</v>
      </c>
      <c r="C1679">
        <v>1865</v>
      </c>
      <c r="D1679">
        <v>2903.1</v>
      </c>
      <c r="E1679">
        <v>39</v>
      </c>
      <c r="F1679" t="s">
        <v>57</v>
      </c>
      <c r="G1679" t="s">
        <v>26</v>
      </c>
      <c r="H1679">
        <v>1533</v>
      </c>
      <c r="I1679">
        <v>53.5</v>
      </c>
      <c r="J1679" t="s">
        <v>15</v>
      </c>
      <c r="K1679">
        <v>43562</v>
      </c>
      <c r="L1679" t="s">
        <v>25</v>
      </c>
    </row>
    <row r="1680" spans="1:12" x14ac:dyDescent="0.3">
      <c r="A1680">
        <v>2004</v>
      </c>
      <c r="B1680" t="s">
        <v>53</v>
      </c>
      <c r="C1680">
        <v>1841</v>
      </c>
      <c r="D1680">
        <v>2903.1</v>
      </c>
      <c r="E1680">
        <v>40</v>
      </c>
      <c r="F1680" t="s">
        <v>57</v>
      </c>
      <c r="G1680" t="s">
        <v>26</v>
      </c>
      <c r="H1680">
        <v>1647</v>
      </c>
      <c r="I1680">
        <v>52.5</v>
      </c>
      <c r="J1680" t="s">
        <v>15</v>
      </c>
      <c r="K1680">
        <v>200000</v>
      </c>
      <c r="L1680" t="s">
        <v>25</v>
      </c>
    </row>
    <row r="1681" spans="1:12" x14ac:dyDescent="0.3">
      <c r="A1681">
        <v>2004</v>
      </c>
      <c r="B1681" t="s">
        <v>53</v>
      </c>
      <c r="C1681">
        <v>1799</v>
      </c>
      <c r="D1681">
        <v>2996.6</v>
      </c>
      <c r="E1681">
        <v>40</v>
      </c>
      <c r="F1681" t="s">
        <v>57</v>
      </c>
      <c r="G1681" t="s">
        <v>26</v>
      </c>
      <c r="H1681">
        <v>975</v>
      </c>
      <c r="I1681">
        <v>56</v>
      </c>
      <c r="J1681" t="s">
        <v>15</v>
      </c>
      <c r="K1681">
        <v>4847</v>
      </c>
      <c r="L1681" t="s">
        <v>25</v>
      </c>
    </row>
    <row r="1682" spans="1:12" x14ac:dyDescent="0.3">
      <c r="A1682">
        <v>2004</v>
      </c>
      <c r="B1682" t="s">
        <v>53</v>
      </c>
      <c r="C1682">
        <v>1468</v>
      </c>
      <c r="D1682">
        <v>2996.6</v>
      </c>
      <c r="E1682">
        <v>40</v>
      </c>
      <c r="F1682" t="s">
        <v>57</v>
      </c>
      <c r="G1682" t="s">
        <v>26</v>
      </c>
      <c r="H1682">
        <v>2</v>
      </c>
      <c r="I1682">
        <v>57</v>
      </c>
      <c r="J1682" t="s">
        <v>15</v>
      </c>
      <c r="K1682">
        <v>51239</v>
      </c>
      <c r="L1682" t="s">
        <v>25</v>
      </c>
    </row>
    <row r="1683" spans="1:12" x14ac:dyDescent="0.3">
      <c r="A1683">
        <v>2004</v>
      </c>
      <c r="B1683" t="s">
        <v>53</v>
      </c>
      <c r="C1683">
        <v>568</v>
      </c>
      <c r="D1683">
        <v>2996.6</v>
      </c>
      <c r="E1683">
        <v>41</v>
      </c>
      <c r="F1683" t="s">
        <v>57</v>
      </c>
      <c r="G1683" t="s">
        <v>26</v>
      </c>
      <c r="H1683">
        <v>836</v>
      </c>
      <c r="I1683">
        <v>57.5</v>
      </c>
      <c r="J1683" t="s">
        <v>15</v>
      </c>
      <c r="K1683">
        <v>216396</v>
      </c>
      <c r="L1683" t="s">
        <v>25</v>
      </c>
    </row>
    <row r="1684" spans="1:12" x14ac:dyDescent="0.3">
      <c r="A1684">
        <v>2004</v>
      </c>
      <c r="B1684" t="s">
        <v>53</v>
      </c>
      <c r="C1684">
        <v>407</v>
      </c>
      <c r="D1684">
        <v>3522.8</v>
      </c>
      <c r="E1684">
        <v>41</v>
      </c>
      <c r="F1684" t="s">
        <v>57</v>
      </c>
      <c r="G1684" t="s">
        <v>26</v>
      </c>
      <c r="H1684">
        <v>806</v>
      </c>
      <c r="I1684">
        <v>57</v>
      </c>
      <c r="J1684" t="s">
        <v>15</v>
      </c>
      <c r="K1684">
        <v>2644</v>
      </c>
      <c r="L1684" t="s">
        <v>25</v>
      </c>
    </row>
    <row r="1685" spans="1:12" x14ac:dyDescent="0.3">
      <c r="A1685">
        <v>2004</v>
      </c>
      <c r="B1685" t="s">
        <v>53</v>
      </c>
      <c r="C1685">
        <v>177</v>
      </c>
      <c r="D1685">
        <v>3522.8</v>
      </c>
      <c r="E1685">
        <v>41</v>
      </c>
      <c r="F1685" t="s">
        <v>57</v>
      </c>
      <c r="G1685" t="s">
        <v>26</v>
      </c>
      <c r="H1685">
        <v>880</v>
      </c>
      <c r="I1685">
        <v>55</v>
      </c>
      <c r="J1685" t="s">
        <v>15</v>
      </c>
      <c r="K1685">
        <v>44235</v>
      </c>
      <c r="L1685" t="s">
        <v>25</v>
      </c>
    </row>
    <row r="1686" spans="1:12" x14ac:dyDescent="0.3">
      <c r="A1686">
        <v>2004</v>
      </c>
      <c r="B1686" t="s">
        <v>53</v>
      </c>
      <c r="C1686">
        <v>51</v>
      </c>
      <c r="D1686">
        <v>3522.8</v>
      </c>
      <c r="E1686">
        <v>42</v>
      </c>
      <c r="F1686" t="s">
        <v>57</v>
      </c>
      <c r="G1686" t="s">
        <v>26</v>
      </c>
      <c r="H1686">
        <v>770</v>
      </c>
      <c r="I1686">
        <v>56</v>
      </c>
      <c r="J1686" t="s">
        <v>15</v>
      </c>
      <c r="K1686">
        <v>203317</v>
      </c>
      <c r="L1686" t="s">
        <v>25</v>
      </c>
    </row>
    <row r="1687" spans="1:12" x14ac:dyDescent="0.3">
      <c r="A1687">
        <v>2004</v>
      </c>
      <c r="B1687" t="s">
        <v>53</v>
      </c>
      <c r="C1687">
        <v>173</v>
      </c>
      <c r="D1687">
        <v>3729.8</v>
      </c>
      <c r="E1687">
        <v>42</v>
      </c>
      <c r="F1687" t="s">
        <v>57</v>
      </c>
      <c r="G1687" t="s">
        <v>26</v>
      </c>
      <c r="H1687">
        <v>395</v>
      </c>
      <c r="I1687">
        <v>54</v>
      </c>
      <c r="J1687" t="s">
        <v>15</v>
      </c>
      <c r="K1687">
        <v>2134</v>
      </c>
      <c r="L1687" t="s">
        <v>25</v>
      </c>
    </row>
    <row r="1688" spans="1:12" x14ac:dyDescent="0.3">
      <c r="A1688">
        <v>2004</v>
      </c>
      <c r="B1688" t="s">
        <v>53</v>
      </c>
      <c r="C1688">
        <v>201</v>
      </c>
      <c r="D1688">
        <v>3729.8</v>
      </c>
      <c r="E1688">
        <v>42</v>
      </c>
      <c r="F1688" t="s">
        <v>57</v>
      </c>
      <c r="G1688" t="s">
        <v>26</v>
      </c>
      <c r="H1688">
        <v>187</v>
      </c>
      <c r="I1688">
        <v>58</v>
      </c>
      <c r="J1688" t="s">
        <v>15</v>
      </c>
      <c r="K1688">
        <v>45186</v>
      </c>
      <c r="L1688" t="s">
        <v>25</v>
      </c>
    </row>
    <row r="1689" spans="1:12" x14ac:dyDescent="0.3">
      <c r="A1689">
        <v>2004</v>
      </c>
      <c r="B1689" t="s">
        <v>53</v>
      </c>
      <c r="C1689">
        <v>206</v>
      </c>
      <c r="D1689">
        <v>3729.8</v>
      </c>
      <c r="E1689">
        <v>43</v>
      </c>
      <c r="F1689" t="s">
        <v>57</v>
      </c>
      <c r="G1689" t="s">
        <v>26</v>
      </c>
      <c r="H1689">
        <v>187</v>
      </c>
      <c r="I1689">
        <v>58</v>
      </c>
      <c r="J1689" t="s">
        <v>15</v>
      </c>
      <c r="K1689">
        <v>238542</v>
      </c>
      <c r="L1689" t="s">
        <v>25</v>
      </c>
    </row>
    <row r="1690" spans="1:12" x14ac:dyDescent="0.3">
      <c r="A1690">
        <v>2004</v>
      </c>
      <c r="B1690" t="s">
        <v>53</v>
      </c>
      <c r="C1690">
        <v>243</v>
      </c>
      <c r="D1690">
        <v>2746.2</v>
      </c>
      <c r="E1690">
        <v>43</v>
      </c>
      <c r="F1690" t="s">
        <v>57</v>
      </c>
      <c r="G1690" t="s">
        <v>26</v>
      </c>
      <c r="H1690">
        <v>121</v>
      </c>
      <c r="I1690">
        <v>59</v>
      </c>
      <c r="J1690" t="s">
        <v>15</v>
      </c>
      <c r="K1690">
        <v>1516</v>
      </c>
      <c r="L1690" t="s">
        <v>25</v>
      </c>
    </row>
    <row r="1691" spans="1:12" x14ac:dyDescent="0.3">
      <c r="A1691">
        <v>2004</v>
      </c>
      <c r="B1691" t="s">
        <v>53</v>
      </c>
      <c r="C1691">
        <v>123</v>
      </c>
      <c r="D1691">
        <v>2746.2</v>
      </c>
      <c r="E1691">
        <v>27</v>
      </c>
      <c r="F1691" t="s">
        <v>57</v>
      </c>
      <c r="G1691" t="s">
        <v>26</v>
      </c>
      <c r="H1691">
        <v>103</v>
      </c>
      <c r="I1691">
        <v>50</v>
      </c>
      <c r="J1691" t="s">
        <v>15</v>
      </c>
      <c r="K1691">
        <v>57259</v>
      </c>
      <c r="L1691" t="s">
        <v>25</v>
      </c>
    </row>
    <row r="1692" spans="1:12" x14ac:dyDescent="0.3">
      <c r="A1692">
        <v>2004</v>
      </c>
      <c r="B1692" t="s">
        <v>53</v>
      </c>
      <c r="C1692">
        <v>82</v>
      </c>
      <c r="D1692">
        <v>2746.2</v>
      </c>
      <c r="E1692">
        <v>27</v>
      </c>
      <c r="F1692" t="s">
        <v>57</v>
      </c>
      <c r="G1692" t="s">
        <v>26</v>
      </c>
      <c r="H1692">
        <v>71</v>
      </c>
      <c r="I1692">
        <v>54</v>
      </c>
      <c r="J1692" t="s">
        <v>15</v>
      </c>
      <c r="K1692">
        <v>234779</v>
      </c>
      <c r="L1692" t="s">
        <v>25</v>
      </c>
    </row>
    <row r="1693" spans="1:12" x14ac:dyDescent="0.3">
      <c r="A1693">
        <v>2004</v>
      </c>
      <c r="B1693" t="s">
        <v>53</v>
      </c>
      <c r="C1693">
        <v>74</v>
      </c>
      <c r="D1693">
        <v>3360</v>
      </c>
      <c r="E1693">
        <v>27</v>
      </c>
      <c r="F1693" t="s">
        <v>57</v>
      </c>
      <c r="G1693" t="s">
        <v>26</v>
      </c>
      <c r="H1693">
        <v>3961</v>
      </c>
      <c r="I1693">
        <v>53</v>
      </c>
      <c r="J1693" t="s">
        <v>15</v>
      </c>
      <c r="K1693">
        <v>1493</v>
      </c>
      <c r="L1693" t="s">
        <v>25</v>
      </c>
    </row>
    <row r="1694" spans="1:12" x14ac:dyDescent="0.3">
      <c r="A1694">
        <v>2004</v>
      </c>
      <c r="B1694" t="s">
        <v>53</v>
      </c>
      <c r="C1694">
        <v>18</v>
      </c>
      <c r="D1694">
        <v>3360</v>
      </c>
      <c r="E1694">
        <v>27</v>
      </c>
      <c r="F1694" t="s">
        <v>57</v>
      </c>
      <c r="G1694" t="s">
        <v>26</v>
      </c>
      <c r="H1694">
        <v>4247</v>
      </c>
      <c r="I1694">
        <v>52</v>
      </c>
      <c r="J1694" t="s">
        <v>15</v>
      </c>
      <c r="K1694">
        <v>64409</v>
      </c>
      <c r="L1694" t="s">
        <v>25</v>
      </c>
    </row>
    <row r="1695" spans="1:12" x14ac:dyDescent="0.3">
      <c r="A1695">
        <v>2004</v>
      </c>
      <c r="B1695" t="s">
        <v>53</v>
      </c>
      <c r="C1695">
        <v>37</v>
      </c>
      <c r="D1695">
        <v>3360</v>
      </c>
      <c r="E1695">
        <v>27</v>
      </c>
      <c r="F1695" t="s">
        <v>57</v>
      </c>
      <c r="G1695" t="s">
        <v>26</v>
      </c>
      <c r="H1695">
        <v>3290</v>
      </c>
      <c r="I1695">
        <v>51</v>
      </c>
      <c r="J1695" t="s">
        <v>15</v>
      </c>
      <c r="K1695">
        <v>249978</v>
      </c>
      <c r="L1695" t="s">
        <v>25</v>
      </c>
    </row>
    <row r="1696" spans="1:12" x14ac:dyDescent="0.3">
      <c r="A1696">
        <v>2004</v>
      </c>
      <c r="B1696" t="s">
        <v>53</v>
      </c>
      <c r="C1696">
        <v>35</v>
      </c>
      <c r="D1696">
        <v>3605.4</v>
      </c>
      <c r="E1696">
        <v>27</v>
      </c>
      <c r="F1696" t="s">
        <v>57</v>
      </c>
      <c r="G1696" t="s">
        <v>26</v>
      </c>
      <c r="H1696">
        <v>3138</v>
      </c>
      <c r="I1696">
        <v>57</v>
      </c>
      <c r="J1696" t="s">
        <v>15</v>
      </c>
      <c r="K1696">
        <v>637</v>
      </c>
      <c r="L1696" t="s">
        <v>25</v>
      </c>
    </row>
    <row r="1697" spans="1:12" x14ac:dyDescent="0.3">
      <c r="A1697">
        <v>2004</v>
      </c>
      <c r="B1697" t="s">
        <v>53</v>
      </c>
      <c r="C1697">
        <v>5974</v>
      </c>
      <c r="D1697">
        <v>3605.4</v>
      </c>
      <c r="E1697">
        <v>27.2</v>
      </c>
      <c r="F1697" t="s">
        <v>57</v>
      </c>
      <c r="G1697" t="s">
        <v>26</v>
      </c>
      <c r="H1697">
        <v>3423</v>
      </c>
      <c r="I1697">
        <v>57</v>
      </c>
      <c r="J1697" t="s">
        <v>15</v>
      </c>
      <c r="K1697">
        <v>43311</v>
      </c>
      <c r="L1697" t="s">
        <v>25</v>
      </c>
    </row>
    <row r="1698" spans="1:12" x14ac:dyDescent="0.3">
      <c r="A1698">
        <v>2004</v>
      </c>
      <c r="B1698" t="s">
        <v>53</v>
      </c>
      <c r="C1698">
        <v>6631</v>
      </c>
      <c r="D1698">
        <v>3605.4</v>
      </c>
      <c r="E1698">
        <v>27.2</v>
      </c>
      <c r="F1698" t="s">
        <v>57</v>
      </c>
      <c r="G1698" t="s">
        <v>26</v>
      </c>
      <c r="H1698">
        <v>3899</v>
      </c>
      <c r="I1698">
        <v>60</v>
      </c>
      <c r="J1698" t="s">
        <v>15</v>
      </c>
      <c r="K1698">
        <v>24848</v>
      </c>
      <c r="L1698" t="s">
        <v>25</v>
      </c>
    </row>
    <row r="1699" spans="1:12" x14ac:dyDescent="0.3">
      <c r="A1699">
        <v>2004</v>
      </c>
      <c r="B1699" t="s">
        <v>53</v>
      </c>
      <c r="C1699">
        <v>6705</v>
      </c>
      <c r="D1699">
        <v>3512.4</v>
      </c>
      <c r="E1699">
        <v>27.2</v>
      </c>
      <c r="F1699" t="s">
        <v>57</v>
      </c>
      <c r="G1699" t="s">
        <v>26</v>
      </c>
      <c r="H1699">
        <v>4015</v>
      </c>
      <c r="I1699">
        <v>57</v>
      </c>
      <c r="J1699" t="s">
        <v>15</v>
      </c>
      <c r="K1699">
        <v>761</v>
      </c>
      <c r="L1699" t="s">
        <v>25</v>
      </c>
    </row>
    <row r="1700" spans="1:12" x14ac:dyDescent="0.3">
      <c r="A1700">
        <v>2004</v>
      </c>
      <c r="B1700" t="s">
        <v>53</v>
      </c>
      <c r="C1700">
        <v>5876</v>
      </c>
      <c r="D1700">
        <v>3512.4</v>
      </c>
      <c r="E1700">
        <v>27</v>
      </c>
      <c r="F1700" t="s">
        <v>57</v>
      </c>
      <c r="G1700" t="s">
        <v>26</v>
      </c>
      <c r="H1700">
        <v>4279</v>
      </c>
      <c r="I1700">
        <v>57</v>
      </c>
      <c r="J1700" t="s">
        <v>15</v>
      </c>
      <c r="K1700">
        <v>45608</v>
      </c>
      <c r="L1700" t="s">
        <v>25</v>
      </c>
    </row>
    <row r="1701" spans="1:12" x14ac:dyDescent="0.3">
      <c r="A1701">
        <v>2004</v>
      </c>
      <c r="B1701" t="s">
        <v>53</v>
      </c>
      <c r="C1701">
        <v>326</v>
      </c>
      <c r="D1701">
        <v>3512.4</v>
      </c>
      <c r="E1701">
        <v>27</v>
      </c>
      <c r="F1701" t="s">
        <v>57</v>
      </c>
      <c r="G1701" t="s">
        <v>26</v>
      </c>
      <c r="H1701">
        <v>4167</v>
      </c>
      <c r="I1701">
        <v>54</v>
      </c>
      <c r="J1701" t="s">
        <v>15</v>
      </c>
      <c r="K1701">
        <v>234581</v>
      </c>
      <c r="L1701" t="s">
        <v>25</v>
      </c>
    </row>
    <row r="1702" spans="1:12" x14ac:dyDescent="0.3">
      <c r="A1702">
        <v>2004</v>
      </c>
      <c r="B1702" t="s">
        <v>53</v>
      </c>
      <c r="C1702">
        <v>6470</v>
      </c>
      <c r="D1702">
        <v>3296</v>
      </c>
      <c r="E1702">
        <v>27</v>
      </c>
      <c r="F1702" t="s">
        <v>45</v>
      </c>
      <c r="G1702" t="s">
        <v>26</v>
      </c>
      <c r="H1702">
        <v>4479</v>
      </c>
      <c r="I1702">
        <v>54.5</v>
      </c>
      <c r="J1702" t="s">
        <v>15</v>
      </c>
      <c r="K1702">
        <v>646</v>
      </c>
      <c r="L1702" t="s">
        <v>25</v>
      </c>
    </row>
    <row r="1703" spans="1:12" x14ac:dyDescent="0.3">
      <c r="A1703">
        <v>2004</v>
      </c>
      <c r="B1703" t="s">
        <v>53</v>
      </c>
      <c r="C1703">
        <v>6709</v>
      </c>
      <c r="D1703">
        <v>3296</v>
      </c>
      <c r="E1703">
        <v>27</v>
      </c>
      <c r="F1703" t="s">
        <v>45</v>
      </c>
      <c r="G1703" t="s">
        <v>26</v>
      </c>
      <c r="H1703">
        <v>3699</v>
      </c>
      <c r="I1703">
        <v>56.6</v>
      </c>
      <c r="J1703" t="s">
        <v>15</v>
      </c>
      <c r="K1703">
        <v>43562</v>
      </c>
      <c r="L1703" t="s">
        <v>25</v>
      </c>
    </row>
    <row r="1704" spans="1:12" x14ac:dyDescent="0.3">
      <c r="A1704">
        <v>2004</v>
      </c>
      <c r="B1704" t="s">
        <v>53</v>
      </c>
      <c r="C1704">
        <v>6186</v>
      </c>
      <c r="D1704">
        <v>3296</v>
      </c>
      <c r="E1704">
        <v>27</v>
      </c>
      <c r="F1704" t="s">
        <v>45</v>
      </c>
      <c r="G1704" t="s">
        <v>26</v>
      </c>
      <c r="H1704">
        <v>4904</v>
      </c>
      <c r="I1704">
        <v>55.5</v>
      </c>
      <c r="J1704" t="s">
        <v>15</v>
      </c>
      <c r="K1704">
        <v>200000</v>
      </c>
      <c r="L1704" t="s">
        <v>25</v>
      </c>
    </row>
    <row r="1705" spans="1:12" x14ac:dyDescent="0.3">
      <c r="A1705">
        <v>2004</v>
      </c>
      <c r="B1705" t="s">
        <v>53</v>
      </c>
      <c r="C1705">
        <v>6503</v>
      </c>
      <c r="D1705">
        <v>3550</v>
      </c>
      <c r="E1705">
        <v>27</v>
      </c>
      <c r="F1705" t="s">
        <v>45</v>
      </c>
      <c r="G1705" t="s">
        <v>26</v>
      </c>
      <c r="H1705">
        <v>2821</v>
      </c>
      <c r="I1705">
        <v>58.5</v>
      </c>
      <c r="J1705" t="s">
        <v>15</v>
      </c>
      <c r="K1705">
        <v>4847</v>
      </c>
      <c r="L1705" t="s">
        <v>25</v>
      </c>
    </row>
    <row r="1706" spans="1:12" x14ac:dyDescent="0.3">
      <c r="A1706">
        <v>2004</v>
      </c>
      <c r="B1706" t="s">
        <v>53</v>
      </c>
      <c r="C1706">
        <v>5220</v>
      </c>
      <c r="D1706">
        <v>3550</v>
      </c>
      <c r="E1706">
        <v>27.2</v>
      </c>
      <c r="F1706" t="s">
        <v>45</v>
      </c>
      <c r="G1706" t="s">
        <v>26</v>
      </c>
      <c r="H1706">
        <v>3472</v>
      </c>
      <c r="I1706">
        <v>59.5</v>
      </c>
      <c r="J1706" t="s">
        <v>15</v>
      </c>
      <c r="K1706">
        <v>51239</v>
      </c>
      <c r="L1706" t="s">
        <v>25</v>
      </c>
    </row>
    <row r="1707" spans="1:12" x14ac:dyDescent="0.3">
      <c r="A1707">
        <v>2004</v>
      </c>
      <c r="B1707" t="s">
        <v>53</v>
      </c>
      <c r="C1707">
        <v>4677</v>
      </c>
      <c r="D1707">
        <v>3550</v>
      </c>
      <c r="E1707">
        <v>27.2</v>
      </c>
      <c r="F1707" t="s">
        <v>45</v>
      </c>
      <c r="G1707" t="s">
        <v>26</v>
      </c>
      <c r="H1707">
        <v>3647</v>
      </c>
      <c r="I1707">
        <v>55</v>
      </c>
      <c r="J1707" t="s">
        <v>15</v>
      </c>
      <c r="K1707">
        <v>216396</v>
      </c>
      <c r="L1707" t="s">
        <v>25</v>
      </c>
    </row>
    <row r="1708" spans="1:12" x14ac:dyDescent="0.3">
      <c r="A1708">
        <v>2004</v>
      </c>
      <c r="B1708" t="s">
        <v>53</v>
      </c>
      <c r="C1708">
        <v>1279</v>
      </c>
      <c r="D1708">
        <v>3654</v>
      </c>
      <c r="E1708">
        <v>27.2</v>
      </c>
      <c r="F1708" t="s">
        <v>45</v>
      </c>
      <c r="G1708" t="s">
        <v>26</v>
      </c>
      <c r="H1708">
        <v>393</v>
      </c>
      <c r="I1708">
        <v>53</v>
      </c>
      <c r="J1708" t="s">
        <v>15</v>
      </c>
      <c r="K1708">
        <v>2644</v>
      </c>
      <c r="L1708" t="s">
        <v>25</v>
      </c>
    </row>
    <row r="1709" spans="1:12" x14ac:dyDescent="0.3">
      <c r="A1709">
        <v>2004</v>
      </c>
      <c r="B1709" t="s">
        <v>53</v>
      </c>
      <c r="C1709">
        <v>13283</v>
      </c>
      <c r="D1709">
        <v>3654</v>
      </c>
      <c r="E1709">
        <v>27.1</v>
      </c>
      <c r="F1709" t="s">
        <v>45</v>
      </c>
      <c r="G1709" t="s">
        <v>26</v>
      </c>
      <c r="H1709">
        <v>167</v>
      </c>
      <c r="I1709">
        <v>53.5</v>
      </c>
      <c r="J1709" t="s">
        <v>15</v>
      </c>
      <c r="K1709">
        <v>44235</v>
      </c>
      <c r="L1709" t="s">
        <v>25</v>
      </c>
    </row>
    <row r="1710" spans="1:12" x14ac:dyDescent="0.3">
      <c r="A1710">
        <v>2004</v>
      </c>
      <c r="B1710" t="s">
        <v>53</v>
      </c>
      <c r="C1710">
        <v>52119</v>
      </c>
      <c r="D1710">
        <v>3654</v>
      </c>
      <c r="E1710">
        <v>27.1</v>
      </c>
      <c r="F1710" t="s">
        <v>45</v>
      </c>
      <c r="G1710" t="s">
        <v>26</v>
      </c>
      <c r="H1710">
        <v>71</v>
      </c>
      <c r="I1710">
        <v>52.5</v>
      </c>
      <c r="J1710" t="s">
        <v>15</v>
      </c>
      <c r="K1710">
        <v>203317</v>
      </c>
      <c r="L1710" t="s">
        <v>25</v>
      </c>
    </row>
    <row r="1711" spans="1:12" x14ac:dyDescent="0.3">
      <c r="A1711">
        <v>2013</v>
      </c>
      <c r="B1711" t="s">
        <v>53</v>
      </c>
      <c r="C1711">
        <v>725</v>
      </c>
      <c r="D1711">
        <v>233</v>
      </c>
      <c r="E1711">
        <v>27.1</v>
      </c>
      <c r="F1711" t="s">
        <v>45</v>
      </c>
      <c r="G1711" t="s">
        <v>26</v>
      </c>
      <c r="H1711">
        <v>52</v>
      </c>
      <c r="I1711">
        <v>56</v>
      </c>
      <c r="J1711" t="s">
        <v>15</v>
      </c>
      <c r="K1711">
        <v>2134</v>
      </c>
      <c r="L1711" t="s">
        <v>25</v>
      </c>
    </row>
    <row r="1712" spans="1:12" x14ac:dyDescent="0.3">
      <c r="A1712">
        <v>2014</v>
      </c>
      <c r="B1712" t="s">
        <v>53</v>
      </c>
      <c r="C1712">
        <v>12885</v>
      </c>
      <c r="D1712">
        <v>233</v>
      </c>
      <c r="E1712">
        <v>26.8</v>
      </c>
      <c r="F1712" t="s">
        <v>45</v>
      </c>
      <c r="G1712" t="s">
        <v>26</v>
      </c>
      <c r="H1712">
        <v>12</v>
      </c>
      <c r="I1712">
        <v>57</v>
      </c>
      <c r="J1712" t="s">
        <v>15</v>
      </c>
      <c r="K1712">
        <v>45186</v>
      </c>
      <c r="L1712" t="s">
        <v>25</v>
      </c>
    </row>
    <row r="1713" spans="1:12" x14ac:dyDescent="0.3">
      <c r="A1713">
        <v>2015</v>
      </c>
      <c r="B1713" t="s">
        <v>53</v>
      </c>
      <c r="C1713">
        <v>51179</v>
      </c>
      <c r="D1713">
        <v>233</v>
      </c>
      <c r="E1713">
        <v>26.8</v>
      </c>
      <c r="F1713" t="s">
        <v>45</v>
      </c>
      <c r="G1713" t="s">
        <v>26</v>
      </c>
      <c r="H1713">
        <v>51</v>
      </c>
      <c r="I1713">
        <v>57.5</v>
      </c>
      <c r="J1713" t="s">
        <v>15</v>
      </c>
      <c r="K1713">
        <v>238542</v>
      </c>
      <c r="L1713" t="s">
        <v>25</v>
      </c>
    </row>
    <row r="1714" spans="1:12" x14ac:dyDescent="0.3">
      <c r="A1714">
        <v>2016</v>
      </c>
      <c r="B1714" t="s">
        <v>53</v>
      </c>
      <c r="C1714">
        <v>468</v>
      </c>
      <c r="D1714">
        <v>234</v>
      </c>
      <c r="E1714">
        <v>26.8</v>
      </c>
      <c r="F1714" t="s">
        <v>45</v>
      </c>
      <c r="G1714" t="s">
        <v>26</v>
      </c>
      <c r="H1714">
        <v>61</v>
      </c>
      <c r="I1714">
        <v>57</v>
      </c>
      <c r="J1714" t="s">
        <v>15</v>
      </c>
      <c r="K1714">
        <v>1516</v>
      </c>
      <c r="L1714" t="s">
        <v>25</v>
      </c>
    </row>
    <row r="1715" spans="1:12" x14ac:dyDescent="0.3">
      <c r="A1715">
        <v>2017</v>
      </c>
      <c r="B1715" t="s">
        <v>53</v>
      </c>
      <c r="C1715">
        <v>11841</v>
      </c>
      <c r="D1715">
        <v>234</v>
      </c>
      <c r="E1715">
        <v>37</v>
      </c>
      <c r="F1715" t="s">
        <v>45</v>
      </c>
      <c r="G1715" t="s">
        <v>26</v>
      </c>
      <c r="H1715">
        <v>67</v>
      </c>
      <c r="I1715">
        <v>55</v>
      </c>
      <c r="J1715" t="s">
        <v>15</v>
      </c>
      <c r="K1715">
        <v>200000</v>
      </c>
      <c r="L1715" t="s">
        <v>25</v>
      </c>
    </row>
    <row r="1716" spans="1:12" x14ac:dyDescent="0.3">
      <c r="A1716">
        <v>2018</v>
      </c>
      <c r="B1716" t="s">
        <v>53</v>
      </c>
      <c r="C1716">
        <v>50975</v>
      </c>
      <c r="D1716">
        <v>234</v>
      </c>
      <c r="E1716">
        <v>37</v>
      </c>
      <c r="F1716" t="s">
        <v>45</v>
      </c>
      <c r="G1716" t="s">
        <v>26</v>
      </c>
      <c r="H1716">
        <v>62</v>
      </c>
      <c r="I1716">
        <v>56</v>
      </c>
      <c r="J1716" t="s">
        <v>15</v>
      </c>
      <c r="K1716">
        <v>4847</v>
      </c>
      <c r="L1716" t="s">
        <v>25</v>
      </c>
    </row>
    <row r="1717" spans="1:12" x14ac:dyDescent="0.3">
      <c r="A1717">
        <v>2004</v>
      </c>
      <c r="B1717" t="s">
        <v>53</v>
      </c>
      <c r="C1717">
        <v>206</v>
      </c>
      <c r="D1717">
        <v>3105</v>
      </c>
      <c r="E1717">
        <v>37</v>
      </c>
      <c r="F1717" t="s">
        <v>45</v>
      </c>
      <c r="G1717" t="s">
        <v>26</v>
      </c>
      <c r="H1717">
        <v>32</v>
      </c>
      <c r="I1717">
        <v>54</v>
      </c>
      <c r="J1717" t="s">
        <v>15</v>
      </c>
      <c r="K1717">
        <v>51239</v>
      </c>
      <c r="L1717" t="s">
        <v>25</v>
      </c>
    </row>
    <row r="1718" spans="1:12" x14ac:dyDescent="0.3">
      <c r="A1718">
        <v>2005</v>
      </c>
      <c r="B1718" t="s">
        <v>53</v>
      </c>
      <c r="C1718">
        <v>10922</v>
      </c>
      <c r="D1718">
        <v>3105</v>
      </c>
      <c r="E1718">
        <v>38</v>
      </c>
      <c r="F1718" t="s">
        <v>45</v>
      </c>
      <c r="G1718" t="s">
        <v>26</v>
      </c>
      <c r="H1718">
        <v>22</v>
      </c>
      <c r="I1718">
        <v>58</v>
      </c>
      <c r="J1718" t="s">
        <v>15</v>
      </c>
      <c r="K1718">
        <v>216396</v>
      </c>
      <c r="L1718" t="s">
        <v>25</v>
      </c>
    </row>
    <row r="1719" spans="1:12" x14ac:dyDescent="0.3">
      <c r="A1719">
        <v>2006</v>
      </c>
      <c r="B1719" t="s">
        <v>53</v>
      </c>
      <c r="C1719">
        <v>51390</v>
      </c>
      <c r="D1719">
        <v>3105</v>
      </c>
      <c r="E1719">
        <v>38</v>
      </c>
      <c r="F1719" t="s">
        <v>45</v>
      </c>
      <c r="G1719" t="s">
        <v>26</v>
      </c>
      <c r="H1719">
        <v>25</v>
      </c>
      <c r="I1719">
        <v>58</v>
      </c>
      <c r="J1719" t="s">
        <v>15</v>
      </c>
      <c r="K1719">
        <v>2644</v>
      </c>
      <c r="L1719" t="s">
        <v>25</v>
      </c>
    </row>
    <row r="1720" spans="1:12" x14ac:dyDescent="0.3">
      <c r="A1720">
        <v>2007</v>
      </c>
      <c r="B1720" t="s">
        <v>53</v>
      </c>
      <c r="C1720">
        <v>177</v>
      </c>
      <c r="D1720">
        <v>236</v>
      </c>
      <c r="E1720">
        <v>38</v>
      </c>
      <c r="F1720" t="s">
        <v>45</v>
      </c>
      <c r="G1720" t="s">
        <v>26</v>
      </c>
      <c r="H1720">
        <v>4</v>
      </c>
      <c r="I1720">
        <v>59</v>
      </c>
      <c r="J1720" t="s">
        <v>15</v>
      </c>
      <c r="K1720">
        <v>44235</v>
      </c>
      <c r="L1720" t="s">
        <v>25</v>
      </c>
    </row>
    <row r="1721" spans="1:12" x14ac:dyDescent="0.3">
      <c r="A1721">
        <v>2008</v>
      </c>
      <c r="B1721" t="s">
        <v>53</v>
      </c>
      <c r="C1721">
        <v>10723</v>
      </c>
      <c r="D1721">
        <v>236</v>
      </c>
      <c r="E1721">
        <v>39</v>
      </c>
      <c r="F1721" t="s">
        <v>45</v>
      </c>
      <c r="G1721" t="s">
        <v>26</v>
      </c>
      <c r="H1721">
        <v>9</v>
      </c>
      <c r="I1721">
        <v>50</v>
      </c>
      <c r="J1721" t="s">
        <v>15</v>
      </c>
      <c r="K1721">
        <v>203317</v>
      </c>
      <c r="L1721" t="s">
        <v>25</v>
      </c>
    </row>
    <row r="1722" spans="1:12" x14ac:dyDescent="0.3">
      <c r="A1722">
        <v>2009</v>
      </c>
      <c r="B1722" t="s">
        <v>53</v>
      </c>
      <c r="C1722">
        <v>51709</v>
      </c>
      <c r="D1722">
        <v>2903.1</v>
      </c>
      <c r="E1722">
        <v>39</v>
      </c>
      <c r="F1722" t="s">
        <v>45</v>
      </c>
      <c r="G1722" t="s">
        <v>26</v>
      </c>
      <c r="H1722">
        <v>12</v>
      </c>
      <c r="I1722">
        <v>54</v>
      </c>
      <c r="J1722" t="s">
        <v>15</v>
      </c>
      <c r="K1722">
        <v>2134</v>
      </c>
      <c r="L1722" t="s">
        <v>25</v>
      </c>
    </row>
    <row r="1723" spans="1:12" x14ac:dyDescent="0.3">
      <c r="A1723">
        <v>2010</v>
      </c>
      <c r="B1723" t="s">
        <v>53</v>
      </c>
      <c r="C1723">
        <v>146</v>
      </c>
      <c r="D1723">
        <v>2903.1</v>
      </c>
      <c r="E1723">
        <v>39</v>
      </c>
      <c r="F1723" t="s">
        <v>45</v>
      </c>
      <c r="G1723" t="s">
        <v>14</v>
      </c>
      <c r="H1723">
        <v>2089</v>
      </c>
      <c r="I1723">
        <v>53</v>
      </c>
      <c r="J1723" t="s">
        <v>28</v>
      </c>
      <c r="K1723">
        <v>45186</v>
      </c>
      <c r="L1723" t="s">
        <v>25</v>
      </c>
    </row>
    <row r="1724" spans="1:12" x14ac:dyDescent="0.3">
      <c r="A1724">
        <v>2011</v>
      </c>
      <c r="B1724" t="s">
        <v>34</v>
      </c>
      <c r="C1724">
        <v>10910</v>
      </c>
      <c r="D1724">
        <v>2903.1</v>
      </c>
      <c r="E1724">
        <v>40</v>
      </c>
      <c r="F1724" t="s">
        <v>45</v>
      </c>
      <c r="G1724" t="s">
        <v>14</v>
      </c>
      <c r="H1724">
        <v>2810</v>
      </c>
      <c r="I1724">
        <v>52</v>
      </c>
      <c r="J1724" t="s">
        <v>28</v>
      </c>
      <c r="K1724">
        <v>238542</v>
      </c>
      <c r="L1724" t="s">
        <v>25</v>
      </c>
    </row>
    <row r="1725" spans="1:12" x14ac:dyDescent="0.3">
      <c r="A1725">
        <v>2012</v>
      </c>
      <c r="B1725" t="s">
        <v>34</v>
      </c>
      <c r="C1725">
        <v>51355</v>
      </c>
      <c r="D1725">
        <v>2996.6</v>
      </c>
      <c r="E1725">
        <v>40</v>
      </c>
      <c r="F1725" t="s">
        <v>45</v>
      </c>
      <c r="G1725" t="s">
        <v>14</v>
      </c>
      <c r="H1725">
        <v>841</v>
      </c>
      <c r="I1725">
        <v>51</v>
      </c>
      <c r="J1725" t="s">
        <v>28</v>
      </c>
      <c r="K1725">
        <v>1516</v>
      </c>
      <c r="L1725" t="s">
        <v>25</v>
      </c>
    </row>
    <row r="1726" spans="1:12" x14ac:dyDescent="0.3">
      <c r="A1726">
        <v>2013</v>
      </c>
      <c r="B1726" t="s">
        <v>34</v>
      </c>
      <c r="C1726">
        <v>160</v>
      </c>
      <c r="D1726">
        <v>2996.6</v>
      </c>
      <c r="E1726">
        <v>40</v>
      </c>
      <c r="F1726" t="s">
        <v>45</v>
      </c>
      <c r="G1726" t="s">
        <v>14</v>
      </c>
      <c r="H1726">
        <v>3550</v>
      </c>
      <c r="I1726">
        <v>57</v>
      </c>
      <c r="J1726" t="s">
        <v>28</v>
      </c>
      <c r="K1726">
        <v>57259</v>
      </c>
      <c r="L1726" t="s">
        <v>25</v>
      </c>
    </row>
    <row r="1727" spans="1:12" x14ac:dyDescent="0.3">
      <c r="A1727">
        <v>2014</v>
      </c>
      <c r="B1727" t="s">
        <v>34</v>
      </c>
      <c r="C1727">
        <v>10912</v>
      </c>
      <c r="D1727">
        <v>2996.6</v>
      </c>
      <c r="E1727">
        <v>41</v>
      </c>
      <c r="F1727" t="s">
        <v>45</v>
      </c>
      <c r="G1727" t="s">
        <v>14</v>
      </c>
      <c r="H1727">
        <v>109</v>
      </c>
      <c r="I1727">
        <v>57</v>
      </c>
      <c r="J1727" t="s">
        <v>28</v>
      </c>
      <c r="K1727">
        <v>234779</v>
      </c>
      <c r="L1727" t="s">
        <v>25</v>
      </c>
    </row>
    <row r="1728" spans="1:12" x14ac:dyDescent="0.3">
      <c r="A1728">
        <v>2015</v>
      </c>
      <c r="B1728" t="s">
        <v>34</v>
      </c>
      <c r="C1728">
        <v>51353</v>
      </c>
      <c r="D1728">
        <v>3522.8</v>
      </c>
      <c r="E1728">
        <v>41</v>
      </c>
      <c r="F1728" t="s">
        <v>45</v>
      </c>
      <c r="G1728" t="s">
        <v>14</v>
      </c>
      <c r="H1728">
        <v>3368</v>
      </c>
      <c r="I1728">
        <v>60</v>
      </c>
      <c r="J1728" t="s">
        <v>28</v>
      </c>
      <c r="K1728">
        <v>1493</v>
      </c>
      <c r="L1728" t="s">
        <v>25</v>
      </c>
    </row>
    <row r="1729" spans="1:12" x14ac:dyDescent="0.3">
      <c r="A1729">
        <v>2016</v>
      </c>
      <c r="B1729" t="s">
        <v>34</v>
      </c>
      <c r="C1729">
        <v>142</v>
      </c>
      <c r="D1729">
        <v>3522.8</v>
      </c>
      <c r="E1729">
        <v>41</v>
      </c>
      <c r="F1729" t="s">
        <v>45</v>
      </c>
      <c r="G1729" t="s">
        <v>14</v>
      </c>
      <c r="H1729">
        <v>3671</v>
      </c>
      <c r="I1729">
        <v>57</v>
      </c>
      <c r="J1729" t="s">
        <v>29</v>
      </c>
      <c r="K1729">
        <v>64409</v>
      </c>
      <c r="L1729" t="s">
        <v>25</v>
      </c>
    </row>
    <row r="1730" spans="1:12" x14ac:dyDescent="0.3">
      <c r="A1730">
        <v>2017</v>
      </c>
      <c r="B1730" t="s">
        <v>34</v>
      </c>
      <c r="C1730">
        <v>10505</v>
      </c>
      <c r="D1730">
        <v>3522.8</v>
      </c>
      <c r="E1730">
        <v>42</v>
      </c>
      <c r="F1730" t="s">
        <v>45</v>
      </c>
      <c r="G1730" t="s">
        <v>14</v>
      </c>
      <c r="H1730">
        <v>2404</v>
      </c>
      <c r="I1730">
        <v>57</v>
      </c>
      <c r="J1730" t="s">
        <v>29</v>
      </c>
      <c r="K1730">
        <v>249978</v>
      </c>
      <c r="L1730" t="s">
        <v>25</v>
      </c>
    </row>
    <row r="1731" spans="1:12" x14ac:dyDescent="0.3">
      <c r="A1731">
        <v>2018</v>
      </c>
      <c r="B1731" t="s">
        <v>34</v>
      </c>
      <c r="C1731">
        <v>51040</v>
      </c>
      <c r="D1731">
        <v>3729.8</v>
      </c>
      <c r="E1731">
        <v>42</v>
      </c>
      <c r="F1731" t="s">
        <v>45</v>
      </c>
      <c r="G1731" t="s">
        <v>14</v>
      </c>
      <c r="H1731">
        <v>2805</v>
      </c>
      <c r="I1731">
        <v>54</v>
      </c>
      <c r="J1731" t="s">
        <v>29</v>
      </c>
      <c r="K1731">
        <v>637</v>
      </c>
      <c r="L1731" t="s">
        <v>25</v>
      </c>
    </row>
    <row r="1732" spans="1:12" x14ac:dyDescent="0.3">
      <c r="A1732">
        <v>2004</v>
      </c>
      <c r="B1732" t="s">
        <v>34</v>
      </c>
      <c r="C1732">
        <v>154</v>
      </c>
      <c r="D1732">
        <v>3729.8</v>
      </c>
      <c r="E1732">
        <v>42</v>
      </c>
      <c r="F1732" t="s">
        <v>45</v>
      </c>
      <c r="G1732" t="s">
        <v>14</v>
      </c>
      <c r="H1732">
        <v>2331</v>
      </c>
      <c r="I1732">
        <v>54.5</v>
      </c>
      <c r="J1732" t="s">
        <v>29</v>
      </c>
      <c r="K1732">
        <v>43311</v>
      </c>
      <c r="L1732" t="s">
        <v>25</v>
      </c>
    </row>
    <row r="1733" spans="1:12" x14ac:dyDescent="0.3">
      <c r="A1733">
        <v>2005</v>
      </c>
      <c r="B1733" t="s">
        <v>34</v>
      </c>
      <c r="C1733">
        <v>10318</v>
      </c>
      <c r="D1733">
        <v>3729.8</v>
      </c>
      <c r="E1733">
        <v>43</v>
      </c>
      <c r="F1733" t="s">
        <v>45</v>
      </c>
      <c r="G1733" t="s">
        <v>14</v>
      </c>
      <c r="H1733">
        <v>2088</v>
      </c>
      <c r="I1733">
        <v>56.6</v>
      </c>
      <c r="J1733" t="s">
        <v>29</v>
      </c>
      <c r="K1733">
        <v>24848</v>
      </c>
      <c r="L1733" t="s">
        <v>25</v>
      </c>
    </row>
    <row r="1734" spans="1:12" x14ac:dyDescent="0.3">
      <c r="A1734">
        <v>2006</v>
      </c>
      <c r="B1734" t="s">
        <v>34</v>
      </c>
      <c r="C1734">
        <v>48083</v>
      </c>
      <c r="D1734">
        <v>2746.2</v>
      </c>
      <c r="E1734">
        <v>27</v>
      </c>
      <c r="F1734" t="s">
        <v>45</v>
      </c>
      <c r="G1734" t="s">
        <v>14</v>
      </c>
      <c r="H1734">
        <v>2628</v>
      </c>
      <c r="I1734">
        <v>55.5</v>
      </c>
      <c r="J1734" t="s">
        <v>29</v>
      </c>
      <c r="K1734">
        <v>761</v>
      </c>
      <c r="L1734" t="s">
        <v>25</v>
      </c>
    </row>
    <row r="1735" spans="1:12" x14ac:dyDescent="0.3">
      <c r="A1735">
        <v>2007</v>
      </c>
      <c r="B1735" t="s">
        <v>34</v>
      </c>
      <c r="C1735">
        <v>143</v>
      </c>
      <c r="D1735">
        <v>2746.2</v>
      </c>
      <c r="E1735">
        <v>27</v>
      </c>
      <c r="F1735" t="s">
        <v>45</v>
      </c>
      <c r="G1735" t="s">
        <v>14</v>
      </c>
      <c r="H1735">
        <v>1939</v>
      </c>
      <c r="I1735">
        <v>58.5</v>
      </c>
      <c r="J1735" t="s">
        <v>29</v>
      </c>
      <c r="K1735">
        <v>45608</v>
      </c>
      <c r="L1735" t="s">
        <v>25</v>
      </c>
    </row>
    <row r="1736" spans="1:12" x14ac:dyDescent="0.3">
      <c r="A1736">
        <v>2008</v>
      </c>
      <c r="B1736" t="s">
        <v>34</v>
      </c>
      <c r="C1736">
        <v>9283</v>
      </c>
      <c r="D1736">
        <v>2746.2</v>
      </c>
      <c r="E1736">
        <v>27</v>
      </c>
      <c r="F1736" t="s">
        <v>13</v>
      </c>
      <c r="G1736" t="s">
        <v>14</v>
      </c>
      <c r="H1736">
        <v>1871</v>
      </c>
      <c r="I1736">
        <v>59.5</v>
      </c>
      <c r="J1736" t="s">
        <v>29</v>
      </c>
      <c r="K1736">
        <v>234581</v>
      </c>
      <c r="L1736" t="s">
        <v>25</v>
      </c>
    </row>
    <row r="1737" spans="1:12" x14ac:dyDescent="0.3">
      <c r="A1737">
        <v>2009</v>
      </c>
      <c r="B1737" t="s">
        <v>34</v>
      </c>
      <c r="C1737">
        <v>47200</v>
      </c>
      <c r="D1737">
        <v>3360</v>
      </c>
      <c r="E1737">
        <v>27</v>
      </c>
      <c r="F1737" t="s">
        <v>13</v>
      </c>
      <c r="G1737" t="s">
        <v>14</v>
      </c>
      <c r="H1737">
        <v>1868</v>
      </c>
      <c r="I1737">
        <v>55</v>
      </c>
      <c r="J1737" t="s">
        <v>29</v>
      </c>
      <c r="K1737">
        <v>646</v>
      </c>
      <c r="L1737" t="s">
        <v>25</v>
      </c>
    </row>
    <row r="1738" spans="1:12" x14ac:dyDescent="0.3">
      <c r="A1738">
        <v>2010</v>
      </c>
      <c r="B1738" t="s">
        <v>34</v>
      </c>
      <c r="C1738">
        <v>158</v>
      </c>
      <c r="D1738">
        <v>3360</v>
      </c>
      <c r="E1738">
        <v>27</v>
      </c>
      <c r="F1738" t="s">
        <v>13</v>
      </c>
      <c r="G1738" t="s">
        <v>14</v>
      </c>
      <c r="H1738">
        <v>127919</v>
      </c>
      <c r="I1738">
        <v>53</v>
      </c>
      <c r="J1738" t="s">
        <v>29</v>
      </c>
      <c r="K1738">
        <v>43562</v>
      </c>
      <c r="L1738" t="s">
        <v>25</v>
      </c>
    </row>
    <row r="1739" spans="1:12" x14ac:dyDescent="0.3">
      <c r="A1739">
        <v>2011</v>
      </c>
      <c r="B1739" t="s">
        <v>34</v>
      </c>
      <c r="C1739">
        <v>8982</v>
      </c>
      <c r="D1739">
        <v>3360</v>
      </c>
      <c r="E1739">
        <v>27</v>
      </c>
      <c r="F1739" t="s">
        <v>13</v>
      </c>
      <c r="G1739" t="s">
        <v>14</v>
      </c>
      <c r="H1739">
        <v>75340</v>
      </c>
      <c r="I1739">
        <v>53.5</v>
      </c>
      <c r="J1739" t="s">
        <v>29</v>
      </c>
      <c r="K1739">
        <v>200000</v>
      </c>
      <c r="L1739" t="s">
        <v>25</v>
      </c>
    </row>
    <row r="1740" spans="1:12" x14ac:dyDescent="0.3">
      <c r="A1740">
        <v>2012</v>
      </c>
      <c r="B1740" t="s">
        <v>34</v>
      </c>
      <c r="C1740">
        <v>46990</v>
      </c>
      <c r="D1740">
        <v>3605.4</v>
      </c>
      <c r="E1740">
        <v>27</v>
      </c>
      <c r="F1740" t="s">
        <v>13</v>
      </c>
      <c r="G1740" t="s">
        <v>14</v>
      </c>
      <c r="H1740">
        <v>29170</v>
      </c>
      <c r="I1740">
        <v>52.5</v>
      </c>
      <c r="J1740" t="s">
        <v>29</v>
      </c>
      <c r="K1740">
        <v>4847</v>
      </c>
      <c r="L1740" t="s">
        <v>25</v>
      </c>
    </row>
    <row r="1741" spans="1:12" x14ac:dyDescent="0.3">
      <c r="A1741">
        <v>2013</v>
      </c>
      <c r="B1741" t="s">
        <v>34</v>
      </c>
      <c r="C1741">
        <v>103</v>
      </c>
      <c r="D1741">
        <v>3605.4</v>
      </c>
      <c r="E1741">
        <v>27</v>
      </c>
      <c r="F1741" t="s">
        <v>13</v>
      </c>
      <c r="G1741" t="s">
        <v>14</v>
      </c>
      <c r="H1741">
        <v>1901</v>
      </c>
      <c r="I1741">
        <v>56</v>
      </c>
      <c r="J1741" t="s">
        <v>29</v>
      </c>
      <c r="K1741">
        <v>51239</v>
      </c>
      <c r="L1741" t="s">
        <v>25</v>
      </c>
    </row>
    <row r="1742" spans="1:12" x14ac:dyDescent="0.3">
      <c r="A1742">
        <v>2014</v>
      </c>
      <c r="B1742" t="s">
        <v>34</v>
      </c>
      <c r="C1742">
        <v>8239</v>
      </c>
      <c r="D1742">
        <v>3605.4</v>
      </c>
      <c r="E1742">
        <v>27.2</v>
      </c>
      <c r="F1742" t="s">
        <v>13</v>
      </c>
      <c r="G1742" t="s">
        <v>14</v>
      </c>
      <c r="H1742">
        <v>972</v>
      </c>
      <c r="I1742">
        <v>57</v>
      </c>
      <c r="J1742" t="s">
        <v>29</v>
      </c>
      <c r="K1742">
        <v>216396</v>
      </c>
      <c r="L1742" t="s">
        <v>25</v>
      </c>
    </row>
    <row r="1743" spans="1:12" x14ac:dyDescent="0.3">
      <c r="A1743">
        <v>2015</v>
      </c>
      <c r="B1743" t="s">
        <v>34</v>
      </c>
      <c r="C1743">
        <v>44563</v>
      </c>
      <c r="D1743">
        <v>3512.4</v>
      </c>
      <c r="E1743">
        <v>27.2</v>
      </c>
      <c r="F1743" t="s">
        <v>13</v>
      </c>
      <c r="G1743" t="s">
        <v>14</v>
      </c>
      <c r="H1743">
        <v>874</v>
      </c>
      <c r="I1743">
        <v>57.5</v>
      </c>
      <c r="J1743" t="s">
        <v>29</v>
      </c>
      <c r="K1743">
        <v>2644</v>
      </c>
      <c r="L1743" t="s">
        <v>25</v>
      </c>
    </row>
    <row r="1744" spans="1:12" x14ac:dyDescent="0.3">
      <c r="A1744">
        <v>2016</v>
      </c>
      <c r="B1744" t="s">
        <v>34</v>
      </c>
      <c r="C1744">
        <v>96</v>
      </c>
      <c r="D1744">
        <v>3512.4</v>
      </c>
      <c r="E1744">
        <v>27.2</v>
      </c>
      <c r="F1744" t="s">
        <v>13</v>
      </c>
      <c r="G1744" t="s">
        <v>14</v>
      </c>
      <c r="H1744">
        <v>592</v>
      </c>
      <c r="I1744">
        <v>57</v>
      </c>
      <c r="J1744" t="s">
        <v>30</v>
      </c>
      <c r="K1744">
        <v>44235</v>
      </c>
      <c r="L1744" t="s">
        <v>25</v>
      </c>
    </row>
    <row r="1745" spans="1:12" x14ac:dyDescent="0.3">
      <c r="A1745">
        <v>2017</v>
      </c>
      <c r="B1745" t="s">
        <v>34</v>
      </c>
      <c r="C1745">
        <v>6949</v>
      </c>
      <c r="D1745">
        <v>3512.4</v>
      </c>
      <c r="E1745">
        <v>27</v>
      </c>
      <c r="F1745" t="s">
        <v>13</v>
      </c>
      <c r="G1745" t="s">
        <v>14</v>
      </c>
      <c r="H1745">
        <v>864</v>
      </c>
      <c r="I1745">
        <v>55</v>
      </c>
      <c r="J1745" t="s">
        <v>30</v>
      </c>
      <c r="K1745">
        <v>203317</v>
      </c>
      <c r="L1745" t="s">
        <v>25</v>
      </c>
    </row>
    <row r="1746" spans="1:12" x14ac:dyDescent="0.3">
      <c r="A1746">
        <v>2018</v>
      </c>
      <c r="B1746" t="s">
        <v>34</v>
      </c>
      <c r="C1746">
        <v>44663</v>
      </c>
      <c r="D1746">
        <v>3296</v>
      </c>
      <c r="E1746">
        <v>27</v>
      </c>
      <c r="F1746" t="s">
        <v>13</v>
      </c>
      <c r="G1746" t="s">
        <v>14</v>
      </c>
      <c r="H1746">
        <v>5373</v>
      </c>
      <c r="I1746">
        <v>56</v>
      </c>
      <c r="J1746" t="s">
        <v>30</v>
      </c>
      <c r="K1746">
        <v>2134</v>
      </c>
      <c r="L1746" t="s">
        <v>25</v>
      </c>
    </row>
    <row r="1747" spans="1:12" x14ac:dyDescent="0.3">
      <c r="A1747">
        <v>2004</v>
      </c>
      <c r="B1747" t="s">
        <v>34</v>
      </c>
      <c r="C1747">
        <v>110</v>
      </c>
      <c r="D1747">
        <v>3296</v>
      </c>
      <c r="E1747">
        <v>27</v>
      </c>
      <c r="F1747" t="s">
        <v>13</v>
      </c>
      <c r="G1747" t="s">
        <v>14</v>
      </c>
      <c r="H1747">
        <v>6589</v>
      </c>
      <c r="I1747">
        <v>54</v>
      </c>
      <c r="J1747" t="s">
        <v>30</v>
      </c>
      <c r="K1747">
        <v>45186</v>
      </c>
      <c r="L1747" t="s">
        <v>25</v>
      </c>
    </row>
    <row r="1748" spans="1:12" x14ac:dyDescent="0.3">
      <c r="A1748">
        <v>2005</v>
      </c>
      <c r="B1748" t="s">
        <v>34</v>
      </c>
      <c r="C1748">
        <v>6824</v>
      </c>
      <c r="D1748">
        <v>3296</v>
      </c>
      <c r="E1748">
        <v>27</v>
      </c>
      <c r="F1748" t="s">
        <v>13</v>
      </c>
      <c r="G1748" t="s">
        <v>14</v>
      </c>
      <c r="H1748">
        <v>5107</v>
      </c>
      <c r="I1748">
        <v>58</v>
      </c>
      <c r="J1748" t="s">
        <v>30</v>
      </c>
      <c r="K1748">
        <v>238542</v>
      </c>
      <c r="L1748" t="s">
        <v>25</v>
      </c>
    </row>
    <row r="1749" spans="1:12" x14ac:dyDescent="0.3">
      <c r="A1749">
        <v>2006</v>
      </c>
      <c r="B1749" t="s">
        <v>34</v>
      </c>
      <c r="C1749">
        <v>43013</v>
      </c>
      <c r="D1749">
        <v>3550</v>
      </c>
      <c r="E1749">
        <v>27</v>
      </c>
      <c r="F1749" t="s">
        <v>13</v>
      </c>
      <c r="G1749" t="s">
        <v>14</v>
      </c>
      <c r="H1749">
        <v>5518</v>
      </c>
      <c r="I1749">
        <v>58</v>
      </c>
      <c r="J1749" t="s">
        <v>30</v>
      </c>
      <c r="K1749">
        <v>1516</v>
      </c>
      <c r="L1749" t="s">
        <v>25</v>
      </c>
    </row>
    <row r="1750" spans="1:12" x14ac:dyDescent="0.3">
      <c r="A1750">
        <v>2007</v>
      </c>
      <c r="B1750" t="s">
        <v>34</v>
      </c>
      <c r="C1750">
        <v>95</v>
      </c>
      <c r="D1750">
        <v>3550</v>
      </c>
      <c r="E1750">
        <v>27</v>
      </c>
      <c r="F1750" t="s">
        <v>13</v>
      </c>
      <c r="G1750" t="s">
        <v>14</v>
      </c>
      <c r="H1750">
        <v>4912</v>
      </c>
      <c r="I1750">
        <v>59</v>
      </c>
      <c r="J1750" t="s">
        <v>30</v>
      </c>
      <c r="K1750">
        <v>57259</v>
      </c>
      <c r="L1750" t="s">
        <v>25</v>
      </c>
    </row>
    <row r="1751" spans="1:12" x14ac:dyDescent="0.3">
      <c r="A1751">
        <v>2008</v>
      </c>
      <c r="B1751" t="s">
        <v>34</v>
      </c>
      <c r="C1751">
        <v>6441</v>
      </c>
      <c r="D1751">
        <v>3550</v>
      </c>
      <c r="E1751">
        <v>27.2</v>
      </c>
      <c r="F1751" t="s">
        <v>13</v>
      </c>
      <c r="G1751" t="s">
        <v>14</v>
      </c>
      <c r="H1751">
        <v>3830</v>
      </c>
      <c r="I1751">
        <v>50</v>
      </c>
      <c r="J1751" t="s">
        <v>30</v>
      </c>
      <c r="K1751">
        <v>234779</v>
      </c>
      <c r="L1751" t="s">
        <v>25</v>
      </c>
    </row>
    <row r="1752" spans="1:12" x14ac:dyDescent="0.3">
      <c r="A1752">
        <v>2009</v>
      </c>
      <c r="B1752" t="s">
        <v>34</v>
      </c>
      <c r="C1752">
        <v>4012</v>
      </c>
      <c r="D1752">
        <v>3654</v>
      </c>
      <c r="E1752">
        <v>27.2</v>
      </c>
      <c r="F1752" t="s">
        <v>13</v>
      </c>
      <c r="G1752" t="s">
        <v>14</v>
      </c>
      <c r="H1752">
        <v>4</v>
      </c>
      <c r="I1752">
        <v>54</v>
      </c>
      <c r="J1752" t="s">
        <v>30</v>
      </c>
      <c r="K1752">
        <v>1493</v>
      </c>
      <c r="L1752" t="s">
        <v>25</v>
      </c>
    </row>
    <row r="1753" spans="1:12" x14ac:dyDescent="0.3">
      <c r="A1753">
        <v>2010</v>
      </c>
      <c r="B1753" t="s">
        <v>34</v>
      </c>
      <c r="C1753">
        <v>4877</v>
      </c>
      <c r="D1753">
        <v>3654</v>
      </c>
      <c r="E1753">
        <v>27.2</v>
      </c>
      <c r="F1753" t="s">
        <v>13</v>
      </c>
      <c r="G1753" t="s">
        <v>14</v>
      </c>
      <c r="H1753">
        <v>9</v>
      </c>
      <c r="I1753">
        <v>53</v>
      </c>
      <c r="J1753" t="s">
        <v>30</v>
      </c>
      <c r="K1753">
        <v>64409</v>
      </c>
      <c r="L1753" t="s">
        <v>25</v>
      </c>
    </row>
    <row r="1754" spans="1:12" x14ac:dyDescent="0.3">
      <c r="A1754">
        <v>2011</v>
      </c>
      <c r="B1754" t="s">
        <v>34</v>
      </c>
      <c r="C1754">
        <v>4930</v>
      </c>
      <c r="D1754">
        <v>3654</v>
      </c>
      <c r="E1754">
        <v>27.1</v>
      </c>
      <c r="F1754" t="s">
        <v>13</v>
      </c>
      <c r="G1754" t="s">
        <v>14</v>
      </c>
      <c r="H1754">
        <v>12</v>
      </c>
      <c r="I1754">
        <v>52</v>
      </c>
      <c r="J1754" t="s">
        <v>30</v>
      </c>
      <c r="K1754">
        <v>249978</v>
      </c>
      <c r="L1754" t="s">
        <v>25</v>
      </c>
    </row>
    <row r="1755" spans="1:12" x14ac:dyDescent="0.3">
      <c r="A1755">
        <v>2012</v>
      </c>
      <c r="B1755" t="s">
        <v>34</v>
      </c>
      <c r="C1755">
        <v>4954</v>
      </c>
      <c r="D1755">
        <v>233</v>
      </c>
      <c r="E1755">
        <v>27.1</v>
      </c>
      <c r="F1755" t="s">
        <v>13</v>
      </c>
      <c r="G1755" t="s">
        <v>14</v>
      </c>
      <c r="H1755">
        <v>2089</v>
      </c>
      <c r="I1755">
        <v>51</v>
      </c>
      <c r="J1755" t="s">
        <v>30</v>
      </c>
      <c r="K1755">
        <v>637</v>
      </c>
      <c r="L1755" t="s">
        <v>25</v>
      </c>
    </row>
    <row r="1756" spans="1:12" x14ac:dyDescent="0.3">
      <c r="A1756">
        <v>2013</v>
      </c>
      <c r="B1756" t="s">
        <v>34</v>
      </c>
      <c r="C1756">
        <v>5019</v>
      </c>
      <c r="D1756">
        <v>233</v>
      </c>
      <c r="E1756">
        <v>27.1</v>
      </c>
      <c r="F1756" t="s">
        <v>13</v>
      </c>
      <c r="G1756" t="s">
        <v>14</v>
      </c>
      <c r="H1756">
        <v>2810</v>
      </c>
      <c r="I1756">
        <v>57</v>
      </c>
      <c r="J1756" t="s">
        <v>30</v>
      </c>
      <c r="K1756">
        <v>43311</v>
      </c>
      <c r="L1756" t="s">
        <v>25</v>
      </c>
    </row>
    <row r="1757" spans="1:12" x14ac:dyDescent="0.3">
      <c r="A1757">
        <v>2014</v>
      </c>
      <c r="B1757" t="s">
        <v>34</v>
      </c>
      <c r="C1757">
        <v>5127</v>
      </c>
      <c r="D1757">
        <v>233</v>
      </c>
      <c r="E1757">
        <v>26.8</v>
      </c>
      <c r="F1757" t="s">
        <v>13</v>
      </c>
      <c r="G1757" t="s">
        <v>14</v>
      </c>
      <c r="H1757">
        <v>841</v>
      </c>
      <c r="I1757">
        <v>57</v>
      </c>
      <c r="J1757" t="s">
        <v>30</v>
      </c>
      <c r="K1757">
        <v>24848</v>
      </c>
      <c r="L1757" t="s">
        <v>25</v>
      </c>
    </row>
    <row r="1758" spans="1:12" x14ac:dyDescent="0.3">
      <c r="A1758">
        <v>2015</v>
      </c>
      <c r="B1758" t="s">
        <v>34</v>
      </c>
      <c r="C1758">
        <v>5174</v>
      </c>
      <c r="D1758">
        <v>2903.1</v>
      </c>
      <c r="E1758">
        <v>26.8</v>
      </c>
      <c r="F1758" t="s">
        <v>13</v>
      </c>
      <c r="G1758" t="s">
        <v>14</v>
      </c>
      <c r="H1758">
        <v>3550</v>
      </c>
      <c r="I1758">
        <v>60</v>
      </c>
      <c r="J1758" t="s">
        <v>30</v>
      </c>
      <c r="K1758">
        <v>761</v>
      </c>
      <c r="L1758" t="s">
        <v>25</v>
      </c>
    </row>
    <row r="1759" spans="1:12" x14ac:dyDescent="0.3">
      <c r="A1759">
        <v>2016</v>
      </c>
      <c r="B1759" t="s">
        <v>34</v>
      </c>
      <c r="C1759">
        <v>5294</v>
      </c>
      <c r="D1759">
        <v>2903.1</v>
      </c>
      <c r="E1759">
        <v>27.1</v>
      </c>
      <c r="F1759" t="s">
        <v>13</v>
      </c>
      <c r="G1759" t="s">
        <v>14</v>
      </c>
      <c r="H1759">
        <v>109</v>
      </c>
      <c r="I1759">
        <v>57</v>
      </c>
      <c r="J1759" t="s">
        <v>32</v>
      </c>
      <c r="K1759">
        <v>45608</v>
      </c>
      <c r="L1759" t="s">
        <v>25</v>
      </c>
    </row>
    <row r="1760" spans="1:12" x14ac:dyDescent="0.3">
      <c r="A1760">
        <v>2017</v>
      </c>
      <c r="B1760" t="s">
        <v>34</v>
      </c>
      <c r="C1760">
        <v>5474</v>
      </c>
      <c r="D1760">
        <v>2903.1</v>
      </c>
      <c r="E1760">
        <v>27.1</v>
      </c>
      <c r="F1760" t="s">
        <v>13</v>
      </c>
      <c r="G1760" t="s">
        <v>14</v>
      </c>
      <c r="H1760">
        <v>3368</v>
      </c>
      <c r="I1760">
        <v>57</v>
      </c>
      <c r="J1760" t="s">
        <v>32</v>
      </c>
      <c r="K1760">
        <v>234581</v>
      </c>
      <c r="L1760" t="s">
        <v>16</v>
      </c>
    </row>
    <row r="1761" spans="1:12" x14ac:dyDescent="0.3">
      <c r="A1761">
        <v>2018</v>
      </c>
      <c r="B1761" t="s">
        <v>34</v>
      </c>
      <c r="C1761">
        <v>5864</v>
      </c>
      <c r="D1761">
        <v>2996.6</v>
      </c>
      <c r="E1761">
        <v>26.8</v>
      </c>
      <c r="F1761" t="s">
        <v>13</v>
      </c>
      <c r="G1761" t="s">
        <v>14</v>
      </c>
      <c r="H1761">
        <v>3671</v>
      </c>
      <c r="I1761">
        <v>54</v>
      </c>
      <c r="J1761" t="s">
        <v>32</v>
      </c>
      <c r="K1761">
        <v>646</v>
      </c>
      <c r="L1761" t="s">
        <v>16</v>
      </c>
    </row>
    <row r="1762" spans="1:12" x14ac:dyDescent="0.3">
      <c r="A1762">
        <v>2004</v>
      </c>
      <c r="B1762" t="s">
        <v>34</v>
      </c>
      <c r="C1762">
        <v>7028</v>
      </c>
      <c r="D1762">
        <v>2996.6</v>
      </c>
      <c r="E1762">
        <v>26.8</v>
      </c>
      <c r="F1762" t="s">
        <v>13</v>
      </c>
      <c r="G1762" t="s">
        <v>14</v>
      </c>
      <c r="H1762">
        <v>2404</v>
      </c>
      <c r="I1762">
        <v>54.5</v>
      </c>
      <c r="J1762" t="s">
        <v>32</v>
      </c>
      <c r="K1762">
        <v>43562</v>
      </c>
      <c r="L1762" t="s">
        <v>16</v>
      </c>
    </row>
    <row r="1763" spans="1:12" x14ac:dyDescent="0.3">
      <c r="A1763">
        <v>2005</v>
      </c>
      <c r="B1763" t="s">
        <v>34</v>
      </c>
      <c r="C1763">
        <v>7403</v>
      </c>
      <c r="D1763">
        <v>2996.6</v>
      </c>
      <c r="E1763">
        <v>26.8</v>
      </c>
      <c r="F1763" t="s">
        <v>13</v>
      </c>
      <c r="G1763" t="s">
        <v>14</v>
      </c>
      <c r="H1763">
        <v>2805</v>
      </c>
      <c r="I1763">
        <v>56.6</v>
      </c>
      <c r="J1763" t="s">
        <v>32</v>
      </c>
      <c r="K1763">
        <v>200000</v>
      </c>
      <c r="L1763" t="s">
        <v>16</v>
      </c>
    </row>
    <row r="1764" spans="1:12" x14ac:dyDescent="0.3">
      <c r="A1764">
        <v>2006</v>
      </c>
      <c r="B1764" t="s">
        <v>34</v>
      </c>
      <c r="C1764">
        <v>7501</v>
      </c>
      <c r="D1764">
        <v>3522.8</v>
      </c>
      <c r="E1764">
        <v>37</v>
      </c>
      <c r="F1764" t="s">
        <v>13</v>
      </c>
      <c r="G1764" t="s">
        <v>14</v>
      </c>
      <c r="H1764">
        <v>2331</v>
      </c>
      <c r="I1764">
        <v>55.5</v>
      </c>
      <c r="J1764" t="s">
        <v>32</v>
      </c>
      <c r="K1764">
        <v>4847</v>
      </c>
      <c r="L1764" t="s">
        <v>16</v>
      </c>
    </row>
    <row r="1765" spans="1:12" x14ac:dyDescent="0.3">
      <c r="A1765">
        <v>2007</v>
      </c>
      <c r="B1765" t="s">
        <v>34</v>
      </c>
      <c r="C1765">
        <v>7714</v>
      </c>
      <c r="D1765">
        <v>3522.8</v>
      </c>
      <c r="E1765">
        <v>37</v>
      </c>
      <c r="F1765" t="s">
        <v>13</v>
      </c>
      <c r="G1765" t="s">
        <v>14</v>
      </c>
      <c r="H1765">
        <v>2088</v>
      </c>
      <c r="I1765">
        <v>58.5</v>
      </c>
      <c r="J1765" t="s">
        <v>32</v>
      </c>
      <c r="K1765">
        <v>51239</v>
      </c>
      <c r="L1765" t="s">
        <v>16</v>
      </c>
    </row>
    <row r="1766" spans="1:12" x14ac:dyDescent="0.3">
      <c r="A1766">
        <v>2008</v>
      </c>
      <c r="B1766" t="s">
        <v>34</v>
      </c>
      <c r="C1766">
        <v>7856</v>
      </c>
      <c r="D1766">
        <v>3522.8</v>
      </c>
      <c r="E1766">
        <v>37</v>
      </c>
      <c r="F1766" t="s">
        <v>19</v>
      </c>
      <c r="G1766" t="s">
        <v>14</v>
      </c>
      <c r="H1766">
        <v>2628</v>
      </c>
      <c r="I1766">
        <v>59.5</v>
      </c>
      <c r="J1766" t="s">
        <v>32</v>
      </c>
      <c r="K1766">
        <v>216396</v>
      </c>
      <c r="L1766" t="s">
        <v>16</v>
      </c>
    </row>
    <row r="1767" spans="1:12" x14ac:dyDescent="0.3">
      <c r="A1767">
        <v>2009</v>
      </c>
      <c r="B1767" t="s">
        <v>34</v>
      </c>
      <c r="C1767">
        <v>32</v>
      </c>
      <c r="D1767">
        <v>3729.8</v>
      </c>
      <c r="E1767">
        <v>38</v>
      </c>
      <c r="F1767" t="s">
        <v>19</v>
      </c>
      <c r="G1767" t="s">
        <v>21</v>
      </c>
      <c r="H1767">
        <v>1939</v>
      </c>
      <c r="I1767">
        <v>55</v>
      </c>
      <c r="J1767" t="s">
        <v>32</v>
      </c>
      <c r="K1767">
        <v>2644</v>
      </c>
      <c r="L1767" t="s">
        <v>16</v>
      </c>
    </row>
    <row r="1768" spans="1:12" x14ac:dyDescent="0.3">
      <c r="A1768">
        <v>2010</v>
      </c>
      <c r="B1768" t="s">
        <v>34</v>
      </c>
      <c r="C1768">
        <v>1</v>
      </c>
      <c r="D1768">
        <v>3729.8</v>
      </c>
      <c r="E1768">
        <v>38</v>
      </c>
      <c r="F1768" t="s">
        <v>19</v>
      </c>
      <c r="G1768" t="s">
        <v>21</v>
      </c>
      <c r="H1768">
        <v>1871</v>
      </c>
      <c r="I1768">
        <v>53</v>
      </c>
      <c r="J1768" t="s">
        <v>32</v>
      </c>
      <c r="K1768">
        <v>44235</v>
      </c>
      <c r="L1768" t="s">
        <v>16</v>
      </c>
    </row>
    <row r="1769" spans="1:12" x14ac:dyDescent="0.3">
      <c r="A1769">
        <v>2011</v>
      </c>
      <c r="B1769" t="s">
        <v>34</v>
      </c>
      <c r="C1769">
        <v>30</v>
      </c>
      <c r="D1769">
        <v>3729.8</v>
      </c>
      <c r="E1769">
        <v>38</v>
      </c>
      <c r="F1769" t="s">
        <v>19</v>
      </c>
      <c r="G1769" t="s">
        <v>21</v>
      </c>
      <c r="H1769">
        <v>1868</v>
      </c>
      <c r="I1769">
        <v>53.5</v>
      </c>
      <c r="J1769" t="s">
        <v>32</v>
      </c>
      <c r="K1769">
        <v>203317</v>
      </c>
      <c r="L1769" t="s">
        <v>16</v>
      </c>
    </row>
    <row r="1770" spans="1:12" x14ac:dyDescent="0.3">
      <c r="A1770">
        <v>2012</v>
      </c>
      <c r="B1770" t="s">
        <v>34</v>
      </c>
      <c r="C1770">
        <v>6</v>
      </c>
      <c r="D1770">
        <v>2746.2</v>
      </c>
      <c r="E1770">
        <v>39</v>
      </c>
      <c r="F1770" t="s">
        <v>19</v>
      </c>
      <c r="G1770" t="s">
        <v>21</v>
      </c>
      <c r="H1770">
        <v>127919</v>
      </c>
      <c r="I1770">
        <v>52.5</v>
      </c>
      <c r="J1770" t="s">
        <v>32</v>
      </c>
      <c r="K1770">
        <v>2134</v>
      </c>
      <c r="L1770" t="s">
        <v>16</v>
      </c>
    </row>
    <row r="1771" spans="1:12" x14ac:dyDescent="0.3">
      <c r="A1771">
        <v>2013</v>
      </c>
      <c r="B1771" t="s">
        <v>34</v>
      </c>
      <c r="C1771">
        <v>15</v>
      </c>
      <c r="D1771">
        <v>2746.2</v>
      </c>
      <c r="E1771">
        <v>39</v>
      </c>
      <c r="F1771" t="s">
        <v>19</v>
      </c>
      <c r="G1771" t="s">
        <v>21</v>
      </c>
      <c r="H1771">
        <v>75340</v>
      </c>
      <c r="I1771">
        <v>56</v>
      </c>
      <c r="J1771" t="s">
        <v>32</v>
      </c>
      <c r="K1771">
        <v>45186</v>
      </c>
      <c r="L1771" t="s">
        <v>16</v>
      </c>
    </row>
    <row r="1772" spans="1:12" x14ac:dyDescent="0.3">
      <c r="A1772">
        <v>2014</v>
      </c>
      <c r="B1772" t="s">
        <v>34</v>
      </c>
      <c r="C1772">
        <v>4</v>
      </c>
      <c r="D1772">
        <v>2746.2</v>
      </c>
      <c r="E1772">
        <v>39</v>
      </c>
      <c r="F1772" t="s">
        <v>19</v>
      </c>
      <c r="G1772" t="s">
        <v>21</v>
      </c>
      <c r="H1772">
        <v>29170</v>
      </c>
      <c r="I1772">
        <v>57</v>
      </c>
      <c r="J1772" t="s">
        <v>32</v>
      </c>
      <c r="K1772">
        <v>238542</v>
      </c>
      <c r="L1772" t="s">
        <v>16</v>
      </c>
    </row>
    <row r="1773" spans="1:12" x14ac:dyDescent="0.3">
      <c r="A1773">
        <v>2015</v>
      </c>
      <c r="B1773" t="s">
        <v>34</v>
      </c>
      <c r="C1773">
        <v>39</v>
      </c>
      <c r="D1773">
        <v>3360</v>
      </c>
      <c r="E1773">
        <v>40</v>
      </c>
      <c r="F1773" t="s">
        <v>19</v>
      </c>
      <c r="G1773" t="s">
        <v>21</v>
      </c>
      <c r="H1773">
        <v>1901</v>
      </c>
      <c r="I1773">
        <v>57.5</v>
      </c>
      <c r="J1773" t="s">
        <v>32</v>
      </c>
      <c r="K1773">
        <v>1516</v>
      </c>
      <c r="L1773" t="s">
        <v>16</v>
      </c>
    </row>
    <row r="1774" spans="1:12" x14ac:dyDescent="0.3">
      <c r="A1774">
        <v>2016</v>
      </c>
      <c r="B1774" t="s">
        <v>34</v>
      </c>
      <c r="C1774">
        <v>6</v>
      </c>
      <c r="D1774">
        <v>3360</v>
      </c>
      <c r="E1774">
        <v>40</v>
      </c>
      <c r="F1774" t="s">
        <v>19</v>
      </c>
      <c r="G1774" t="s">
        <v>21</v>
      </c>
      <c r="H1774">
        <v>972</v>
      </c>
      <c r="I1774">
        <v>57</v>
      </c>
      <c r="J1774" t="s">
        <v>33</v>
      </c>
      <c r="K1774">
        <v>200000</v>
      </c>
      <c r="L1774" t="s">
        <v>16</v>
      </c>
    </row>
    <row r="1775" spans="1:12" x14ac:dyDescent="0.3">
      <c r="A1775">
        <v>2017</v>
      </c>
      <c r="B1775" t="s">
        <v>34</v>
      </c>
      <c r="C1775">
        <v>12</v>
      </c>
      <c r="D1775">
        <v>3360</v>
      </c>
      <c r="E1775">
        <v>40</v>
      </c>
      <c r="F1775" t="s">
        <v>19</v>
      </c>
      <c r="G1775" t="s">
        <v>21</v>
      </c>
      <c r="H1775">
        <v>874</v>
      </c>
      <c r="I1775">
        <v>55</v>
      </c>
      <c r="J1775" t="s">
        <v>33</v>
      </c>
      <c r="K1775">
        <v>4847</v>
      </c>
      <c r="L1775" t="s">
        <v>16</v>
      </c>
    </row>
    <row r="1776" spans="1:12" x14ac:dyDescent="0.3">
      <c r="A1776">
        <v>2018</v>
      </c>
      <c r="B1776" t="s">
        <v>34</v>
      </c>
      <c r="C1776">
        <v>3</v>
      </c>
      <c r="D1776">
        <v>3605.4</v>
      </c>
      <c r="E1776">
        <v>41</v>
      </c>
      <c r="F1776" t="s">
        <v>19</v>
      </c>
      <c r="G1776" t="s">
        <v>21</v>
      </c>
      <c r="H1776">
        <v>592</v>
      </c>
      <c r="I1776">
        <v>56</v>
      </c>
      <c r="J1776" t="s">
        <v>33</v>
      </c>
      <c r="K1776">
        <v>51239</v>
      </c>
      <c r="L1776" t="s">
        <v>16</v>
      </c>
    </row>
    <row r="1777" spans="1:12" x14ac:dyDescent="0.3">
      <c r="A1777">
        <v>2004</v>
      </c>
      <c r="B1777" t="s">
        <v>34</v>
      </c>
      <c r="C1777">
        <v>17</v>
      </c>
      <c r="D1777">
        <v>3605.4</v>
      </c>
      <c r="E1777">
        <v>41</v>
      </c>
      <c r="F1777" t="s">
        <v>19</v>
      </c>
      <c r="G1777" t="s">
        <v>21</v>
      </c>
      <c r="H1777">
        <v>864</v>
      </c>
      <c r="I1777">
        <v>54</v>
      </c>
      <c r="J1777" t="s">
        <v>33</v>
      </c>
      <c r="K1777">
        <v>216396</v>
      </c>
      <c r="L1777" t="s">
        <v>16</v>
      </c>
    </row>
    <row r="1778" spans="1:12" x14ac:dyDescent="0.3">
      <c r="A1778">
        <v>2005</v>
      </c>
      <c r="B1778" t="s">
        <v>34</v>
      </c>
      <c r="C1778">
        <v>3</v>
      </c>
      <c r="D1778">
        <v>3605.4</v>
      </c>
      <c r="E1778">
        <v>41</v>
      </c>
      <c r="F1778" t="s">
        <v>19</v>
      </c>
      <c r="G1778" t="s">
        <v>21</v>
      </c>
      <c r="H1778">
        <v>5373</v>
      </c>
      <c r="I1778">
        <v>58</v>
      </c>
      <c r="J1778" t="s">
        <v>33</v>
      </c>
      <c r="K1778">
        <v>2644</v>
      </c>
      <c r="L1778" t="s">
        <v>16</v>
      </c>
    </row>
    <row r="1779" spans="1:12" x14ac:dyDescent="0.3">
      <c r="A1779">
        <v>2006</v>
      </c>
      <c r="B1779" t="s">
        <v>34</v>
      </c>
      <c r="C1779">
        <v>9</v>
      </c>
      <c r="D1779">
        <v>3512.4</v>
      </c>
      <c r="E1779">
        <v>42</v>
      </c>
      <c r="F1779" t="s">
        <v>19</v>
      </c>
      <c r="G1779" t="s">
        <v>21</v>
      </c>
      <c r="H1779">
        <v>6589</v>
      </c>
      <c r="I1779">
        <v>58</v>
      </c>
      <c r="J1779" t="s">
        <v>33</v>
      </c>
      <c r="K1779">
        <v>44235</v>
      </c>
      <c r="L1779" t="s">
        <v>16</v>
      </c>
    </row>
    <row r="1780" spans="1:12" x14ac:dyDescent="0.3">
      <c r="A1780">
        <v>2007</v>
      </c>
      <c r="B1780" t="s">
        <v>34</v>
      </c>
      <c r="C1780">
        <v>21</v>
      </c>
      <c r="D1780">
        <v>3512.4</v>
      </c>
      <c r="E1780">
        <v>42</v>
      </c>
      <c r="F1780" t="s">
        <v>19</v>
      </c>
      <c r="G1780" t="s">
        <v>21</v>
      </c>
      <c r="H1780">
        <v>5107</v>
      </c>
      <c r="I1780">
        <v>59</v>
      </c>
      <c r="J1780" t="s">
        <v>33</v>
      </c>
      <c r="K1780">
        <v>203317</v>
      </c>
      <c r="L1780" t="s">
        <v>16</v>
      </c>
    </row>
    <row r="1781" spans="1:12" x14ac:dyDescent="0.3">
      <c r="A1781">
        <v>2008</v>
      </c>
      <c r="B1781" t="s">
        <v>34</v>
      </c>
      <c r="C1781">
        <v>11</v>
      </c>
      <c r="D1781">
        <v>3512.4</v>
      </c>
      <c r="E1781">
        <v>27</v>
      </c>
      <c r="F1781" t="s">
        <v>19</v>
      </c>
      <c r="G1781" t="s">
        <v>21</v>
      </c>
      <c r="H1781">
        <v>5518</v>
      </c>
      <c r="I1781">
        <v>50</v>
      </c>
      <c r="J1781" t="s">
        <v>33</v>
      </c>
      <c r="K1781">
        <v>2134</v>
      </c>
      <c r="L1781" t="s">
        <v>16</v>
      </c>
    </row>
    <row r="1782" spans="1:12" x14ac:dyDescent="0.3">
      <c r="A1782">
        <v>2009</v>
      </c>
      <c r="B1782" t="s">
        <v>34</v>
      </c>
      <c r="C1782">
        <v>4</v>
      </c>
      <c r="D1782">
        <v>3296</v>
      </c>
      <c r="E1782">
        <v>27</v>
      </c>
      <c r="F1782" t="s">
        <v>19</v>
      </c>
      <c r="G1782" t="s">
        <v>21</v>
      </c>
      <c r="H1782">
        <v>4912</v>
      </c>
      <c r="I1782">
        <v>54</v>
      </c>
      <c r="J1782" t="s">
        <v>33</v>
      </c>
      <c r="K1782">
        <v>45186</v>
      </c>
      <c r="L1782" t="s">
        <v>16</v>
      </c>
    </row>
    <row r="1783" spans="1:12" x14ac:dyDescent="0.3">
      <c r="A1783">
        <v>2010</v>
      </c>
      <c r="B1783" t="s">
        <v>34</v>
      </c>
      <c r="C1783">
        <v>15</v>
      </c>
      <c r="D1783">
        <v>3296</v>
      </c>
      <c r="E1783">
        <v>27</v>
      </c>
      <c r="F1783" t="s">
        <v>19</v>
      </c>
      <c r="G1783" t="s">
        <v>21</v>
      </c>
      <c r="H1783">
        <v>3830</v>
      </c>
      <c r="I1783">
        <v>53</v>
      </c>
      <c r="J1783" t="s">
        <v>33</v>
      </c>
      <c r="K1783">
        <v>238542</v>
      </c>
      <c r="L1783" t="s">
        <v>16</v>
      </c>
    </row>
    <row r="1784" spans="1:12" x14ac:dyDescent="0.3">
      <c r="A1784">
        <v>2011</v>
      </c>
      <c r="B1784" t="s">
        <v>34</v>
      </c>
      <c r="C1784">
        <v>8</v>
      </c>
      <c r="D1784">
        <v>3296</v>
      </c>
      <c r="E1784">
        <v>27</v>
      </c>
      <c r="F1784" t="s">
        <v>19</v>
      </c>
      <c r="G1784" t="s">
        <v>21</v>
      </c>
      <c r="H1784">
        <v>4</v>
      </c>
      <c r="I1784">
        <v>52</v>
      </c>
      <c r="J1784" t="s">
        <v>33</v>
      </c>
      <c r="K1784">
        <v>1516</v>
      </c>
      <c r="L1784" t="s">
        <v>16</v>
      </c>
    </row>
    <row r="1785" spans="1:12" x14ac:dyDescent="0.3">
      <c r="A1785">
        <v>2012</v>
      </c>
      <c r="B1785" t="s">
        <v>34</v>
      </c>
      <c r="C1785">
        <v>29</v>
      </c>
      <c r="D1785">
        <v>3550</v>
      </c>
      <c r="E1785">
        <v>27</v>
      </c>
      <c r="F1785" t="s">
        <v>19</v>
      </c>
      <c r="G1785" t="s">
        <v>21</v>
      </c>
      <c r="H1785">
        <v>9</v>
      </c>
      <c r="I1785">
        <v>51</v>
      </c>
      <c r="J1785" t="s">
        <v>33</v>
      </c>
      <c r="K1785">
        <v>57259</v>
      </c>
      <c r="L1785" t="s">
        <v>16</v>
      </c>
    </row>
    <row r="1786" spans="1:12" x14ac:dyDescent="0.3">
      <c r="A1786">
        <v>2013</v>
      </c>
      <c r="B1786" t="s">
        <v>34</v>
      </c>
      <c r="C1786">
        <v>1</v>
      </c>
      <c r="D1786">
        <v>3550</v>
      </c>
      <c r="E1786">
        <v>27</v>
      </c>
      <c r="F1786" t="s">
        <v>19</v>
      </c>
      <c r="G1786" t="s">
        <v>21</v>
      </c>
      <c r="H1786">
        <v>12</v>
      </c>
      <c r="I1786">
        <v>57</v>
      </c>
      <c r="J1786" t="s">
        <v>33</v>
      </c>
      <c r="K1786">
        <v>234779</v>
      </c>
      <c r="L1786" t="s">
        <v>16</v>
      </c>
    </row>
    <row r="1787" spans="1:12" x14ac:dyDescent="0.3">
      <c r="A1787">
        <v>2014</v>
      </c>
      <c r="B1787" t="s">
        <v>34</v>
      </c>
      <c r="C1787">
        <v>13736</v>
      </c>
      <c r="D1787">
        <v>3550</v>
      </c>
      <c r="E1787">
        <v>27.2</v>
      </c>
      <c r="F1787" t="s">
        <v>19</v>
      </c>
      <c r="G1787" t="s">
        <v>21</v>
      </c>
      <c r="H1787">
        <v>2089</v>
      </c>
      <c r="I1787">
        <v>57</v>
      </c>
      <c r="J1787" t="s">
        <v>33</v>
      </c>
      <c r="K1787">
        <v>1493</v>
      </c>
      <c r="L1787" t="s">
        <v>16</v>
      </c>
    </row>
    <row r="1788" spans="1:12" x14ac:dyDescent="0.3">
      <c r="A1788">
        <v>2015</v>
      </c>
      <c r="B1788" t="s">
        <v>34</v>
      </c>
      <c r="C1788">
        <v>14003</v>
      </c>
      <c r="D1788">
        <v>3654</v>
      </c>
      <c r="E1788">
        <v>27.2</v>
      </c>
      <c r="F1788" t="s">
        <v>19</v>
      </c>
      <c r="G1788" t="s">
        <v>21</v>
      </c>
      <c r="H1788">
        <v>2810</v>
      </c>
      <c r="I1788">
        <v>60</v>
      </c>
      <c r="J1788" t="s">
        <v>33</v>
      </c>
      <c r="K1788">
        <v>64409</v>
      </c>
      <c r="L1788" t="s">
        <v>16</v>
      </c>
    </row>
    <row r="1789" spans="1:12" x14ac:dyDescent="0.3">
      <c r="A1789">
        <v>2016</v>
      </c>
      <c r="B1789" t="s">
        <v>34</v>
      </c>
      <c r="C1789">
        <v>14179</v>
      </c>
      <c r="D1789">
        <v>3654</v>
      </c>
      <c r="E1789">
        <v>27.2</v>
      </c>
      <c r="F1789" t="s">
        <v>19</v>
      </c>
      <c r="G1789" t="s">
        <v>21</v>
      </c>
      <c r="H1789">
        <v>841</v>
      </c>
      <c r="I1789">
        <v>57</v>
      </c>
      <c r="J1789" t="s">
        <v>35</v>
      </c>
      <c r="K1789">
        <v>249978</v>
      </c>
      <c r="L1789" t="s">
        <v>16</v>
      </c>
    </row>
    <row r="1790" spans="1:12" x14ac:dyDescent="0.3">
      <c r="A1790">
        <v>2017</v>
      </c>
      <c r="B1790" t="s">
        <v>34</v>
      </c>
      <c r="C1790">
        <v>14319</v>
      </c>
      <c r="D1790">
        <v>3654</v>
      </c>
      <c r="E1790">
        <v>27</v>
      </c>
      <c r="F1790" t="s">
        <v>19</v>
      </c>
      <c r="G1790" t="s">
        <v>21</v>
      </c>
      <c r="H1790">
        <v>3550</v>
      </c>
      <c r="I1790">
        <v>57</v>
      </c>
      <c r="J1790" t="s">
        <v>35</v>
      </c>
      <c r="K1790">
        <v>637</v>
      </c>
      <c r="L1790" t="s">
        <v>16</v>
      </c>
    </row>
    <row r="1791" spans="1:12" x14ac:dyDescent="0.3">
      <c r="A1791">
        <v>2018</v>
      </c>
      <c r="B1791" t="s">
        <v>34</v>
      </c>
      <c r="C1791">
        <v>14464</v>
      </c>
      <c r="D1791">
        <v>233</v>
      </c>
      <c r="E1791">
        <v>27</v>
      </c>
      <c r="F1791" t="s">
        <v>19</v>
      </c>
      <c r="G1791" t="s">
        <v>21</v>
      </c>
      <c r="H1791">
        <v>109</v>
      </c>
      <c r="I1791">
        <v>54</v>
      </c>
      <c r="J1791" t="s">
        <v>35</v>
      </c>
      <c r="K1791">
        <v>43311</v>
      </c>
      <c r="L1791" t="s">
        <v>16</v>
      </c>
    </row>
    <row r="1792" spans="1:12" x14ac:dyDescent="0.3">
      <c r="A1792">
        <v>2004</v>
      </c>
      <c r="B1792" t="s">
        <v>34</v>
      </c>
      <c r="C1792">
        <v>14876</v>
      </c>
      <c r="D1792">
        <v>233</v>
      </c>
      <c r="E1792">
        <v>27</v>
      </c>
      <c r="F1792" t="s">
        <v>19</v>
      </c>
      <c r="G1792" t="s">
        <v>21</v>
      </c>
      <c r="H1792">
        <v>3368</v>
      </c>
      <c r="I1792">
        <v>54.5</v>
      </c>
      <c r="J1792" t="s">
        <v>35</v>
      </c>
      <c r="K1792">
        <v>24848</v>
      </c>
      <c r="L1792" t="s">
        <v>16</v>
      </c>
    </row>
    <row r="1793" spans="1:12" x14ac:dyDescent="0.3">
      <c r="A1793">
        <v>2005</v>
      </c>
      <c r="B1793" t="s">
        <v>34</v>
      </c>
      <c r="C1793">
        <v>14976</v>
      </c>
      <c r="D1793">
        <v>233</v>
      </c>
      <c r="E1793">
        <v>27</v>
      </c>
      <c r="F1793" t="s">
        <v>19</v>
      </c>
      <c r="G1793" t="s">
        <v>21</v>
      </c>
      <c r="H1793">
        <v>3671</v>
      </c>
      <c r="I1793">
        <v>56.6</v>
      </c>
      <c r="J1793" t="s">
        <v>35</v>
      </c>
      <c r="K1793">
        <v>761</v>
      </c>
      <c r="L1793" t="s">
        <v>16</v>
      </c>
    </row>
    <row r="1794" spans="1:12" x14ac:dyDescent="0.3">
      <c r="A1794">
        <v>2006</v>
      </c>
      <c r="B1794" t="s">
        <v>34</v>
      </c>
      <c r="C1794">
        <v>15009</v>
      </c>
      <c r="D1794">
        <v>234</v>
      </c>
      <c r="E1794">
        <v>27</v>
      </c>
      <c r="F1794" t="s">
        <v>19</v>
      </c>
      <c r="G1794" t="s">
        <v>21</v>
      </c>
      <c r="H1794">
        <v>2404</v>
      </c>
      <c r="I1794">
        <v>55.5</v>
      </c>
      <c r="J1794" t="s">
        <v>35</v>
      </c>
      <c r="K1794">
        <v>45608</v>
      </c>
      <c r="L1794" t="s">
        <v>16</v>
      </c>
    </row>
    <row r="1795" spans="1:12" x14ac:dyDescent="0.3">
      <c r="A1795">
        <v>2007</v>
      </c>
      <c r="B1795" t="s">
        <v>34</v>
      </c>
      <c r="C1795">
        <v>15114</v>
      </c>
      <c r="D1795">
        <v>234</v>
      </c>
      <c r="E1795">
        <v>27</v>
      </c>
      <c r="F1795" t="s">
        <v>19</v>
      </c>
      <c r="G1795" t="s">
        <v>21</v>
      </c>
      <c r="H1795">
        <v>2805</v>
      </c>
      <c r="I1795">
        <v>58.5</v>
      </c>
      <c r="J1795" t="s">
        <v>35</v>
      </c>
      <c r="K1795">
        <v>234581</v>
      </c>
      <c r="L1795" t="s">
        <v>16</v>
      </c>
    </row>
    <row r="1796" spans="1:12" x14ac:dyDescent="0.3">
      <c r="A1796">
        <v>2008</v>
      </c>
      <c r="B1796" t="s">
        <v>34</v>
      </c>
      <c r="C1796">
        <v>16224</v>
      </c>
      <c r="D1796">
        <v>234</v>
      </c>
      <c r="E1796">
        <v>27.2</v>
      </c>
      <c r="F1796" t="s">
        <v>19</v>
      </c>
      <c r="G1796" t="s">
        <v>21</v>
      </c>
      <c r="H1796">
        <v>2331</v>
      </c>
      <c r="I1796">
        <v>59.5</v>
      </c>
      <c r="J1796" t="s">
        <v>35</v>
      </c>
      <c r="K1796">
        <v>646</v>
      </c>
      <c r="L1796" t="s">
        <v>16</v>
      </c>
    </row>
    <row r="1797" spans="1:12" x14ac:dyDescent="0.3">
      <c r="A1797">
        <v>2009</v>
      </c>
      <c r="B1797" t="s">
        <v>34</v>
      </c>
      <c r="C1797">
        <v>17095</v>
      </c>
      <c r="D1797">
        <v>3105</v>
      </c>
      <c r="E1797">
        <v>27.2</v>
      </c>
      <c r="F1797" t="s">
        <v>19</v>
      </c>
      <c r="G1797" t="s">
        <v>21</v>
      </c>
      <c r="H1797">
        <v>2088</v>
      </c>
      <c r="I1797">
        <v>55</v>
      </c>
      <c r="J1797" t="s">
        <v>35</v>
      </c>
      <c r="K1797">
        <v>43562</v>
      </c>
      <c r="L1797" t="s">
        <v>16</v>
      </c>
    </row>
    <row r="1798" spans="1:12" x14ac:dyDescent="0.3">
      <c r="A1798">
        <v>2010</v>
      </c>
      <c r="B1798" t="s">
        <v>34</v>
      </c>
      <c r="C1798">
        <v>17512</v>
      </c>
      <c r="D1798">
        <v>3105</v>
      </c>
      <c r="E1798">
        <v>27.2</v>
      </c>
      <c r="F1798" t="s">
        <v>19</v>
      </c>
      <c r="G1798" t="s">
        <v>21</v>
      </c>
      <c r="H1798">
        <v>2628</v>
      </c>
      <c r="I1798">
        <v>53</v>
      </c>
      <c r="J1798" t="s">
        <v>35</v>
      </c>
      <c r="K1798">
        <v>200000</v>
      </c>
      <c r="L1798" t="s">
        <v>16</v>
      </c>
    </row>
    <row r="1799" spans="1:12" x14ac:dyDescent="0.3">
      <c r="A1799">
        <v>2011</v>
      </c>
      <c r="B1799" t="s">
        <v>34</v>
      </c>
      <c r="C1799">
        <v>17587</v>
      </c>
      <c r="D1799">
        <v>3105</v>
      </c>
      <c r="E1799">
        <v>27.1</v>
      </c>
      <c r="F1799" t="s">
        <v>19</v>
      </c>
      <c r="G1799" t="s">
        <v>21</v>
      </c>
      <c r="H1799">
        <v>1939</v>
      </c>
      <c r="I1799">
        <v>53.5</v>
      </c>
      <c r="J1799" t="s">
        <v>35</v>
      </c>
      <c r="K1799">
        <v>4847</v>
      </c>
      <c r="L1799" t="s">
        <v>16</v>
      </c>
    </row>
    <row r="1800" spans="1:12" x14ac:dyDescent="0.3">
      <c r="A1800">
        <v>2012</v>
      </c>
      <c r="B1800" t="s">
        <v>34</v>
      </c>
      <c r="C1800">
        <v>17771</v>
      </c>
      <c r="D1800">
        <v>236</v>
      </c>
      <c r="E1800">
        <v>27.1</v>
      </c>
      <c r="F1800" t="s">
        <v>19</v>
      </c>
      <c r="G1800" t="s">
        <v>21</v>
      </c>
      <c r="H1800">
        <v>1871</v>
      </c>
      <c r="I1800">
        <v>52.5</v>
      </c>
      <c r="J1800" t="s">
        <v>35</v>
      </c>
      <c r="K1800">
        <v>51239</v>
      </c>
      <c r="L1800" t="s">
        <v>16</v>
      </c>
    </row>
    <row r="1801" spans="1:12" x14ac:dyDescent="0.3">
      <c r="A1801">
        <v>2013</v>
      </c>
      <c r="B1801" t="s">
        <v>34</v>
      </c>
      <c r="C1801">
        <v>17825</v>
      </c>
      <c r="D1801">
        <v>236</v>
      </c>
      <c r="E1801">
        <v>27.1</v>
      </c>
      <c r="F1801" t="s">
        <v>19</v>
      </c>
      <c r="G1801" t="s">
        <v>21</v>
      </c>
      <c r="H1801">
        <v>1868</v>
      </c>
      <c r="I1801">
        <v>56</v>
      </c>
      <c r="J1801" t="s">
        <v>35</v>
      </c>
      <c r="K1801">
        <v>216396</v>
      </c>
      <c r="L1801" t="s">
        <v>16</v>
      </c>
    </row>
    <row r="1802" spans="1:12" x14ac:dyDescent="0.3">
      <c r="A1802">
        <v>2014</v>
      </c>
      <c r="B1802" t="s">
        <v>34</v>
      </c>
      <c r="C1802">
        <v>3147</v>
      </c>
      <c r="D1802">
        <v>2903.1</v>
      </c>
      <c r="E1802">
        <v>26.8</v>
      </c>
      <c r="F1802" t="s">
        <v>44</v>
      </c>
      <c r="G1802" t="s">
        <v>21</v>
      </c>
      <c r="H1802">
        <v>127919</v>
      </c>
      <c r="I1802">
        <v>57</v>
      </c>
      <c r="J1802" t="s">
        <v>35</v>
      </c>
      <c r="K1802">
        <v>2644</v>
      </c>
      <c r="L1802" t="s">
        <v>16</v>
      </c>
    </row>
    <row r="1803" spans="1:12" x14ac:dyDescent="0.3">
      <c r="A1803">
        <v>2015</v>
      </c>
      <c r="B1803" t="s">
        <v>34</v>
      </c>
      <c r="C1803">
        <v>2578</v>
      </c>
      <c r="D1803">
        <v>2903.1</v>
      </c>
      <c r="E1803">
        <v>26.8</v>
      </c>
      <c r="F1803" t="s">
        <v>44</v>
      </c>
      <c r="G1803" t="s">
        <v>21</v>
      </c>
      <c r="H1803">
        <v>75340</v>
      </c>
      <c r="I1803">
        <v>57.5</v>
      </c>
      <c r="J1803" t="s">
        <v>35</v>
      </c>
      <c r="K1803">
        <v>44235</v>
      </c>
      <c r="L1803" t="s">
        <v>16</v>
      </c>
    </row>
    <row r="1804" spans="1:12" x14ac:dyDescent="0.3">
      <c r="A1804">
        <v>2016</v>
      </c>
      <c r="B1804" t="s">
        <v>34</v>
      </c>
      <c r="C1804">
        <v>1591</v>
      </c>
      <c r="D1804">
        <v>2903.1</v>
      </c>
      <c r="E1804">
        <v>26.8</v>
      </c>
      <c r="F1804" t="s">
        <v>44</v>
      </c>
      <c r="G1804" t="s">
        <v>21</v>
      </c>
      <c r="H1804">
        <v>29170</v>
      </c>
      <c r="I1804">
        <v>57</v>
      </c>
      <c r="J1804" t="s">
        <v>37</v>
      </c>
      <c r="K1804">
        <v>203317</v>
      </c>
      <c r="L1804" t="s">
        <v>16</v>
      </c>
    </row>
    <row r="1805" spans="1:12" x14ac:dyDescent="0.3">
      <c r="A1805">
        <v>2017</v>
      </c>
      <c r="B1805" t="s">
        <v>34</v>
      </c>
      <c r="C1805">
        <v>1298</v>
      </c>
      <c r="D1805">
        <v>2996.6</v>
      </c>
      <c r="E1805">
        <v>37</v>
      </c>
      <c r="F1805" t="s">
        <v>44</v>
      </c>
      <c r="G1805" t="s">
        <v>21</v>
      </c>
      <c r="H1805">
        <v>1901</v>
      </c>
      <c r="I1805">
        <v>55</v>
      </c>
      <c r="J1805" t="s">
        <v>37</v>
      </c>
      <c r="K1805">
        <v>2134</v>
      </c>
      <c r="L1805" t="s">
        <v>16</v>
      </c>
    </row>
    <row r="1806" spans="1:12" x14ac:dyDescent="0.3">
      <c r="A1806">
        <v>2018</v>
      </c>
      <c r="B1806" t="s">
        <v>34</v>
      </c>
      <c r="C1806">
        <v>4</v>
      </c>
      <c r="D1806">
        <v>2996.6</v>
      </c>
      <c r="E1806">
        <v>37</v>
      </c>
      <c r="F1806" t="s">
        <v>44</v>
      </c>
      <c r="G1806" t="s">
        <v>21</v>
      </c>
      <c r="H1806">
        <v>972</v>
      </c>
      <c r="I1806">
        <v>56</v>
      </c>
      <c r="J1806" t="s">
        <v>37</v>
      </c>
      <c r="K1806">
        <v>45186</v>
      </c>
      <c r="L1806" t="s">
        <v>16</v>
      </c>
    </row>
    <row r="1807" spans="1:12" x14ac:dyDescent="0.3">
      <c r="A1807">
        <v>2004</v>
      </c>
      <c r="B1807" t="s">
        <v>34</v>
      </c>
      <c r="C1807">
        <v>1122</v>
      </c>
      <c r="D1807">
        <v>2996.6</v>
      </c>
      <c r="E1807">
        <v>37</v>
      </c>
      <c r="F1807" t="s">
        <v>44</v>
      </c>
      <c r="G1807" t="s">
        <v>21</v>
      </c>
      <c r="H1807">
        <v>874</v>
      </c>
      <c r="I1807">
        <v>54</v>
      </c>
      <c r="J1807" t="s">
        <v>37</v>
      </c>
      <c r="K1807">
        <v>238542</v>
      </c>
      <c r="L1807" t="s">
        <v>16</v>
      </c>
    </row>
    <row r="1808" spans="1:12" x14ac:dyDescent="0.3">
      <c r="A1808">
        <v>2005</v>
      </c>
      <c r="B1808" t="s">
        <v>34</v>
      </c>
      <c r="C1808">
        <v>917</v>
      </c>
      <c r="D1808">
        <v>3522.8</v>
      </c>
      <c r="E1808">
        <v>38</v>
      </c>
      <c r="F1808" t="s">
        <v>44</v>
      </c>
      <c r="G1808" t="s">
        <v>21</v>
      </c>
      <c r="H1808">
        <v>592</v>
      </c>
      <c r="I1808">
        <v>58</v>
      </c>
      <c r="J1808" t="s">
        <v>37</v>
      </c>
      <c r="K1808">
        <v>1516</v>
      </c>
      <c r="L1808" t="s">
        <v>16</v>
      </c>
    </row>
    <row r="1809" spans="1:12" x14ac:dyDescent="0.3">
      <c r="A1809">
        <v>2006</v>
      </c>
      <c r="B1809" t="s">
        <v>34</v>
      </c>
      <c r="C1809">
        <v>819</v>
      </c>
      <c r="D1809">
        <v>3522.8</v>
      </c>
      <c r="E1809">
        <v>38</v>
      </c>
      <c r="F1809" t="s">
        <v>44</v>
      </c>
      <c r="G1809" t="s">
        <v>21</v>
      </c>
      <c r="H1809">
        <v>864</v>
      </c>
      <c r="I1809">
        <v>58</v>
      </c>
      <c r="J1809" t="s">
        <v>37</v>
      </c>
      <c r="K1809">
        <v>57259</v>
      </c>
      <c r="L1809" t="s">
        <v>16</v>
      </c>
    </row>
    <row r="1810" spans="1:12" x14ac:dyDescent="0.3">
      <c r="A1810">
        <v>2007</v>
      </c>
      <c r="B1810" t="s">
        <v>34</v>
      </c>
      <c r="C1810">
        <v>619</v>
      </c>
      <c r="D1810">
        <v>3522.8</v>
      </c>
      <c r="E1810">
        <v>38</v>
      </c>
      <c r="F1810" t="s">
        <v>44</v>
      </c>
      <c r="G1810" t="s">
        <v>26</v>
      </c>
      <c r="H1810">
        <v>5373</v>
      </c>
      <c r="I1810">
        <v>59</v>
      </c>
      <c r="J1810" t="s">
        <v>37</v>
      </c>
      <c r="K1810">
        <v>234779</v>
      </c>
      <c r="L1810" t="s">
        <v>16</v>
      </c>
    </row>
    <row r="1811" spans="1:12" x14ac:dyDescent="0.3">
      <c r="A1811">
        <v>2008</v>
      </c>
      <c r="B1811" t="s">
        <v>34</v>
      </c>
      <c r="C1811">
        <v>391</v>
      </c>
      <c r="D1811">
        <v>3729.8</v>
      </c>
      <c r="E1811">
        <v>39</v>
      </c>
      <c r="F1811" t="s">
        <v>44</v>
      </c>
      <c r="G1811" t="s">
        <v>26</v>
      </c>
      <c r="H1811">
        <v>6589</v>
      </c>
      <c r="I1811">
        <v>50</v>
      </c>
      <c r="J1811" t="s">
        <v>37</v>
      </c>
      <c r="K1811">
        <v>1493</v>
      </c>
      <c r="L1811" t="s">
        <v>16</v>
      </c>
    </row>
    <row r="1812" spans="1:12" x14ac:dyDescent="0.3">
      <c r="A1812">
        <v>2009</v>
      </c>
      <c r="B1812" t="s">
        <v>34</v>
      </c>
      <c r="C1812">
        <v>211</v>
      </c>
      <c r="D1812">
        <v>3729.8</v>
      </c>
      <c r="E1812">
        <v>39</v>
      </c>
      <c r="F1812" t="s">
        <v>44</v>
      </c>
      <c r="G1812" t="s">
        <v>26</v>
      </c>
      <c r="H1812">
        <v>5107</v>
      </c>
      <c r="I1812">
        <v>54</v>
      </c>
      <c r="J1812" t="s">
        <v>37</v>
      </c>
      <c r="K1812">
        <v>64409</v>
      </c>
      <c r="L1812" t="s">
        <v>16</v>
      </c>
    </row>
    <row r="1813" spans="1:12" x14ac:dyDescent="0.3">
      <c r="A1813">
        <v>2010</v>
      </c>
      <c r="B1813" t="s">
        <v>34</v>
      </c>
      <c r="C1813">
        <v>153</v>
      </c>
      <c r="D1813">
        <v>3729.8</v>
      </c>
      <c r="E1813">
        <v>39</v>
      </c>
      <c r="F1813" t="s">
        <v>44</v>
      </c>
      <c r="G1813" t="s">
        <v>26</v>
      </c>
      <c r="H1813">
        <v>5518</v>
      </c>
      <c r="I1813">
        <v>53</v>
      </c>
      <c r="J1813" t="s">
        <v>37</v>
      </c>
      <c r="K1813">
        <v>249978</v>
      </c>
      <c r="L1813" t="s">
        <v>16</v>
      </c>
    </row>
    <row r="1814" spans="1:12" x14ac:dyDescent="0.3">
      <c r="A1814">
        <v>2011</v>
      </c>
      <c r="B1814" t="s">
        <v>34</v>
      </c>
      <c r="C1814">
        <v>111</v>
      </c>
      <c r="D1814">
        <v>2746.2</v>
      </c>
      <c r="E1814">
        <v>40</v>
      </c>
      <c r="F1814" t="s">
        <v>44</v>
      </c>
      <c r="G1814" t="s">
        <v>26</v>
      </c>
      <c r="H1814">
        <v>4912</v>
      </c>
      <c r="I1814">
        <v>52</v>
      </c>
      <c r="J1814" t="s">
        <v>37</v>
      </c>
      <c r="K1814">
        <v>637</v>
      </c>
      <c r="L1814" t="s">
        <v>16</v>
      </c>
    </row>
    <row r="1815" spans="1:12" x14ac:dyDescent="0.3">
      <c r="A1815">
        <v>2012</v>
      </c>
      <c r="B1815" t="s">
        <v>34</v>
      </c>
      <c r="C1815">
        <v>76</v>
      </c>
      <c r="D1815">
        <v>2746.2</v>
      </c>
      <c r="E1815">
        <v>40</v>
      </c>
      <c r="F1815" t="s">
        <v>44</v>
      </c>
      <c r="G1815" t="s">
        <v>26</v>
      </c>
      <c r="H1815">
        <v>3830</v>
      </c>
      <c r="I1815">
        <v>51</v>
      </c>
      <c r="J1815" t="s">
        <v>37</v>
      </c>
      <c r="K1815">
        <v>43311</v>
      </c>
      <c r="L1815" t="s">
        <v>16</v>
      </c>
    </row>
    <row r="1816" spans="1:12" x14ac:dyDescent="0.3">
      <c r="A1816">
        <v>2013</v>
      </c>
      <c r="B1816" t="s">
        <v>34</v>
      </c>
      <c r="C1816">
        <v>53</v>
      </c>
      <c r="D1816">
        <v>2746.2</v>
      </c>
      <c r="E1816">
        <v>40</v>
      </c>
      <c r="F1816" t="s">
        <v>44</v>
      </c>
      <c r="G1816" t="s">
        <v>26</v>
      </c>
      <c r="H1816">
        <v>313547</v>
      </c>
      <c r="I1816">
        <v>57</v>
      </c>
      <c r="J1816" t="s">
        <v>37</v>
      </c>
      <c r="K1816">
        <v>24848</v>
      </c>
      <c r="L1816" t="s">
        <v>16</v>
      </c>
    </row>
    <row r="1817" spans="1:12" x14ac:dyDescent="0.3">
      <c r="A1817">
        <v>2014</v>
      </c>
      <c r="B1817" t="s">
        <v>34</v>
      </c>
      <c r="C1817">
        <v>2688</v>
      </c>
      <c r="D1817">
        <v>3360</v>
      </c>
      <c r="E1817">
        <v>41</v>
      </c>
      <c r="F1817" t="s">
        <v>44</v>
      </c>
      <c r="G1817" t="s">
        <v>26</v>
      </c>
      <c r="H1817">
        <v>2783</v>
      </c>
      <c r="I1817">
        <v>57</v>
      </c>
      <c r="J1817" t="s">
        <v>37</v>
      </c>
      <c r="K1817">
        <v>761</v>
      </c>
      <c r="L1817" t="s">
        <v>16</v>
      </c>
    </row>
    <row r="1818" spans="1:12" x14ac:dyDescent="0.3">
      <c r="A1818">
        <v>2015</v>
      </c>
      <c r="B1818" t="s">
        <v>34</v>
      </c>
      <c r="C1818">
        <v>2311</v>
      </c>
      <c r="D1818">
        <v>3360</v>
      </c>
      <c r="E1818">
        <v>41</v>
      </c>
      <c r="F1818" t="s">
        <v>44</v>
      </c>
      <c r="G1818" t="s">
        <v>26</v>
      </c>
      <c r="H1818">
        <v>1533</v>
      </c>
      <c r="I1818">
        <v>60</v>
      </c>
      <c r="J1818" t="s">
        <v>37</v>
      </c>
      <c r="K1818">
        <v>45608</v>
      </c>
      <c r="L1818" t="s">
        <v>16</v>
      </c>
    </row>
    <row r="1819" spans="1:12" x14ac:dyDescent="0.3">
      <c r="A1819">
        <v>2016</v>
      </c>
      <c r="B1819" t="s">
        <v>34</v>
      </c>
      <c r="C1819">
        <v>2188</v>
      </c>
      <c r="D1819">
        <v>3360</v>
      </c>
      <c r="E1819">
        <v>41</v>
      </c>
      <c r="F1819" t="s">
        <v>44</v>
      </c>
      <c r="G1819" t="s">
        <v>26</v>
      </c>
      <c r="H1819">
        <v>1647</v>
      </c>
      <c r="I1819">
        <v>57</v>
      </c>
      <c r="J1819" t="s">
        <v>39</v>
      </c>
      <c r="K1819">
        <v>234581</v>
      </c>
      <c r="L1819" t="s">
        <v>16</v>
      </c>
    </row>
    <row r="1820" spans="1:12" x14ac:dyDescent="0.3">
      <c r="A1820">
        <v>2017</v>
      </c>
      <c r="B1820" t="s">
        <v>34</v>
      </c>
      <c r="C1820">
        <v>1998</v>
      </c>
      <c r="D1820">
        <v>3605.4</v>
      </c>
      <c r="E1820">
        <v>42</v>
      </c>
      <c r="F1820" t="s">
        <v>44</v>
      </c>
      <c r="G1820" t="s">
        <v>26</v>
      </c>
      <c r="H1820">
        <v>975</v>
      </c>
      <c r="I1820">
        <v>57</v>
      </c>
      <c r="J1820" t="s">
        <v>39</v>
      </c>
      <c r="K1820">
        <v>646</v>
      </c>
      <c r="L1820" t="s">
        <v>16</v>
      </c>
    </row>
    <row r="1821" spans="1:12" x14ac:dyDescent="0.3">
      <c r="A1821">
        <v>2018</v>
      </c>
      <c r="B1821" t="s">
        <v>34</v>
      </c>
      <c r="C1821">
        <v>2006</v>
      </c>
      <c r="D1821">
        <v>3605.4</v>
      </c>
      <c r="E1821">
        <v>42</v>
      </c>
      <c r="F1821" t="s">
        <v>44</v>
      </c>
      <c r="G1821" t="s">
        <v>26</v>
      </c>
      <c r="H1821">
        <v>2</v>
      </c>
      <c r="I1821">
        <v>54</v>
      </c>
      <c r="J1821" t="s">
        <v>39</v>
      </c>
      <c r="K1821">
        <v>43562</v>
      </c>
      <c r="L1821" t="s">
        <v>16</v>
      </c>
    </row>
    <row r="1822" spans="1:12" x14ac:dyDescent="0.3">
      <c r="A1822">
        <v>2004</v>
      </c>
      <c r="B1822" t="s">
        <v>34</v>
      </c>
      <c r="C1822">
        <v>2034</v>
      </c>
      <c r="D1822">
        <v>3605.4</v>
      </c>
      <c r="E1822">
        <v>42</v>
      </c>
      <c r="F1822" t="s">
        <v>44</v>
      </c>
      <c r="G1822" t="s">
        <v>26</v>
      </c>
      <c r="H1822">
        <v>836</v>
      </c>
      <c r="I1822">
        <v>54.5</v>
      </c>
      <c r="J1822" t="s">
        <v>39</v>
      </c>
      <c r="K1822">
        <v>200000</v>
      </c>
      <c r="L1822" t="s">
        <v>16</v>
      </c>
    </row>
    <row r="1823" spans="1:12" x14ac:dyDescent="0.3">
      <c r="A1823">
        <v>2005</v>
      </c>
      <c r="B1823" t="s">
        <v>34</v>
      </c>
      <c r="C1823">
        <v>2035</v>
      </c>
      <c r="D1823">
        <v>3512.4</v>
      </c>
      <c r="E1823">
        <v>43</v>
      </c>
      <c r="F1823" t="s">
        <v>44</v>
      </c>
      <c r="G1823" t="s">
        <v>26</v>
      </c>
      <c r="H1823">
        <v>806</v>
      </c>
      <c r="I1823">
        <v>56.6</v>
      </c>
      <c r="J1823" t="s">
        <v>39</v>
      </c>
      <c r="K1823">
        <v>4847</v>
      </c>
      <c r="L1823" t="s">
        <v>16</v>
      </c>
    </row>
    <row r="1824" spans="1:12" x14ac:dyDescent="0.3">
      <c r="A1824">
        <v>2006</v>
      </c>
      <c r="B1824" t="s">
        <v>34</v>
      </c>
      <c r="C1824">
        <v>2074</v>
      </c>
      <c r="D1824">
        <v>3512.4</v>
      </c>
      <c r="E1824">
        <v>43</v>
      </c>
      <c r="F1824" t="s">
        <v>44</v>
      </c>
      <c r="G1824" t="s">
        <v>26</v>
      </c>
      <c r="H1824">
        <v>880</v>
      </c>
      <c r="I1824">
        <v>55.5</v>
      </c>
      <c r="J1824" t="s">
        <v>39</v>
      </c>
      <c r="K1824">
        <v>51239</v>
      </c>
      <c r="L1824" t="s">
        <v>16</v>
      </c>
    </row>
    <row r="1825" spans="1:12" x14ac:dyDescent="0.3">
      <c r="A1825">
        <v>2007</v>
      </c>
      <c r="B1825" t="s">
        <v>34</v>
      </c>
      <c r="C1825">
        <v>2127</v>
      </c>
      <c r="D1825">
        <v>3512.4</v>
      </c>
      <c r="E1825">
        <v>27</v>
      </c>
      <c r="F1825" t="s">
        <v>44</v>
      </c>
      <c r="G1825" t="s">
        <v>26</v>
      </c>
      <c r="H1825">
        <v>770</v>
      </c>
      <c r="I1825">
        <v>58.5</v>
      </c>
      <c r="J1825" t="s">
        <v>39</v>
      </c>
      <c r="K1825">
        <v>216396</v>
      </c>
      <c r="L1825" t="s">
        <v>16</v>
      </c>
    </row>
    <row r="1826" spans="1:12" x14ac:dyDescent="0.3">
      <c r="A1826">
        <v>2008</v>
      </c>
      <c r="B1826" t="s">
        <v>34</v>
      </c>
      <c r="C1826">
        <v>2090</v>
      </c>
      <c r="D1826">
        <v>3296</v>
      </c>
      <c r="E1826">
        <v>27</v>
      </c>
      <c r="F1826" t="s">
        <v>44</v>
      </c>
      <c r="G1826" t="s">
        <v>26</v>
      </c>
      <c r="H1826">
        <v>395</v>
      </c>
      <c r="I1826">
        <v>59.5</v>
      </c>
      <c r="J1826" t="s">
        <v>39</v>
      </c>
      <c r="K1826">
        <v>2644</v>
      </c>
      <c r="L1826" t="s">
        <v>16</v>
      </c>
    </row>
    <row r="1827" spans="1:12" x14ac:dyDescent="0.3">
      <c r="A1827">
        <v>2009</v>
      </c>
      <c r="B1827" t="s">
        <v>34</v>
      </c>
      <c r="C1827">
        <v>2059</v>
      </c>
      <c r="D1827">
        <v>3296</v>
      </c>
      <c r="E1827">
        <v>27</v>
      </c>
      <c r="F1827" t="s">
        <v>44</v>
      </c>
      <c r="G1827" t="s">
        <v>26</v>
      </c>
      <c r="H1827">
        <v>187</v>
      </c>
      <c r="I1827">
        <v>55</v>
      </c>
      <c r="J1827" t="s">
        <v>39</v>
      </c>
      <c r="K1827">
        <v>44235</v>
      </c>
      <c r="L1827" t="s">
        <v>16</v>
      </c>
    </row>
    <row r="1828" spans="1:12" x14ac:dyDescent="0.3">
      <c r="A1828">
        <v>2010</v>
      </c>
      <c r="B1828" t="s">
        <v>34</v>
      </c>
      <c r="C1828">
        <v>2050</v>
      </c>
      <c r="D1828">
        <v>3296</v>
      </c>
      <c r="E1828">
        <v>27</v>
      </c>
      <c r="F1828" t="s">
        <v>44</v>
      </c>
      <c r="G1828" t="s">
        <v>26</v>
      </c>
      <c r="H1828">
        <v>187</v>
      </c>
      <c r="I1828">
        <v>53</v>
      </c>
      <c r="J1828" t="s">
        <v>39</v>
      </c>
      <c r="K1828">
        <v>203317</v>
      </c>
      <c r="L1828" t="s">
        <v>16</v>
      </c>
    </row>
    <row r="1829" spans="1:12" x14ac:dyDescent="0.3">
      <c r="A1829">
        <v>2011</v>
      </c>
      <c r="B1829" t="s">
        <v>12</v>
      </c>
      <c r="C1829">
        <v>1865</v>
      </c>
      <c r="D1829">
        <v>3550</v>
      </c>
      <c r="E1829">
        <v>27</v>
      </c>
      <c r="F1829" t="s">
        <v>44</v>
      </c>
      <c r="G1829" t="s">
        <v>26</v>
      </c>
      <c r="H1829">
        <v>121</v>
      </c>
      <c r="I1829">
        <v>53.5</v>
      </c>
      <c r="J1829" t="s">
        <v>39</v>
      </c>
      <c r="K1829">
        <v>2134</v>
      </c>
      <c r="L1829" t="s">
        <v>16</v>
      </c>
    </row>
    <row r="1830" spans="1:12" x14ac:dyDescent="0.3">
      <c r="A1830">
        <v>2012</v>
      </c>
      <c r="B1830" t="s">
        <v>12</v>
      </c>
      <c r="C1830">
        <v>1841</v>
      </c>
      <c r="D1830">
        <v>3550</v>
      </c>
      <c r="E1830">
        <v>27</v>
      </c>
      <c r="F1830" t="s">
        <v>44</v>
      </c>
      <c r="G1830" t="s">
        <v>26</v>
      </c>
      <c r="H1830">
        <v>103</v>
      </c>
      <c r="I1830">
        <v>52.5</v>
      </c>
      <c r="J1830" t="s">
        <v>39</v>
      </c>
      <c r="K1830">
        <v>45186</v>
      </c>
      <c r="L1830" t="s">
        <v>16</v>
      </c>
    </row>
    <row r="1831" spans="1:12" x14ac:dyDescent="0.3">
      <c r="A1831">
        <v>2013</v>
      </c>
      <c r="B1831" t="s">
        <v>12</v>
      </c>
      <c r="C1831">
        <v>1799</v>
      </c>
      <c r="D1831">
        <v>3550</v>
      </c>
      <c r="E1831">
        <v>27.2</v>
      </c>
      <c r="F1831" t="s">
        <v>44</v>
      </c>
      <c r="G1831" t="s">
        <v>26</v>
      </c>
      <c r="H1831">
        <v>71</v>
      </c>
      <c r="I1831">
        <v>56</v>
      </c>
      <c r="J1831" t="s">
        <v>39</v>
      </c>
      <c r="K1831">
        <v>238542</v>
      </c>
      <c r="L1831" t="s">
        <v>16</v>
      </c>
    </row>
    <row r="1832" spans="1:12" x14ac:dyDescent="0.3">
      <c r="A1832">
        <v>2014</v>
      </c>
      <c r="B1832" t="s">
        <v>12</v>
      </c>
      <c r="C1832">
        <v>1468</v>
      </c>
      <c r="D1832">
        <v>3654</v>
      </c>
      <c r="E1832">
        <v>27.2</v>
      </c>
      <c r="F1832" t="s">
        <v>44</v>
      </c>
      <c r="G1832" t="s">
        <v>26</v>
      </c>
      <c r="H1832">
        <v>3961</v>
      </c>
      <c r="I1832">
        <v>57</v>
      </c>
      <c r="J1832" t="s">
        <v>39</v>
      </c>
      <c r="K1832">
        <v>1516</v>
      </c>
      <c r="L1832" t="s">
        <v>16</v>
      </c>
    </row>
    <row r="1833" spans="1:12" x14ac:dyDescent="0.3">
      <c r="A1833">
        <v>2015</v>
      </c>
      <c r="B1833" t="s">
        <v>12</v>
      </c>
      <c r="C1833">
        <v>568</v>
      </c>
      <c r="D1833">
        <v>3654</v>
      </c>
      <c r="E1833">
        <v>27.2</v>
      </c>
      <c r="F1833" t="s">
        <v>44</v>
      </c>
      <c r="G1833" t="s">
        <v>26</v>
      </c>
      <c r="H1833">
        <v>4247</v>
      </c>
      <c r="I1833">
        <v>57.5</v>
      </c>
      <c r="J1833" t="s">
        <v>39</v>
      </c>
      <c r="K1833">
        <v>200000</v>
      </c>
      <c r="L1833" t="s">
        <v>16</v>
      </c>
    </row>
    <row r="1834" spans="1:12" x14ac:dyDescent="0.3">
      <c r="A1834">
        <v>2016</v>
      </c>
      <c r="B1834" t="s">
        <v>12</v>
      </c>
      <c r="C1834">
        <v>407</v>
      </c>
      <c r="D1834">
        <v>3654</v>
      </c>
      <c r="E1834">
        <v>27</v>
      </c>
      <c r="F1834" t="s">
        <v>44</v>
      </c>
      <c r="G1834" t="s">
        <v>26</v>
      </c>
      <c r="H1834">
        <v>3290</v>
      </c>
      <c r="I1834">
        <v>57</v>
      </c>
      <c r="J1834" t="s">
        <v>40</v>
      </c>
      <c r="K1834">
        <v>4847</v>
      </c>
      <c r="L1834" t="s">
        <v>16</v>
      </c>
    </row>
    <row r="1835" spans="1:12" x14ac:dyDescent="0.3">
      <c r="A1835">
        <v>2017</v>
      </c>
      <c r="B1835" t="s">
        <v>12</v>
      </c>
      <c r="C1835">
        <v>177</v>
      </c>
      <c r="D1835">
        <v>233</v>
      </c>
      <c r="E1835">
        <v>27</v>
      </c>
      <c r="F1835" t="s">
        <v>44</v>
      </c>
      <c r="G1835" t="s">
        <v>26</v>
      </c>
      <c r="H1835">
        <v>3138</v>
      </c>
      <c r="I1835">
        <v>55</v>
      </c>
      <c r="J1835" t="s">
        <v>40</v>
      </c>
      <c r="K1835">
        <v>51239</v>
      </c>
      <c r="L1835" t="s">
        <v>16</v>
      </c>
    </row>
    <row r="1836" spans="1:12" x14ac:dyDescent="0.3">
      <c r="A1836">
        <v>2018</v>
      </c>
      <c r="B1836" t="s">
        <v>12</v>
      </c>
      <c r="C1836">
        <v>51</v>
      </c>
      <c r="D1836">
        <v>233</v>
      </c>
      <c r="E1836">
        <v>27</v>
      </c>
      <c r="F1836" t="s">
        <v>44</v>
      </c>
      <c r="G1836" t="s">
        <v>26</v>
      </c>
      <c r="H1836">
        <v>3423</v>
      </c>
      <c r="I1836">
        <v>56</v>
      </c>
      <c r="J1836" t="s">
        <v>40</v>
      </c>
      <c r="K1836">
        <v>216396</v>
      </c>
      <c r="L1836" t="s">
        <v>16</v>
      </c>
    </row>
    <row r="1837" spans="1:12" x14ac:dyDescent="0.3">
      <c r="A1837">
        <v>2004</v>
      </c>
      <c r="B1837" t="s">
        <v>12</v>
      </c>
      <c r="C1837">
        <v>173</v>
      </c>
      <c r="D1837">
        <v>233</v>
      </c>
      <c r="E1837">
        <v>27</v>
      </c>
      <c r="F1837" t="s">
        <v>44</v>
      </c>
      <c r="G1837" t="s">
        <v>26</v>
      </c>
      <c r="H1837">
        <v>3899</v>
      </c>
      <c r="I1837">
        <v>54</v>
      </c>
      <c r="J1837" t="s">
        <v>40</v>
      </c>
      <c r="K1837">
        <v>2644</v>
      </c>
      <c r="L1837" t="s">
        <v>16</v>
      </c>
    </row>
    <row r="1838" spans="1:12" x14ac:dyDescent="0.3">
      <c r="A1838">
        <v>2005</v>
      </c>
      <c r="B1838" t="s">
        <v>12</v>
      </c>
      <c r="C1838">
        <v>201</v>
      </c>
      <c r="D1838">
        <v>234</v>
      </c>
      <c r="E1838">
        <v>27</v>
      </c>
      <c r="F1838" t="s">
        <v>44</v>
      </c>
      <c r="G1838" t="s">
        <v>26</v>
      </c>
      <c r="H1838">
        <v>4015</v>
      </c>
      <c r="I1838">
        <v>58</v>
      </c>
      <c r="J1838" t="s">
        <v>40</v>
      </c>
      <c r="K1838">
        <v>44235</v>
      </c>
      <c r="L1838" t="s">
        <v>16</v>
      </c>
    </row>
    <row r="1839" spans="1:12" x14ac:dyDescent="0.3">
      <c r="A1839">
        <v>2006</v>
      </c>
      <c r="B1839" t="s">
        <v>12</v>
      </c>
      <c r="C1839">
        <v>206</v>
      </c>
      <c r="D1839">
        <v>234</v>
      </c>
      <c r="E1839">
        <v>27</v>
      </c>
      <c r="F1839" t="s">
        <v>44</v>
      </c>
      <c r="G1839" t="s">
        <v>26</v>
      </c>
      <c r="H1839">
        <v>4279</v>
      </c>
      <c r="I1839">
        <v>58</v>
      </c>
      <c r="J1839" t="s">
        <v>40</v>
      </c>
      <c r="K1839">
        <v>203317</v>
      </c>
      <c r="L1839" t="s">
        <v>16</v>
      </c>
    </row>
    <row r="1840" spans="1:12" x14ac:dyDescent="0.3">
      <c r="A1840">
        <v>2007</v>
      </c>
      <c r="B1840" t="s">
        <v>12</v>
      </c>
      <c r="C1840">
        <v>243</v>
      </c>
      <c r="D1840">
        <v>234</v>
      </c>
      <c r="E1840">
        <v>27.2</v>
      </c>
      <c r="F1840" t="s">
        <v>44</v>
      </c>
      <c r="G1840" t="s">
        <v>26</v>
      </c>
      <c r="H1840">
        <v>4167</v>
      </c>
      <c r="I1840">
        <v>59</v>
      </c>
      <c r="J1840" t="s">
        <v>40</v>
      </c>
      <c r="K1840">
        <v>2134</v>
      </c>
      <c r="L1840" t="s">
        <v>16</v>
      </c>
    </row>
    <row r="1841" spans="1:12" x14ac:dyDescent="0.3">
      <c r="A1841">
        <v>2008</v>
      </c>
      <c r="B1841" t="s">
        <v>12</v>
      </c>
      <c r="C1841">
        <v>123</v>
      </c>
      <c r="D1841">
        <v>3105</v>
      </c>
      <c r="E1841">
        <v>27.2</v>
      </c>
      <c r="F1841" t="s">
        <v>44</v>
      </c>
      <c r="G1841" t="s">
        <v>26</v>
      </c>
      <c r="H1841">
        <v>4479</v>
      </c>
      <c r="I1841">
        <v>50</v>
      </c>
      <c r="J1841" t="s">
        <v>40</v>
      </c>
      <c r="K1841">
        <v>45186</v>
      </c>
      <c r="L1841" t="s">
        <v>16</v>
      </c>
    </row>
    <row r="1842" spans="1:12" x14ac:dyDescent="0.3">
      <c r="A1842">
        <v>2009</v>
      </c>
      <c r="B1842" t="s">
        <v>12</v>
      </c>
      <c r="C1842">
        <v>82</v>
      </c>
      <c r="D1842">
        <v>3105</v>
      </c>
      <c r="E1842">
        <v>27.2</v>
      </c>
      <c r="F1842" t="s">
        <v>44</v>
      </c>
      <c r="G1842" t="s">
        <v>26</v>
      </c>
      <c r="H1842">
        <v>3699</v>
      </c>
      <c r="I1842">
        <v>54</v>
      </c>
      <c r="J1842" t="s">
        <v>40</v>
      </c>
      <c r="K1842">
        <v>238542</v>
      </c>
      <c r="L1842" t="s">
        <v>16</v>
      </c>
    </row>
    <row r="1843" spans="1:12" x14ac:dyDescent="0.3">
      <c r="A1843">
        <v>2010</v>
      </c>
      <c r="B1843" t="s">
        <v>12</v>
      </c>
      <c r="C1843">
        <v>74</v>
      </c>
      <c r="D1843">
        <v>3105</v>
      </c>
      <c r="E1843">
        <v>27.1</v>
      </c>
      <c r="F1843" t="s">
        <v>44</v>
      </c>
      <c r="G1843" t="s">
        <v>26</v>
      </c>
      <c r="H1843">
        <v>4904</v>
      </c>
      <c r="I1843">
        <v>53</v>
      </c>
      <c r="J1843" t="s">
        <v>40</v>
      </c>
      <c r="K1843">
        <v>1516</v>
      </c>
      <c r="L1843" t="s">
        <v>16</v>
      </c>
    </row>
    <row r="1844" spans="1:12" x14ac:dyDescent="0.3">
      <c r="A1844">
        <v>2011</v>
      </c>
      <c r="B1844" t="s">
        <v>12</v>
      </c>
      <c r="C1844">
        <v>18</v>
      </c>
      <c r="D1844">
        <v>236</v>
      </c>
      <c r="E1844">
        <v>27.1</v>
      </c>
      <c r="F1844" t="s">
        <v>44</v>
      </c>
      <c r="G1844" t="s">
        <v>26</v>
      </c>
      <c r="H1844">
        <v>2821</v>
      </c>
      <c r="I1844">
        <v>52</v>
      </c>
      <c r="J1844" t="s">
        <v>40</v>
      </c>
      <c r="K1844">
        <v>57259</v>
      </c>
      <c r="L1844" t="s">
        <v>16</v>
      </c>
    </row>
    <row r="1845" spans="1:12" x14ac:dyDescent="0.3">
      <c r="A1845">
        <v>2012</v>
      </c>
      <c r="B1845" t="s">
        <v>12</v>
      </c>
      <c r="C1845">
        <v>37</v>
      </c>
      <c r="D1845">
        <v>2903.1</v>
      </c>
      <c r="E1845">
        <v>27.1</v>
      </c>
      <c r="F1845" t="s">
        <v>44</v>
      </c>
      <c r="G1845" t="s">
        <v>26</v>
      </c>
      <c r="H1845">
        <v>3472</v>
      </c>
      <c r="I1845">
        <v>51</v>
      </c>
      <c r="J1845" t="s">
        <v>40</v>
      </c>
      <c r="K1845">
        <v>234779</v>
      </c>
      <c r="L1845" t="s">
        <v>16</v>
      </c>
    </row>
    <row r="1846" spans="1:12" x14ac:dyDescent="0.3">
      <c r="A1846">
        <v>2013</v>
      </c>
      <c r="B1846" t="s">
        <v>12</v>
      </c>
      <c r="C1846">
        <v>35</v>
      </c>
      <c r="D1846">
        <v>2903.1</v>
      </c>
      <c r="E1846">
        <v>26.8</v>
      </c>
      <c r="F1846" t="s">
        <v>44</v>
      </c>
      <c r="G1846" t="s">
        <v>26</v>
      </c>
      <c r="H1846">
        <v>3647</v>
      </c>
      <c r="I1846">
        <v>57</v>
      </c>
      <c r="J1846" t="s">
        <v>40</v>
      </c>
      <c r="K1846">
        <v>1493</v>
      </c>
      <c r="L1846" t="s">
        <v>16</v>
      </c>
    </row>
    <row r="1847" spans="1:12" x14ac:dyDescent="0.3">
      <c r="A1847">
        <v>2014</v>
      </c>
      <c r="B1847" t="s">
        <v>12</v>
      </c>
      <c r="C1847">
        <v>5974</v>
      </c>
      <c r="D1847">
        <v>2903.1</v>
      </c>
      <c r="E1847">
        <v>26.8</v>
      </c>
      <c r="F1847" t="s">
        <v>44</v>
      </c>
      <c r="G1847" t="s">
        <v>26</v>
      </c>
      <c r="H1847">
        <v>393</v>
      </c>
      <c r="I1847">
        <v>57</v>
      </c>
      <c r="J1847" t="s">
        <v>40</v>
      </c>
      <c r="K1847">
        <v>64409</v>
      </c>
      <c r="L1847" t="s">
        <v>16</v>
      </c>
    </row>
    <row r="1848" spans="1:12" x14ac:dyDescent="0.3">
      <c r="A1848">
        <v>2015</v>
      </c>
      <c r="B1848" t="s">
        <v>12</v>
      </c>
      <c r="C1848">
        <v>6631</v>
      </c>
      <c r="D1848">
        <v>2996.6</v>
      </c>
      <c r="E1848">
        <v>26.8</v>
      </c>
      <c r="F1848" t="s">
        <v>44</v>
      </c>
      <c r="G1848" t="s">
        <v>26</v>
      </c>
      <c r="H1848">
        <v>167</v>
      </c>
      <c r="I1848">
        <v>60</v>
      </c>
      <c r="J1848" t="s">
        <v>40</v>
      </c>
      <c r="K1848">
        <v>249978</v>
      </c>
      <c r="L1848" t="s">
        <v>16</v>
      </c>
    </row>
    <row r="1849" spans="1:12" x14ac:dyDescent="0.3">
      <c r="A1849">
        <v>2016</v>
      </c>
      <c r="B1849" t="s">
        <v>12</v>
      </c>
      <c r="C1849">
        <v>6705</v>
      </c>
      <c r="D1849">
        <v>2996.6</v>
      </c>
      <c r="E1849">
        <v>37</v>
      </c>
      <c r="F1849" t="s">
        <v>44</v>
      </c>
      <c r="G1849" t="s">
        <v>26</v>
      </c>
      <c r="H1849">
        <v>71</v>
      </c>
      <c r="I1849">
        <v>57</v>
      </c>
      <c r="J1849" t="s">
        <v>42</v>
      </c>
      <c r="K1849">
        <v>637</v>
      </c>
      <c r="L1849" t="s">
        <v>16</v>
      </c>
    </row>
    <row r="1850" spans="1:12" x14ac:dyDescent="0.3">
      <c r="A1850">
        <v>2017</v>
      </c>
      <c r="B1850" t="s">
        <v>12</v>
      </c>
      <c r="C1850">
        <v>5876</v>
      </c>
      <c r="D1850">
        <v>2996.6</v>
      </c>
      <c r="E1850">
        <v>37</v>
      </c>
      <c r="F1850" t="s">
        <v>44</v>
      </c>
      <c r="G1850" t="s">
        <v>26</v>
      </c>
      <c r="H1850">
        <v>52</v>
      </c>
      <c r="I1850">
        <v>57</v>
      </c>
      <c r="J1850" t="s">
        <v>42</v>
      </c>
      <c r="K1850">
        <v>43311</v>
      </c>
      <c r="L1850" t="s">
        <v>16</v>
      </c>
    </row>
    <row r="1851" spans="1:12" x14ac:dyDescent="0.3">
      <c r="A1851">
        <v>2018</v>
      </c>
      <c r="B1851" t="s">
        <v>12</v>
      </c>
      <c r="C1851">
        <v>326</v>
      </c>
      <c r="D1851">
        <v>3522.8</v>
      </c>
      <c r="E1851">
        <v>37</v>
      </c>
      <c r="F1851" t="s">
        <v>58</v>
      </c>
      <c r="G1851" t="s">
        <v>26</v>
      </c>
      <c r="H1851">
        <v>313547</v>
      </c>
      <c r="I1851">
        <v>54</v>
      </c>
      <c r="J1851" t="s">
        <v>42</v>
      </c>
      <c r="K1851">
        <v>24848</v>
      </c>
      <c r="L1851" t="s">
        <v>16</v>
      </c>
    </row>
    <row r="1852" spans="1:12" x14ac:dyDescent="0.3">
      <c r="A1852">
        <v>2004</v>
      </c>
      <c r="B1852" t="s">
        <v>12</v>
      </c>
      <c r="C1852">
        <v>6470</v>
      </c>
      <c r="D1852">
        <v>3522.8</v>
      </c>
      <c r="E1852">
        <v>38</v>
      </c>
      <c r="F1852" t="s">
        <v>58</v>
      </c>
      <c r="G1852" t="s">
        <v>26</v>
      </c>
      <c r="H1852">
        <v>2783</v>
      </c>
      <c r="I1852">
        <v>54.5</v>
      </c>
      <c r="J1852" t="s">
        <v>42</v>
      </c>
      <c r="K1852">
        <v>761</v>
      </c>
      <c r="L1852" t="s">
        <v>16</v>
      </c>
    </row>
    <row r="1853" spans="1:12" x14ac:dyDescent="0.3">
      <c r="A1853">
        <v>2005</v>
      </c>
      <c r="B1853" t="s">
        <v>12</v>
      </c>
      <c r="C1853">
        <v>6709</v>
      </c>
      <c r="D1853">
        <v>3522.8</v>
      </c>
      <c r="E1853">
        <v>38</v>
      </c>
      <c r="F1853" t="s">
        <v>58</v>
      </c>
      <c r="G1853" t="s">
        <v>26</v>
      </c>
      <c r="H1853">
        <v>1533</v>
      </c>
      <c r="I1853">
        <v>56.6</v>
      </c>
      <c r="J1853" t="s">
        <v>42</v>
      </c>
      <c r="K1853">
        <v>45608</v>
      </c>
      <c r="L1853" t="s">
        <v>16</v>
      </c>
    </row>
    <row r="1854" spans="1:12" x14ac:dyDescent="0.3">
      <c r="A1854">
        <v>2006</v>
      </c>
      <c r="B1854" t="s">
        <v>12</v>
      </c>
      <c r="C1854">
        <v>6186</v>
      </c>
      <c r="D1854">
        <v>3729.8</v>
      </c>
      <c r="E1854">
        <v>38</v>
      </c>
      <c r="F1854" t="s">
        <v>58</v>
      </c>
      <c r="G1854" t="s">
        <v>14</v>
      </c>
      <c r="H1854">
        <v>1647</v>
      </c>
      <c r="I1854">
        <v>55.5</v>
      </c>
      <c r="J1854" t="s">
        <v>42</v>
      </c>
      <c r="K1854">
        <v>234581</v>
      </c>
      <c r="L1854" t="s">
        <v>16</v>
      </c>
    </row>
    <row r="1855" spans="1:12" x14ac:dyDescent="0.3">
      <c r="A1855">
        <v>2007</v>
      </c>
      <c r="B1855" t="s">
        <v>12</v>
      </c>
      <c r="C1855">
        <v>6503</v>
      </c>
      <c r="D1855">
        <v>3729.8</v>
      </c>
      <c r="E1855">
        <v>39</v>
      </c>
      <c r="F1855" t="s">
        <v>58</v>
      </c>
      <c r="G1855" t="s">
        <v>14</v>
      </c>
      <c r="H1855">
        <v>975</v>
      </c>
      <c r="I1855">
        <v>58.5</v>
      </c>
      <c r="J1855" t="s">
        <v>42</v>
      </c>
      <c r="K1855">
        <v>646</v>
      </c>
      <c r="L1855" t="s">
        <v>16</v>
      </c>
    </row>
    <row r="1856" spans="1:12" x14ac:dyDescent="0.3">
      <c r="A1856">
        <v>2008</v>
      </c>
      <c r="B1856" t="s">
        <v>12</v>
      </c>
      <c r="C1856">
        <v>5220</v>
      </c>
      <c r="D1856">
        <v>3729.8</v>
      </c>
      <c r="E1856">
        <v>39</v>
      </c>
      <c r="F1856" t="s">
        <v>58</v>
      </c>
      <c r="G1856" t="s">
        <v>14</v>
      </c>
      <c r="H1856">
        <v>2</v>
      </c>
      <c r="I1856">
        <v>59.5</v>
      </c>
      <c r="J1856" t="s">
        <v>42</v>
      </c>
      <c r="K1856">
        <v>43562</v>
      </c>
      <c r="L1856" t="s">
        <v>16</v>
      </c>
    </row>
    <row r="1857" spans="1:12" x14ac:dyDescent="0.3">
      <c r="A1857">
        <v>2009</v>
      </c>
      <c r="B1857" t="s">
        <v>12</v>
      </c>
      <c r="C1857">
        <v>4677</v>
      </c>
      <c r="D1857">
        <v>2746.2</v>
      </c>
      <c r="E1857">
        <v>39</v>
      </c>
      <c r="F1857" t="s">
        <v>58</v>
      </c>
      <c r="G1857" t="s">
        <v>14</v>
      </c>
      <c r="H1857">
        <v>836</v>
      </c>
      <c r="I1857">
        <v>55</v>
      </c>
      <c r="J1857" t="s">
        <v>42</v>
      </c>
      <c r="K1857">
        <v>200000</v>
      </c>
      <c r="L1857" t="s">
        <v>16</v>
      </c>
    </row>
    <row r="1858" spans="1:12" x14ac:dyDescent="0.3">
      <c r="A1858">
        <v>2010</v>
      </c>
      <c r="B1858" t="s">
        <v>12</v>
      </c>
      <c r="C1858">
        <v>4803</v>
      </c>
      <c r="D1858">
        <v>2746.2</v>
      </c>
      <c r="E1858">
        <v>40</v>
      </c>
      <c r="F1858" t="s">
        <v>58</v>
      </c>
      <c r="G1858" t="s">
        <v>14</v>
      </c>
      <c r="H1858">
        <v>806</v>
      </c>
      <c r="I1858">
        <v>53</v>
      </c>
      <c r="J1858" t="s">
        <v>42</v>
      </c>
      <c r="K1858">
        <v>4847</v>
      </c>
      <c r="L1858" t="s">
        <v>16</v>
      </c>
    </row>
    <row r="1859" spans="1:12" x14ac:dyDescent="0.3">
      <c r="A1859">
        <v>2011</v>
      </c>
      <c r="B1859" t="s">
        <v>12</v>
      </c>
      <c r="C1859">
        <v>3739</v>
      </c>
      <c r="D1859">
        <v>2746.2</v>
      </c>
      <c r="E1859">
        <v>40</v>
      </c>
      <c r="F1859" t="s">
        <v>58</v>
      </c>
      <c r="G1859" t="s">
        <v>14</v>
      </c>
      <c r="H1859">
        <v>880</v>
      </c>
      <c r="I1859">
        <v>53.5</v>
      </c>
      <c r="J1859" t="s">
        <v>42</v>
      </c>
      <c r="K1859">
        <v>51239</v>
      </c>
      <c r="L1859" t="s">
        <v>16</v>
      </c>
    </row>
    <row r="1860" spans="1:12" x14ac:dyDescent="0.3">
      <c r="A1860">
        <v>2012</v>
      </c>
      <c r="B1860" t="s">
        <v>12</v>
      </c>
      <c r="C1860">
        <v>3529</v>
      </c>
      <c r="D1860">
        <v>3360</v>
      </c>
      <c r="E1860">
        <v>40</v>
      </c>
      <c r="F1860" t="s">
        <v>58</v>
      </c>
      <c r="G1860" t="s">
        <v>14</v>
      </c>
      <c r="H1860">
        <v>770</v>
      </c>
      <c r="I1860">
        <v>52.5</v>
      </c>
      <c r="J1860" t="s">
        <v>42</v>
      </c>
      <c r="K1860">
        <v>216396</v>
      </c>
      <c r="L1860" t="s">
        <v>16</v>
      </c>
    </row>
    <row r="1861" spans="1:12" x14ac:dyDescent="0.3">
      <c r="A1861">
        <v>2013</v>
      </c>
      <c r="B1861" t="s">
        <v>12</v>
      </c>
      <c r="C1861">
        <v>3649</v>
      </c>
      <c r="D1861">
        <v>3360</v>
      </c>
      <c r="E1861">
        <v>41</v>
      </c>
      <c r="F1861" t="s">
        <v>58</v>
      </c>
      <c r="G1861" t="s">
        <v>14</v>
      </c>
      <c r="H1861">
        <v>395</v>
      </c>
      <c r="I1861">
        <v>56</v>
      </c>
      <c r="J1861" t="s">
        <v>42</v>
      </c>
      <c r="K1861">
        <v>2644</v>
      </c>
      <c r="L1861" t="s">
        <v>16</v>
      </c>
    </row>
    <row r="1862" spans="1:12" x14ac:dyDescent="0.3">
      <c r="A1862">
        <v>2014</v>
      </c>
      <c r="B1862" t="s">
        <v>12</v>
      </c>
      <c r="C1862">
        <v>1374</v>
      </c>
      <c r="D1862">
        <v>3360</v>
      </c>
      <c r="E1862">
        <v>41</v>
      </c>
      <c r="F1862" t="s">
        <v>58</v>
      </c>
      <c r="G1862" t="s">
        <v>14</v>
      </c>
      <c r="H1862">
        <v>187</v>
      </c>
      <c r="I1862">
        <v>59.5</v>
      </c>
      <c r="J1862" t="s">
        <v>42</v>
      </c>
      <c r="K1862">
        <v>44235</v>
      </c>
      <c r="L1862" t="s">
        <v>16</v>
      </c>
    </row>
    <row r="1863" spans="1:12" x14ac:dyDescent="0.3">
      <c r="A1863">
        <v>2015</v>
      </c>
      <c r="B1863" t="s">
        <v>12</v>
      </c>
      <c r="C1863">
        <v>933</v>
      </c>
      <c r="D1863">
        <v>3605.4</v>
      </c>
      <c r="E1863">
        <v>41</v>
      </c>
      <c r="F1863" t="s">
        <v>58</v>
      </c>
      <c r="G1863" t="s">
        <v>14</v>
      </c>
      <c r="H1863">
        <v>187</v>
      </c>
      <c r="I1863">
        <v>55</v>
      </c>
      <c r="J1863" t="s">
        <v>42</v>
      </c>
      <c r="K1863">
        <v>203317</v>
      </c>
      <c r="L1863" t="s">
        <v>16</v>
      </c>
    </row>
    <row r="1864" spans="1:12" x14ac:dyDescent="0.3">
      <c r="A1864">
        <v>2016</v>
      </c>
      <c r="B1864" t="s">
        <v>12</v>
      </c>
      <c r="C1864">
        <v>345</v>
      </c>
      <c r="D1864">
        <v>3605.4</v>
      </c>
      <c r="E1864">
        <v>42</v>
      </c>
      <c r="F1864" t="s">
        <v>58</v>
      </c>
      <c r="G1864" t="s">
        <v>14</v>
      </c>
      <c r="H1864">
        <v>121</v>
      </c>
      <c r="I1864">
        <v>53</v>
      </c>
      <c r="J1864" t="s">
        <v>43</v>
      </c>
      <c r="K1864">
        <v>2134</v>
      </c>
      <c r="L1864" t="s">
        <v>16</v>
      </c>
    </row>
    <row r="1865" spans="1:12" x14ac:dyDescent="0.3">
      <c r="A1865">
        <v>2017</v>
      </c>
      <c r="B1865" t="s">
        <v>12</v>
      </c>
      <c r="C1865">
        <v>29</v>
      </c>
      <c r="D1865">
        <v>3605.4</v>
      </c>
      <c r="E1865">
        <v>42</v>
      </c>
      <c r="F1865" t="s">
        <v>58</v>
      </c>
      <c r="G1865" t="s">
        <v>14</v>
      </c>
      <c r="H1865">
        <v>103</v>
      </c>
      <c r="I1865">
        <v>53.5</v>
      </c>
      <c r="J1865" t="s">
        <v>43</v>
      </c>
      <c r="K1865">
        <v>45186</v>
      </c>
      <c r="L1865" t="s">
        <v>16</v>
      </c>
    </row>
    <row r="1866" spans="1:12" x14ac:dyDescent="0.3">
      <c r="A1866">
        <v>2018</v>
      </c>
      <c r="B1866" t="s">
        <v>12</v>
      </c>
      <c r="C1866">
        <v>11</v>
      </c>
      <c r="D1866">
        <v>3512.4</v>
      </c>
      <c r="E1866">
        <v>42</v>
      </c>
      <c r="F1866" t="s">
        <v>58</v>
      </c>
      <c r="G1866" t="s">
        <v>14</v>
      </c>
      <c r="H1866">
        <v>71</v>
      </c>
      <c r="I1866">
        <v>52.5</v>
      </c>
      <c r="J1866" t="s">
        <v>43</v>
      </c>
      <c r="K1866">
        <v>238542</v>
      </c>
      <c r="L1866" t="s">
        <v>16</v>
      </c>
    </row>
    <row r="1867" spans="1:12" x14ac:dyDescent="0.3">
      <c r="A1867">
        <v>2004</v>
      </c>
      <c r="B1867" t="s">
        <v>12</v>
      </c>
      <c r="C1867">
        <v>10</v>
      </c>
      <c r="D1867">
        <v>3512.4</v>
      </c>
      <c r="E1867">
        <v>43</v>
      </c>
      <c r="F1867" t="s">
        <v>58</v>
      </c>
      <c r="G1867" t="s">
        <v>14</v>
      </c>
      <c r="H1867">
        <v>3961</v>
      </c>
      <c r="I1867">
        <v>56</v>
      </c>
      <c r="J1867" t="s">
        <v>43</v>
      </c>
      <c r="K1867">
        <v>1516</v>
      </c>
      <c r="L1867" t="s">
        <v>16</v>
      </c>
    </row>
    <row r="1868" spans="1:12" x14ac:dyDescent="0.3">
      <c r="A1868">
        <v>2005</v>
      </c>
      <c r="B1868" t="s">
        <v>12</v>
      </c>
      <c r="C1868">
        <v>7</v>
      </c>
      <c r="D1868">
        <v>3512.4</v>
      </c>
      <c r="E1868">
        <v>27</v>
      </c>
      <c r="F1868" t="s">
        <v>58</v>
      </c>
      <c r="G1868" t="s">
        <v>14</v>
      </c>
      <c r="H1868">
        <v>4247</v>
      </c>
      <c r="I1868">
        <v>57</v>
      </c>
      <c r="J1868" t="s">
        <v>43</v>
      </c>
      <c r="K1868">
        <v>57259</v>
      </c>
      <c r="L1868" t="s">
        <v>16</v>
      </c>
    </row>
    <row r="1869" spans="1:12" x14ac:dyDescent="0.3">
      <c r="A1869">
        <v>2006</v>
      </c>
      <c r="B1869" t="s">
        <v>12</v>
      </c>
      <c r="C1869">
        <v>10</v>
      </c>
      <c r="D1869">
        <v>3296</v>
      </c>
      <c r="E1869">
        <v>27</v>
      </c>
      <c r="F1869" t="s">
        <v>58</v>
      </c>
      <c r="G1869" t="s">
        <v>14</v>
      </c>
      <c r="H1869">
        <v>3290</v>
      </c>
      <c r="I1869">
        <v>57.5</v>
      </c>
      <c r="J1869" t="s">
        <v>43</v>
      </c>
      <c r="K1869">
        <v>234779</v>
      </c>
      <c r="L1869" t="s">
        <v>16</v>
      </c>
    </row>
    <row r="1870" spans="1:12" x14ac:dyDescent="0.3">
      <c r="A1870">
        <v>2007</v>
      </c>
      <c r="B1870" t="s">
        <v>12</v>
      </c>
      <c r="C1870">
        <v>56</v>
      </c>
      <c r="D1870">
        <v>3296</v>
      </c>
      <c r="E1870">
        <v>27</v>
      </c>
      <c r="F1870" t="s">
        <v>58</v>
      </c>
      <c r="G1870" t="s">
        <v>14</v>
      </c>
      <c r="H1870">
        <v>3138</v>
      </c>
      <c r="I1870">
        <v>57</v>
      </c>
      <c r="J1870" t="s">
        <v>43</v>
      </c>
      <c r="K1870">
        <v>1493</v>
      </c>
      <c r="L1870" t="s">
        <v>16</v>
      </c>
    </row>
    <row r="1871" spans="1:12" x14ac:dyDescent="0.3">
      <c r="A1871">
        <v>2008</v>
      </c>
      <c r="B1871" t="s">
        <v>12</v>
      </c>
      <c r="C1871">
        <v>68</v>
      </c>
      <c r="D1871">
        <v>3296</v>
      </c>
      <c r="E1871">
        <v>27</v>
      </c>
      <c r="F1871" t="s">
        <v>58</v>
      </c>
      <c r="G1871" t="s">
        <v>14</v>
      </c>
      <c r="H1871">
        <v>3423</v>
      </c>
      <c r="I1871">
        <v>55</v>
      </c>
      <c r="J1871" t="s">
        <v>43</v>
      </c>
      <c r="K1871">
        <v>64409</v>
      </c>
      <c r="L1871" t="s">
        <v>16</v>
      </c>
    </row>
    <row r="1872" spans="1:12" x14ac:dyDescent="0.3">
      <c r="A1872">
        <v>2009</v>
      </c>
      <c r="B1872" t="s">
        <v>12</v>
      </c>
      <c r="C1872">
        <v>56</v>
      </c>
      <c r="D1872">
        <v>3550</v>
      </c>
      <c r="E1872">
        <v>27</v>
      </c>
      <c r="F1872" t="s">
        <v>58</v>
      </c>
      <c r="G1872" t="s">
        <v>14</v>
      </c>
      <c r="H1872">
        <v>3899</v>
      </c>
      <c r="I1872">
        <v>56</v>
      </c>
      <c r="J1872" t="s">
        <v>43</v>
      </c>
      <c r="K1872">
        <v>249978</v>
      </c>
      <c r="L1872" t="s">
        <v>16</v>
      </c>
    </row>
    <row r="1873" spans="1:12" x14ac:dyDescent="0.3">
      <c r="A1873">
        <v>2010</v>
      </c>
      <c r="B1873" t="s">
        <v>12</v>
      </c>
      <c r="C1873">
        <v>66</v>
      </c>
      <c r="D1873">
        <v>3550</v>
      </c>
      <c r="E1873">
        <v>27</v>
      </c>
      <c r="F1873" t="s">
        <v>58</v>
      </c>
      <c r="G1873" t="s">
        <v>14</v>
      </c>
      <c r="H1873">
        <v>4015</v>
      </c>
      <c r="I1873">
        <v>54</v>
      </c>
      <c r="J1873" t="s">
        <v>43</v>
      </c>
      <c r="K1873">
        <v>637</v>
      </c>
      <c r="L1873" t="s">
        <v>16</v>
      </c>
    </row>
    <row r="1874" spans="1:12" x14ac:dyDescent="0.3">
      <c r="A1874">
        <v>2011</v>
      </c>
      <c r="B1874" t="s">
        <v>12</v>
      </c>
      <c r="C1874">
        <v>55</v>
      </c>
      <c r="D1874">
        <v>3550</v>
      </c>
      <c r="E1874">
        <v>27.2</v>
      </c>
      <c r="F1874" t="s">
        <v>58</v>
      </c>
      <c r="G1874" t="s">
        <v>14</v>
      </c>
      <c r="H1874">
        <v>4279</v>
      </c>
      <c r="I1874">
        <v>58</v>
      </c>
      <c r="J1874" t="s">
        <v>43</v>
      </c>
      <c r="K1874">
        <v>43311</v>
      </c>
      <c r="L1874" t="s">
        <v>16</v>
      </c>
    </row>
    <row r="1875" spans="1:12" x14ac:dyDescent="0.3">
      <c r="A1875">
        <v>2012</v>
      </c>
      <c r="B1875" t="s">
        <v>12</v>
      </c>
      <c r="C1875">
        <v>42</v>
      </c>
      <c r="D1875">
        <v>3654</v>
      </c>
      <c r="E1875">
        <v>27.2</v>
      </c>
      <c r="F1875" t="s">
        <v>58</v>
      </c>
      <c r="G1875" t="s">
        <v>14</v>
      </c>
      <c r="H1875">
        <v>4167</v>
      </c>
      <c r="I1875">
        <v>58</v>
      </c>
      <c r="J1875" t="s">
        <v>43</v>
      </c>
      <c r="K1875">
        <v>24848</v>
      </c>
      <c r="L1875" t="s">
        <v>16</v>
      </c>
    </row>
    <row r="1876" spans="1:12" x14ac:dyDescent="0.3">
      <c r="A1876">
        <v>2013</v>
      </c>
      <c r="B1876" t="s">
        <v>12</v>
      </c>
      <c r="C1876">
        <v>51179</v>
      </c>
      <c r="D1876">
        <v>3654</v>
      </c>
      <c r="E1876">
        <v>27.2</v>
      </c>
      <c r="F1876" t="s">
        <v>58</v>
      </c>
      <c r="G1876" t="s">
        <v>14</v>
      </c>
      <c r="H1876">
        <v>4479</v>
      </c>
      <c r="I1876">
        <v>59</v>
      </c>
      <c r="J1876" t="s">
        <v>43</v>
      </c>
      <c r="K1876">
        <v>761</v>
      </c>
      <c r="L1876" t="s">
        <v>16</v>
      </c>
    </row>
    <row r="1877" spans="1:12" x14ac:dyDescent="0.3">
      <c r="A1877">
        <v>2014</v>
      </c>
      <c r="B1877" t="s">
        <v>12</v>
      </c>
      <c r="C1877">
        <v>468</v>
      </c>
      <c r="D1877">
        <v>3654</v>
      </c>
      <c r="E1877">
        <v>27</v>
      </c>
      <c r="F1877" t="s">
        <v>58</v>
      </c>
      <c r="G1877" t="s">
        <v>14</v>
      </c>
      <c r="H1877">
        <v>3699</v>
      </c>
      <c r="I1877">
        <v>50</v>
      </c>
      <c r="J1877" t="s">
        <v>43</v>
      </c>
      <c r="K1877">
        <v>45608</v>
      </c>
      <c r="L1877" t="s">
        <v>16</v>
      </c>
    </row>
    <row r="1878" spans="1:12" x14ac:dyDescent="0.3">
      <c r="A1878">
        <v>2015</v>
      </c>
      <c r="B1878" t="s">
        <v>12</v>
      </c>
      <c r="C1878">
        <v>11841</v>
      </c>
      <c r="D1878">
        <v>233</v>
      </c>
      <c r="E1878">
        <v>27</v>
      </c>
      <c r="F1878" t="s">
        <v>58</v>
      </c>
      <c r="G1878" t="s">
        <v>14</v>
      </c>
      <c r="H1878">
        <v>4904</v>
      </c>
      <c r="I1878">
        <v>54</v>
      </c>
      <c r="J1878" t="s">
        <v>43</v>
      </c>
      <c r="K1878">
        <v>234581</v>
      </c>
      <c r="L1878" t="s">
        <v>16</v>
      </c>
    </row>
    <row r="1879" spans="1:12" x14ac:dyDescent="0.3">
      <c r="A1879">
        <v>2016</v>
      </c>
      <c r="B1879" t="s">
        <v>12</v>
      </c>
      <c r="C1879">
        <v>50975</v>
      </c>
      <c r="D1879">
        <v>233</v>
      </c>
      <c r="E1879">
        <v>27</v>
      </c>
      <c r="F1879" t="s">
        <v>58</v>
      </c>
      <c r="G1879" t="s">
        <v>14</v>
      </c>
      <c r="H1879">
        <v>2821</v>
      </c>
      <c r="I1879">
        <v>53</v>
      </c>
      <c r="J1879" t="s">
        <v>15</v>
      </c>
      <c r="K1879">
        <v>646</v>
      </c>
      <c r="L1879" t="s">
        <v>16</v>
      </c>
    </row>
    <row r="1880" spans="1:12" x14ac:dyDescent="0.3">
      <c r="A1880">
        <v>2017</v>
      </c>
      <c r="B1880" t="s">
        <v>12</v>
      </c>
      <c r="C1880">
        <v>206</v>
      </c>
      <c r="D1880">
        <v>233</v>
      </c>
      <c r="E1880">
        <v>27</v>
      </c>
      <c r="F1880" t="s">
        <v>58</v>
      </c>
      <c r="G1880" t="s">
        <v>14</v>
      </c>
      <c r="H1880">
        <v>3472</v>
      </c>
      <c r="I1880">
        <v>59.5</v>
      </c>
      <c r="J1880" t="s">
        <v>15</v>
      </c>
      <c r="K1880">
        <v>43562</v>
      </c>
      <c r="L1880" t="s">
        <v>16</v>
      </c>
    </row>
    <row r="1881" spans="1:12" x14ac:dyDescent="0.3">
      <c r="A1881">
        <v>2018</v>
      </c>
      <c r="B1881" t="s">
        <v>12</v>
      </c>
      <c r="C1881">
        <v>10922</v>
      </c>
      <c r="D1881">
        <v>234</v>
      </c>
      <c r="E1881">
        <v>27</v>
      </c>
      <c r="F1881" t="s">
        <v>27</v>
      </c>
      <c r="G1881" t="s">
        <v>14</v>
      </c>
      <c r="H1881">
        <v>3647</v>
      </c>
      <c r="I1881">
        <v>55</v>
      </c>
      <c r="J1881" t="s">
        <v>15</v>
      </c>
      <c r="K1881">
        <v>200000</v>
      </c>
      <c r="L1881" t="s">
        <v>16</v>
      </c>
    </row>
    <row r="1882" spans="1:12" x14ac:dyDescent="0.3">
      <c r="A1882">
        <v>2019</v>
      </c>
      <c r="B1882" t="s">
        <v>12</v>
      </c>
      <c r="C1882">
        <v>51390</v>
      </c>
      <c r="D1882">
        <v>234</v>
      </c>
      <c r="E1882">
        <v>27</v>
      </c>
      <c r="F1882" t="s">
        <v>27</v>
      </c>
      <c r="G1882" t="s">
        <v>14</v>
      </c>
      <c r="H1882">
        <v>393</v>
      </c>
      <c r="I1882">
        <v>53</v>
      </c>
      <c r="J1882" t="s">
        <v>15</v>
      </c>
      <c r="K1882">
        <v>4847</v>
      </c>
      <c r="L1882" t="s">
        <v>16</v>
      </c>
    </row>
    <row r="1883" spans="1:12" x14ac:dyDescent="0.3">
      <c r="A1883">
        <v>2004</v>
      </c>
      <c r="B1883" t="s">
        <v>12</v>
      </c>
      <c r="C1883">
        <v>177</v>
      </c>
      <c r="D1883">
        <v>234</v>
      </c>
      <c r="E1883">
        <v>27.2</v>
      </c>
      <c r="F1883" t="s">
        <v>27</v>
      </c>
      <c r="G1883" t="s">
        <v>14</v>
      </c>
      <c r="H1883">
        <v>167</v>
      </c>
      <c r="I1883">
        <v>53.5</v>
      </c>
      <c r="J1883" t="s">
        <v>15</v>
      </c>
      <c r="K1883">
        <v>51239</v>
      </c>
      <c r="L1883" t="s">
        <v>16</v>
      </c>
    </row>
    <row r="1884" spans="1:12" x14ac:dyDescent="0.3">
      <c r="A1884">
        <v>2005</v>
      </c>
      <c r="B1884" t="s">
        <v>12</v>
      </c>
      <c r="C1884">
        <v>10723</v>
      </c>
      <c r="D1884">
        <v>3105</v>
      </c>
      <c r="E1884">
        <v>27.2</v>
      </c>
      <c r="F1884" t="s">
        <v>27</v>
      </c>
      <c r="G1884" t="s">
        <v>14</v>
      </c>
      <c r="H1884">
        <v>71</v>
      </c>
      <c r="I1884">
        <v>52.5</v>
      </c>
      <c r="J1884" t="s">
        <v>15</v>
      </c>
      <c r="K1884">
        <v>216396</v>
      </c>
      <c r="L1884" t="s">
        <v>16</v>
      </c>
    </row>
    <row r="1885" spans="1:12" x14ac:dyDescent="0.3">
      <c r="A1885">
        <v>2006</v>
      </c>
      <c r="B1885" t="s">
        <v>12</v>
      </c>
      <c r="C1885">
        <v>51709</v>
      </c>
      <c r="D1885">
        <v>3105</v>
      </c>
      <c r="E1885">
        <v>27.2</v>
      </c>
      <c r="F1885" t="s">
        <v>27</v>
      </c>
      <c r="G1885" t="s">
        <v>14</v>
      </c>
      <c r="H1885">
        <v>52</v>
      </c>
      <c r="I1885">
        <v>56</v>
      </c>
      <c r="J1885" t="s">
        <v>15</v>
      </c>
      <c r="K1885">
        <v>2644</v>
      </c>
      <c r="L1885" t="s">
        <v>22</v>
      </c>
    </row>
    <row r="1886" spans="1:12" x14ac:dyDescent="0.3">
      <c r="A1886">
        <v>2007</v>
      </c>
      <c r="B1886" t="s">
        <v>12</v>
      </c>
      <c r="C1886">
        <v>146</v>
      </c>
      <c r="D1886">
        <v>3105</v>
      </c>
      <c r="E1886">
        <v>27.1</v>
      </c>
      <c r="F1886" t="s">
        <v>27</v>
      </c>
      <c r="G1886" t="s">
        <v>14</v>
      </c>
      <c r="H1886">
        <v>2570</v>
      </c>
      <c r="I1886">
        <v>57</v>
      </c>
      <c r="J1886" t="s">
        <v>15</v>
      </c>
      <c r="K1886">
        <v>44235</v>
      </c>
      <c r="L1886" t="s">
        <v>22</v>
      </c>
    </row>
    <row r="1887" spans="1:12" x14ac:dyDescent="0.3">
      <c r="A1887">
        <v>2008</v>
      </c>
      <c r="B1887" t="s">
        <v>12</v>
      </c>
      <c r="C1887">
        <v>10910</v>
      </c>
      <c r="D1887">
        <v>236</v>
      </c>
      <c r="E1887">
        <v>27.1</v>
      </c>
      <c r="F1887" t="s">
        <v>27</v>
      </c>
      <c r="G1887" t="s">
        <v>14</v>
      </c>
      <c r="H1887">
        <v>27170</v>
      </c>
      <c r="I1887">
        <v>57.5</v>
      </c>
      <c r="J1887" t="s">
        <v>15</v>
      </c>
      <c r="K1887">
        <v>203317</v>
      </c>
      <c r="L1887" t="s">
        <v>22</v>
      </c>
    </row>
    <row r="1888" spans="1:12" x14ac:dyDescent="0.3">
      <c r="A1888">
        <v>2009</v>
      </c>
      <c r="B1888" t="s">
        <v>12</v>
      </c>
      <c r="C1888">
        <v>51355</v>
      </c>
      <c r="D1888">
        <v>236</v>
      </c>
      <c r="E1888">
        <v>27.1</v>
      </c>
      <c r="F1888" t="s">
        <v>27</v>
      </c>
      <c r="G1888" t="s">
        <v>14</v>
      </c>
      <c r="H1888">
        <v>114744</v>
      </c>
      <c r="I1888">
        <v>57</v>
      </c>
      <c r="J1888" t="s">
        <v>15</v>
      </c>
      <c r="K1888">
        <v>2134</v>
      </c>
      <c r="L1888" t="s">
        <v>22</v>
      </c>
    </row>
    <row r="1889" spans="1:12" x14ac:dyDescent="0.3">
      <c r="A1889">
        <v>2010</v>
      </c>
      <c r="B1889" t="s">
        <v>12</v>
      </c>
      <c r="C1889">
        <v>160</v>
      </c>
      <c r="D1889">
        <v>321</v>
      </c>
      <c r="E1889">
        <v>26.8</v>
      </c>
      <c r="F1889" t="s">
        <v>27</v>
      </c>
      <c r="G1889" t="s">
        <v>14</v>
      </c>
      <c r="H1889">
        <v>1402</v>
      </c>
      <c r="I1889">
        <v>55</v>
      </c>
      <c r="J1889" t="s">
        <v>15</v>
      </c>
      <c r="K1889">
        <v>45186</v>
      </c>
      <c r="L1889" t="s">
        <v>22</v>
      </c>
    </row>
    <row r="1890" spans="1:12" x14ac:dyDescent="0.3">
      <c r="A1890">
        <v>2011</v>
      </c>
      <c r="B1890" t="s">
        <v>12</v>
      </c>
      <c r="C1890">
        <v>10912</v>
      </c>
      <c r="D1890">
        <v>3654</v>
      </c>
      <c r="E1890">
        <v>26.8</v>
      </c>
      <c r="F1890" t="s">
        <v>27</v>
      </c>
      <c r="G1890" t="s">
        <v>14</v>
      </c>
      <c r="H1890">
        <v>23456</v>
      </c>
      <c r="I1890">
        <v>56</v>
      </c>
      <c r="J1890" t="s">
        <v>15</v>
      </c>
      <c r="K1890">
        <v>238542</v>
      </c>
      <c r="L1890" t="s">
        <v>22</v>
      </c>
    </row>
    <row r="1891" spans="1:12" x14ac:dyDescent="0.3">
      <c r="A1891">
        <v>2012</v>
      </c>
      <c r="B1891" t="s">
        <v>12</v>
      </c>
      <c r="C1891">
        <v>51353</v>
      </c>
      <c r="D1891">
        <v>323</v>
      </c>
      <c r="E1891">
        <v>26.8</v>
      </c>
      <c r="F1891" t="s">
        <v>27</v>
      </c>
      <c r="G1891" t="s">
        <v>14</v>
      </c>
      <c r="H1891">
        <v>107809</v>
      </c>
      <c r="I1891">
        <v>54</v>
      </c>
      <c r="J1891" t="s">
        <v>15</v>
      </c>
      <c r="K1891">
        <v>1516</v>
      </c>
      <c r="L1891" t="s">
        <v>22</v>
      </c>
    </row>
    <row r="1892" spans="1:12" x14ac:dyDescent="0.3">
      <c r="A1892">
        <v>2013</v>
      </c>
      <c r="B1892" t="s">
        <v>12</v>
      </c>
      <c r="C1892">
        <v>142</v>
      </c>
      <c r="D1892">
        <v>324</v>
      </c>
      <c r="E1892">
        <v>37</v>
      </c>
      <c r="F1892" t="s">
        <v>27</v>
      </c>
      <c r="G1892" t="s">
        <v>14</v>
      </c>
      <c r="H1892">
        <v>1132</v>
      </c>
      <c r="I1892">
        <v>58</v>
      </c>
      <c r="J1892" t="s">
        <v>15</v>
      </c>
      <c r="K1892">
        <v>200000</v>
      </c>
      <c r="L1892" t="s">
        <v>22</v>
      </c>
    </row>
    <row r="1893" spans="1:12" x14ac:dyDescent="0.3">
      <c r="A1893">
        <v>2014</v>
      </c>
      <c r="B1893" t="s">
        <v>12</v>
      </c>
      <c r="C1893">
        <v>10505</v>
      </c>
      <c r="D1893">
        <v>3105</v>
      </c>
      <c r="E1893">
        <v>37</v>
      </c>
      <c r="F1893" t="s">
        <v>27</v>
      </c>
      <c r="G1893" t="s">
        <v>14</v>
      </c>
      <c r="H1893">
        <v>23960</v>
      </c>
      <c r="I1893">
        <v>58</v>
      </c>
      <c r="J1893" t="s">
        <v>15</v>
      </c>
      <c r="K1893">
        <v>4847</v>
      </c>
      <c r="L1893" t="s">
        <v>22</v>
      </c>
    </row>
    <row r="1894" spans="1:12" x14ac:dyDescent="0.3">
      <c r="A1894">
        <v>2015</v>
      </c>
      <c r="B1894" t="s">
        <v>12</v>
      </c>
      <c r="C1894">
        <v>51040</v>
      </c>
      <c r="D1894">
        <v>326</v>
      </c>
      <c r="E1894">
        <v>37</v>
      </c>
      <c r="F1894" t="s">
        <v>27</v>
      </c>
      <c r="G1894" t="s">
        <v>14</v>
      </c>
      <c r="H1894">
        <v>126487</v>
      </c>
      <c r="I1894">
        <v>59</v>
      </c>
      <c r="J1894" t="s">
        <v>15</v>
      </c>
      <c r="K1894">
        <v>51239</v>
      </c>
      <c r="L1894" t="s">
        <v>22</v>
      </c>
    </row>
    <row r="1895" spans="1:12" x14ac:dyDescent="0.3">
      <c r="A1895">
        <v>2016</v>
      </c>
      <c r="B1895" t="s">
        <v>12</v>
      </c>
      <c r="C1895">
        <v>154</v>
      </c>
      <c r="D1895">
        <v>327</v>
      </c>
      <c r="E1895">
        <v>38</v>
      </c>
      <c r="F1895" t="s">
        <v>27</v>
      </c>
      <c r="G1895" t="s">
        <v>14</v>
      </c>
      <c r="H1895">
        <v>804</v>
      </c>
      <c r="I1895">
        <v>50</v>
      </c>
      <c r="J1895" t="s">
        <v>35</v>
      </c>
      <c r="K1895">
        <v>216396</v>
      </c>
      <c r="L1895" t="s">
        <v>22</v>
      </c>
    </row>
    <row r="1896" spans="1:12" x14ac:dyDescent="0.3">
      <c r="A1896">
        <v>2017</v>
      </c>
      <c r="B1896" t="s">
        <v>12</v>
      </c>
      <c r="C1896">
        <v>10318</v>
      </c>
      <c r="D1896">
        <v>328</v>
      </c>
      <c r="E1896">
        <v>38</v>
      </c>
      <c r="F1896" t="s">
        <v>27</v>
      </c>
      <c r="G1896" t="s">
        <v>14</v>
      </c>
      <c r="H1896">
        <v>30362</v>
      </c>
      <c r="I1896">
        <v>54</v>
      </c>
      <c r="J1896" t="s">
        <v>35</v>
      </c>
      <c r="K1896">
        <v>2644</v>
      </c>
      <c r="L1896" t="s">
        <v>22</v>
      </c>
    </row>
    <row r="1897" spans="1:12" x14ac:dyDescent="0.3">
      <c r="A1897">
        <v>2018</v>
      </c>
      <c r="B1897" t="s">
        <v>12</v>
      </c>
      <c r="C1897">
        <v>48083</v>
      </c>
      <c r="D1897">
        <v>2903.1</v>
      </c>
      <c r="E1897">
        <v>38</v>
      </c>
      <c r="F1897" t="s">
        <v>27</v>
      </c>
      <c r="G1897" t="s">
        <v>14</v>
      </c>
      <c r="H1897">
        <v>124492</v>
      </c>
      <c r="I1897">
        <v>53</v>
      </c>
      <c r="J1897" t="s">
        <v>35</v>
      </c>
      <c r="K1897">
        <v>44235</v>
      </c>
      <c r="L1897" t="s">
        <v>22</v>
      </c>
    </row>
    <row r="1898" spans="1:12" x14ac:dyDescent="0.3">
      <c r="A1898">
        <v>2012</v>
      </c>
      <c r="B1898" t="s">
        <v>12</v>
      </c>
      <c r="C1898">
        <v>143</v>
      </c>
      <c r="D1898">
        <v>2903.1</v>
      </c>
      <c r="E1898">
        <v>39</v>
      </c>
      <c r="F1898" t="s">
        <v>27</v>
      </c>
      <c r="G1898" t="s">
        <v>21</v>
      </c>
      <c r="H1898">
        <v>792</v>
      </c>
      <c r="I1898">
        <v>59.5</v>
      </c>
      <c r="J1898" t="s">
        <v>35</v>
      </c>
      <c r="K1898">
        <v>203317</v>
      </c>
      <c r="L1898" t="s">
        <v>22</v>
      </c>
    </row>
    <row r="1899" spans="1:12" x14ac:dyDescent="0.3">
      <c r="A1899">
        <v>2013</v>
      </c>
      <c r="B1899" t="s">
        <v>12</v>
      </c>
      <c r="C1899">
        <v>9283</v>
      </c>
      <c r="D1899">
        <v>2903.1</v>
      </c>
      <c r="E1899">
        <v>39</v>
      </c>
      <c r="F1899" t="s">
        <v>27</v>
      </c>
      <c r="G1899" t="s">
        <v>21</v>
      </c>
      <c r="H1899">
        <v>34153</v>
      </c>
      <c r="I1899">
        <v>55</v>
      </c>
      <c r="J1899" t="s">
        <v>35</v>
      </c>
      <c r="K1899">
        <v>2134</v>
      </c>
      <c r="L1899" t="s">
        <v>22</v>
      </c>
    </row>
    <row r="1900" spans="1:12" x14ac:dyDescent="0.3">
      <c r="A1900">
        <v>2014</v>
      </c>
      <c r="B1900" t="s">
        <v>12</v>
      </c>
      <c r="C1900">
        <v>47200</v>
      </c>
      <c r="D1900">
        <v>2996.6</v>
      </c>
      <c r="E1900">
        <v>39</v>
      </c>
      <c r="F1900" t="s">
        <v>27</v>
      </c>
      <c r="G1900" t="s">
        <v>21</v>
      </c>
      <c r="H1900">
        <v>2570</v>
      </c>
      <c r="I1900">
        <v>53</v>
      </c>
      <c r="J1900" t="s">
        <v>35</v>
      </c>
      <c r="K1900">
        <v>45186</v>
      </c>
      <c r="L1900" t="s">
        <v>22</v>
      </c>
    </row>
    <row r="1901" spans="1:12" x14ac:dyDescent="0.3">
      <c r="A1901">
        <v>2015</v>
      </c>
      <c r="B1901" t="s">
        <v>12</v>
      </c>
      <c r="C1901">
        <v>158</v>
      </c>
      <c r="D1901">
        <v>2996.6</v>
      </c>
      <c r="E1901">
        <v>40</v>
      </c>
      <c r="F1901" t="s">
        <v>27</v>
      </c>
      <c r="G1901" t="s">
        <v>21</v>
      </c>
      <c r="H1901">
        <v>27170</v>
      </c>
      <c r="I1901">
        <v>53.5</v>
      </c>
      <c r="J1901" t="s">
        <v>35</v>
      </c>
      <c r="K1901">
        <v>238542</v>
      </c>
      <c r="L1901" t="s">
        <v>22</v>
      </c>
    </row>
    <row r="1902" spans="1:12" x14ac:dyDescent="0.3">
      <c r="A1902">
        <v>2016</v>
      </c>
      <c r="B1902" t="s">
        <v>12</v>
      </c>
      <c r="C1902">
        <v>8982</v>
      </c>
      <c r="D1902">
        <v>2996.6</v>
      </c>
      <c r="E1902">
        <v>40</v>
      </c>
      <c r="F1902" t="s">
        <v>59</v>
      </c>
      <c r="G1902" t="s">
        <v>21</v>
      </c>
      <c r="H1902">
        <v>114744</v>
      </c>
      <c r="I1902">
        <v>52.5</v>
      </c>
      <c r="J1902" t="s">
        <v>35</v>
      </c>
      <c r="K1902">
        <v>1516</v>
      </c>
      <c r="L1902" t="s">
        <v>22</v>
      </c>
    </row>
    <row r="1903" spans="1:12" x14ac:dyDescent="0.3">
      <c r="A1903">
        <v>2017</v>
      </c>
      <c r="B1903" t="s">
        <v>12</v>
      </c>
      <c r="C1903">
        <v>46990</v>
      </c>
      <c r="D1903">
        <v>3522.8</v>
      </c>
      <c r="E1903">
        <v>40</v>
      </c>
      <c r="F1903" t="s">
        <v>59</v>
      </c>
      <c r="G1903" t="s">
        <v>21</v>
      </c>
      <c r="H1903">
        <v>1402</v>
      </c>
      <c r="I1903">
        <v>56</v>
      </c>
      <c r="J1903" t="s">
        <v>35</v>
      </c>
      <c r="K1903">
        <v>57259</v>
      </c>
      <c r="L1903" t="s">
        <v>22</v>
      </c>
    </row>
    <row r="1904" spans="1:12" x14ac:dyDescent="0.3">
      <c r="A1904">
        <v>2018</v>
      </c>
      <c r="B1904" t="s">
        <v>12</v>
      </c>
      <c r="C1904">
        <v>103</v>
      </c>
      <c r="D1904">
        <v>3522.8</v>
      </c>
      <c r="E1904">
        <v>41</v>
      </c>
      <c r="F1904" t="s">
        <v>59</v>
      </c>
      <c r="G1904" t="s">
        <v>21</v>
      </c>
      <c r="H1904">
        <v>23456</v>
      </c>
      <c r="I1904">
        <v>57</v>
      </c>
      <c r="J1904" t="s">
        <v>35</v>
      </c>
      <c r="K1904">
        <v>234779</v>
      </c>
      <c r="L1904" t="s">
        <v>22</v>
      </c>
    </row>
    <row r="1905" spans="1:12" x14ac:dyDescent="0.3">
      <c r="A1905">
        <v>2019</v>
      </c>
      <c r="B1905" t="s">
        <v>12</v>
      </c>
      <c r="C1905">
        <v>8239</v>
      </c>
      <c r="D1905">
        <v>3522.8</v>
      </c>
      <c r="E1905">
        <v>41</v>
      </c>
      <c r="F1905" t="s">
        <v>59</v>
      </c>
      <c r="G1905" t="s">
        <v>21</v>
      </c>
      <c r="H1905">
        <v>107809</v>
      </c>
      <c r="I1905">
        <v>57.5</v>
      </c>
      <c r="J1905" t="s">
        <v>35</v>
      </c>
      <c r="K1905">
        <v>1493</v>
      </c>
      <c r="L1905" t="s">
        <v>22</v>
      </c>
    </row>
    <row r="1906" spans="1:12" x14ac:dyDescent="0.3">
      <c r="A1906">
        <v>2004</v>
      </c>
      <c r="B1906" t="s">
        <v>12</v>
      </c>
      <c r="C1906">
        <v>44563</v>
      </c>
      <c r="D1906">
        <v>3729.8</v>
      </c>
      <c r="E1906">
        <v>41</v>
      </c>
      <c r="F1906" t="s">
        <v>59</v>
      </c>
      <c r="G1906" t="s">
        <v>21</v>
      </c>
      <c r="H1906">
        <v>1132</v>
      </c>
      <c r="I1906">
        <v>57</v>
      </c>
      <c r="J1906" t="s">
        <v>35</v>
      </c>
      <c r="K1906">
        <v>64409</v>
      </c>
      <c r="L1906" t="s">
        <v>22</v>
      </c>
    </row>
    <row r="1907" spans="1:12" x14ac:dyDescent="0.3">
      <c r="A1907">
        <v>2005</v>
      </c>
      <c r="B1907" t="s">
        <v>12</v>
      </c>
      <c r="C1907">
        <v>96</v>
      </c>
      <c r="D1907">
        <v>3729.8</v>
      </c>
      <c r="E1907">
        <v>42</v>
      </c>
      <c r="F1907" t="s">
        <v>59</v>
      </c>
      <c r="G1907" t="s">
        <v>21</v>
      </c>
      <c r="H1907">
        <v>23960</v>
      </c>
      <c r="I1907">
        <v>55</v>
      </c>
      <c r="J1907" t="s">
        <v>35</v>
      </c>
      <c r="K1907">
        <v>249978</v>
      </c>
      <c r="L1907" t="s">
        <v>22</v>
      </c>
    </row>
    <row r="1908" spans="1:12" x14ac:dyDescent="0.3">
      <c r="A1908">
        <v>2006</v>
      </c>
      <c r="B1908" t="s">
        <v>12</v>
      </c>
      <c r="C1908">
        <v>6949</v>
      </c>
      <c r="D1908">
        <v>3729.8</v>
      </c>
      <c r="E1908">
        <v>42</v>
      </c>
      <c r="F1908" t="s">
        <v>59</v>
      </c>
      <c r="G1908" t="s">
        <v>21</v>
      </c>
      <c r="H1908">
        <v>126487</v>
      </c>
      <c r="I1908">
        <v>56</v>
      </c>
      <c r="J1908" t="s">
        <v>35</v>
      </c>
      <c r="K1908">
        <v>637</v>
      </c>
      <c r="L1908" t="s">
        <v>22</v>
      </c>
    </row>
    <row r="1909" spans="1:12" x14ac:dyDescent="0.3">
      <c r="A1909">
        <v>2007</v>
      </c>
      <c r="B1909" t="s">
        <v>12</v>
      </c>
      <c r="C1909">
        <v>44663</v>
      </c>
      <c r="D1909">
        <v>2746.2</v>
      </c>
      <c r="E1909">
        <v>42</v>
      </c>
      <c r="F1909" t="s">
        <v>59</v>
      </c>
      <c r="G1909" t="s">
        <v>21</v>
      </c>
      <c r="H1909">
        <v>804</v>
      </c>
      <c r="I1909">
        <v>54</v>
      </c>
      <c r="J1909" t="s">
        <v>35</v>
      </c>
      <c r="K1909">
        <v>43311</v>
      </c>
      <c r="L1909" t="s">
        <v>22</v>
      </c>
    </row>
    <row r="1910" spans="1:12" x14ac:dyDescent="0.3">
      <c r="A1910">
        <v>2008</v>
      </c>
      <c r="B1910" t="s">
        <v>12</v>
      </c>
      <c r="C1910">
        <v>110</v>
      </c>
      <c r="D1910">
        <v>2746.2</v>
      </c>
      <c r="E1910">
        <v>43</v>
      </c>
      <c r="F1910" t="s">
        <v>59</v>
      </c>
      <c r="G1910" t="s">
        <v>14</v>
      </c>
      <c r="H1910">
        <v>30362</v>
      </c>
      <c r="I1910">
        <v>57</v>
      </c>
      <c r="J1910" t="s">
        <v>15</v>
      </c>
      <c r="K1910">
        <v>200000</v>
      </c>
      <c r="L1910" t="s">
        <v>22</v>
      </c>
    </row>
    <row r="1911" spans="1:12" x14ac:dyDescent="0.3">
      <c r="A1911">
        <v>2009</v>
      </c>
      <c r="B1911" t="s">
        <v>12</v>
      </c>
      <c r="C1911">
        <v>6824</v>
      </c>
      <c r="D1911">
        <v>2746.2</v>
      </c>
      <c r="E1911">
        <v>43</v>
      </c>
      <c r="F1911" t="s">
        <v>59</v>
      </c>
      <c r="G1911" t="s">
        <v>14</v>
      </c>
      <c r="H1911">
        <v>124492</v>
      </c>
      <c r="I1911">
        <v>57.5</v>
      </c>
      <c r="J1911" t="s">
        <v>15</v>
      </c>
      <c r="K1911">
        <v>4847</v>
      </c>
      <c r="L1911" t="s">
        <v>22</v>
      </c>
    </row>
    <row r="1912" spans="1:12" x14ac:dyDescent="0.3">
      <c r="A1912">
        <v>2010</v>
      </c>
      <c r="B1912" t="s">
        <v>17</v>
      </c>
      <c r="C1912">
        <v>43013</v>
      </c>
      <c r="D1912">
        <v>3360</v>
      </c>
      <c r="E1912">
        <v>128</v>
      </c>
      <c r="F1912" t="s">
        <v>59</v>
      </c>
      <c r="G1912" t="s">
        <v>14</v>
      </c>
      <c r="H1912">
        <v>792</v>
      </c>
      <c r="I1912">
        <v>57</v>
      </c>
      <c r="J1912" t="s">
        <v>15</v>
      </c>
      <c r="K1912">
        <v>51239</v>
      </c>
      <c r="L1912" t="s">
        <v>22</v>
      </c>
    </row>
    <row r="1913" spans="1:12" x14ac:dyDescent="0.3">
      <c r="A1913">
        <v>2011</v>
      </c>
      <c r="B1913" t="s">
        <v>17</v>
      </c>
      <c r="C1913">
        <v>95</v>
      </c>
      <c r="D1913">
        <v>3360</v>
      </c>
      <c r="E1913">
        <v>129</v>
      </c>
      <c r="F1913" t="s">
        <v>59</v>
      </c>
      <c r="G1913" t="s">
        <v>14</v>
      </c>
      <c r="H1913">
        <v>34153</v>
      </c>
      <c r="I1913">
        <v>55</v>
      </c>
      <c r="J1913" t="s">
        <v>15</v>
      </c>
      <c r="K1913">
        <v>216396</v>
      </c>
      <c r="L1913" t="s">
        <v>22</v>
      </c>
    </row>
    <row r="1914" spans="1:12" x14ac:dyDescent="0.3">
      <c r="A1914">
        <v>2012</v>
      </c>
      <c r="B1914" t="s">
        <v>17</v>
      </c>
      <c r="C1914">
        <v>6441</v>
      </c>
      <c r="D1914">
        <v>3360</v>
      </c>
      <c r="E1914">
        <v>130</v>
      </c>
      <c r="F1914" t="s">
        <v>59</v>
      </c>
      <c r="G1914" t="s">
        <v>14</v>
      </c>
      <c r="H1914">
        <v>132551</v>
      </c>
      <c r="I1914">
        <v>56</v>
      </c>
      <c r="J1914" t="s">
        <v>15</v>
      </c>
      <c r="K1914">
        <v>2644</v>
      </c>
      <c r="L1914" t="s">
        <v>22</v>
      </c>
    </row>
    <row r="1915" spans="1:12" x14ac:dyDescent="0.3">
      <c r="A1915">
        <v>2013</v>
      </c>
      <c r="B1915" t="s">
        <v>17</v>
      </c>
      <c r="C1915">
        <v>4012</v>
      </c>
      <c r="D1915">
        <v>3605.4</v>
      </c>
      <c r="E1915">
        <v>131</v>
      </c>
      <c r="F1915" t="s">
        <v>59</v>
      </c>
      <c r="G1915" t="s">
        <v>14</v>
      </c>
      <c r="H1915">
        <v>338</v>
      </c>
      <c r="I1915">
        <v>54</v>
      </c>
      <c r="J1915" t="s">
        <v>15</v>
      </c>
      <c r="K1915">
        <v>44235</v>
      </c>
      <c r="L1915" t="s">
        <v>22</v>
      </c>
    </row>
    <row r="1916" spans="1:12" x14ac:dyDescent="0.3">
      <c r="A1916">
        <v>2014</v>
      </c>
      <c r="B1916" t="s">
        <v>17</v>
      </c>
      <c r="C1916">
        <v>4877</v>
      </c>
      <c r="D1916">
        <v>3605.4</v>
      </c>
      <c r="E1916">
        <v>132</v>
      </c>
      <c r="F1916" t="s">
        <v>59</v>
      </c>
      <c r="G1916" t="s">
        <v>14</v>
      </c>
      <c r="H1916">
        <v>22966</v>
      </c>
      <c r="I1916">
        <v>58</v>
      </c>
      <c r="J1916" t="s">
        <v>15</v>
      </c>
      <c r="K1916">
        <v>203317</v>
      </c>
      <c r="L1916" t="s">
        <v>22</v>
      </c>
    </row>
    <row r="1917" spans="1:12" x14ac:dyDescent="0.3">
      <c r="A1917">
        <v>2015</v>
      </c>
      <c r="B1917" t="s">
        <v>17</v>
      </c>
      <c r="C1917">
        <v>4930</v>
      </c>
      <c r="D1917">
        <v>3605.4</v>
      </c>
      <c r="E1917">
        <v>133</v>
      </c>
      <c r="F1917" t="s">
        <v>59</v>
      </c>
      <c r="G1917" t="s">
        <v>14</v>
      </c>
      <c r="H1917">
        <v>131763</v>
      </c>
      <c r="I1917">
        <v>58</v>
      </c>
      <c r="J1917" t="s">
        <v>15</v>
      </c>
      <c r="K1917">
        <v>2134</v>
      </c>
      <c r="L1917" t="s">
        <v>22</v>
      </c>
    </row>
    <row r="1918" spans="1:12" x14ac:dyDescent="0.3">
      <c r="A1918">
        <v>2016</v>
      </c>
      <c r="B1918" t="s">
        <v>17</v>
      </c>
      <c r="C1918">
        <v>4954</v>
      </c>
      <c r="D1918">
        <v>3512.4</v>
      </c>
      <c r="E1918">
        <v>134</v>
      </c>
      <c r="F1918" t="s">
        <v>59</v>
      </c>
      <c r="G1918" t="s">
        <v>14</v>
      </c>
      <c r="H1918">
        <v>404</v>
      </c>
      <c r="I1918">
        <v>59</v>
      </c>
      <c r="J1918" t="s">
        <v>15</v>
      </c>
      <c r="K1918">
        <v>45186</v>
      </c>
      <c r="L1918" t="s">
        <v>22</v>
      </c>
    </row>
    <row r="1919" spans="1:12" x14ac:dyDescent="0.3">
      <c r="A1919">
        <v>2017</v>
      </c>
      <c r="B1919" t="s">
        <v>17</v>
      </c>
      <c r="C1919">
        <v>5019</v>
      </c>
      <c r="D1919">
        <v>3512.4</v>
      </c>
      <c r="E1919">
        <v>135</v>
      </c>
      <c r="F1919" t="s">
        <v>59</v>
      </c>
      <c r="G1919" t="s">
        <v>14</v>
      </c>
      <c r="H1919">
        <v>24184</v>
      </c>
      <c r="I1919">
        <v>50</v>
      </c>
      <c r="J1919" t="s">
        <v>15</v>
      </c>
      <c r="K1919">
        <v>238542</v>
      </c>
      <c r="L1919" t="s">
        <v>22</v>
      </c>
    </row>
    <row r="1920" spans="1:12" x14ac:dyDescent="0.3">
      <c r="A1920">
        <v>2018</v>
      </c>
      <c r="B1920" t="s">
        <v>17</v>
      </c>
      <c r="C1920">
        <v>5127</v>
      </c>
      <c r="D1920">
        <v>3512.4</v>
      </c>
      <c r="E1920">
        <v>136</v>
      </c>
      <c r="F1920" t="s">
        <v>59</v>
      </c>
      <c r="G1920" t="s">
        <v>14</v>
      </c>
      <c r="H1920">
        <v>124387</v>
      </c>
      <c r="I1920">
        <v>54</v>
      </c>
      <c r="J1920" t="s">
        <v>15</v>
      </c>
      <c r="K1920">
        <v>1516</v>
      </c>
      <c r="L1920" t="s">
        <v>22</v>
      </c>
    </row>
    <row r="1921" spans="1:12" x14ac:dyDescent="0.3">
      <c r="A1921">
        <v>2011</v>
      </c>
      <c r="B1921" t="s">
        <v>17</v>
      </c>
      <c r="C1921">
        <v>5174</v>
      </c>
      <c r="D1921">
        <v>3296</v>
      </c>
      <c r="E1921">
        <v>137</v>
      </c>
      <c r="F1921" t="s">
        <v>59</v>
      </c>
      <c r="G1921" t="s">
        <v>14</v>
      </c>
      <c r="H1921">
        <v>343</v>
      </c>
      <c r="I1921">
        <v>53</v>
      </c>
      <c r="J1921" t="s">
        <v>15</v>
      </c>
      <c r="K1921">
        <v>57259</v>
      </c>
      <c r="L1921" t="s">
        <v>22</v>
      </c>
    </row>
    <row r="1922" spans="1:12" x14ac:dyDescent="0.3">
      <c r="A1922">
        <v>2012</v>
      </c>
      <c r="B1922" t="s">
        <v>17</v>
      </c>
      <c r="C1922">
        <v>5294</v>
      </c>
      <c r="D1922">
        <v>3296</v>
      </c>
      <c r="E1922">
        <v>138</v>
      </c>
      <c r="F1922" t="s">
        <v>59</v>
      </c>
      <c r="G1922" t="s">
        <v>14</v>
      </c>
      <c r="H1922">
        <v>23099</v>
      </c>
      <c r="I1922">
        <v>52</v>
      </c>
      <c r="J1922" t="s">
        <v>15</v>
      </c>
      <c r="K1922">
        <v>234779</v>
      </c>
      <c r="L1922" t="s">
        <v>22</v>
      </c>
    </row>
    <row r="1923" spans="1:12" x14ac:dyDescent="0.3">
      <c r="A1923">
        <v>2013</v>
      </c>
      <c r="B1923" t="s">
        <v>17</v>
      </c>
      <c r="C1923">
        <v>5474</v>
      </c>
      <c r="D1923">
        <v>3296</v>
      </c>
      <c r="E1923">
        <v>139</v>
      </c>
      <c r="F1923" t="s">
        <v>59</v>
      </c>
      <c r="G1923" t="s">
        <v>14</v>
      </c>
      <c r="H1923">
        <v>117825.84</v>
      </c>
      <c r="I1923">
        <v>51</v>
      </c>
      <c r="J1923" t="s">
        <v>15</v>
      </c>
      <c r="K1923">
        <v>1493</v>
      </c>
      <c r="L1923" t="s">
        <v>22</v>
      </c>
    </row>
    <row r="1924" spans="1:12" x14ac:dyDescent="0.3">
      <c r="A1924">
        <v>2014</v>
      </c>
      <c r="B1924" t="s">
        <v>17</v>
      </c>
      <c r="C1924">
        <v>5864</v>
      </c>
      <c r="D1924">
        <v>3550</v>
      </c>
      <c r="E1924">
        <v>140</v>
      </c>
      <c r="F1924" t="s">
        <v>59</v>
      </c>
      <c r="G1924" t="s">
        <v>14</v>
      </c>
      <c r="H1924">
        <v>336</v>
      </c>
      <c r="I1924">
        <v>57</v>
      </c>
      <c r="J1924" t="s">
        <v>15</v>
      </c>
      <c r="K1924">
        <v>64409</v>
      </c>
      <c r="L1924" t="s">
        <v>22</v>
      </c>
    </row>
    <row r="1925" spans="1:12" x14ac:dyDescent="0.3">
      <c r="A1925">
        <v>2015</v>
      </c>
      <c r="B1925" t="s">
        <v>17</v>
      </c>
      <c r="C1925">
        <v>7028</v>
      </c>
      <c r="D1925">
        <v>3550</v>
      </c>
      <c r="E1925">
        <v>141</v>
      </c>
      <c r="F1925" t="s">
        <v>59</v>
      </c>
      <c r="G1925" t="s">
        <v>14</v>
      </c>
      <c r="H1925">
        <v>22594</v>
      </c>
      <c r="I1925">
        <v>57</v>
      </c>
      <c r="J1925" t="s">
        <v>15</v>
      </c>
      <c r="K1925">
        <v>249978</v>
      </c>
      <c r="L1925" t="s">
        <v>22</v>
      </c>
    </row>
    <row r="1926" spans="1:12" x14ac:dyDescent="0.3">
      <c r="A1926">
        <v>2016</v>
      </c>
      <c r="B1926" t="s">
        <v>17</v>
      </c>
      <c r="C1926">
        <v>7403</v>
      </c>
      <c r="D1926">
        <v>3550</v>
      </c>
      <c r="E1926">
        <v>142</v>
      </c>
      <c r="F1926" t="s">
        <v>59</v>
      </c>
      <c r="G1926" t="s">
        <v>14</v>
      </c>
      <c r="H1926">
        <v>116481.07</v>
      </c>
      <c r="I1926">
        <v>60</v>
      </c>
      <c r="J1926" t="s">
        <v>15</v>
      </c>
      <c r="K1926">
        <v>637</v>
      </c>
      <c r="L1926" t="s">
        <v>22</v>
      </c>
    </row>
    <row r="1927" spans="1:12" x14ac:dyDescent="0.3">
      <c r="A1927">
        <v>2017</v>
      </c>
      <c r="B1927" t="s">
        <v>17</v>
      </c>
      <c r="C1927">
        <v>7501</v>
      </c>
      <c r="D1927">
        <v>3654</v>
      </c>
      <c r="E1927">
        <v>143</v>
      </c>
      <c r="F1927" t="s">
        <v>59</v>
      </c>
      <c r="G1927" t="s">
        <v>14</v>
      </c>
      <c r="H1927">
        <v>316</v>
      </c>
      <c r="I1927">
        <v>57</v>
      </c>
      <c r="J1927" t="s">
        <v>15</v>
      </c>
      <c r="K1927">
        <v>43311</v>
      </c>
      <c r="L1927" t="s">
        <v>22</v>
      </c>
    </row>
    <row r="1928" spans="1:12" x14ac:dyDescent="0.3">
      <c r="A1928">
        <v>2018</v>
      </c>
      <c r="B1928" t="s">
        <v>17</v>
      </c>
      <c r="C1928">
        <v>7714</v>
      </c>
      <c r="D1928">
        <v>3654</v>
      </c>
      <c r="E1928">
        <v>144</v>
      </c>
      <c r="F1928" t="s">
        <v>60</v>
      </c>
      <c r="G1928" t="s">
        <v>14</v>
      </c>
      <c r="H1928">
        <v>21400</v>
      </c>
      <c r="I1928">
        <v>57</v>
      </c>
      <c r="J1928" t="s">
        <v>15</v>
      </c>
      <c r="K1928">
        <v>24848</v>
      </c>
      <c r="L1928" t="s">
        <v>22</v>
      </c>
    </row>
    <row r="1929" spans="1:12" x14ac:dyDescent="0.3">
      <c r="A1929">
        <v>2004</v>
      </c>
      <c r="B1929" t="s">
        <v>17</v>
      </c>
      <c r="C1929">
        <v>7856</v>
      </c>
      <c r="D1929">
        <v>3654</v>
      </c>
      <c r="E1929">
        <v>145</v>
      </c>
      <c r="F1929" t="s">
        <v>60</v>
      </c>
      <c r="G1929" t="s">
        <v>14</v>
      </c>
      <c r="H1929">
        <v>122102</v>
      </c>
      <c r="I1929">
        <v>54</v>
      </c>
      <c r="J1929" t="s">
        <v>15</v>
      </c>
      <c r="K1929">
        <v>761</v>
      </c>
      <c r="L1929" t="s">
        <v>22</v>
      </c>
    </row>
    <row r="1930" spans="1:12" x14ac:dyDescent="0.3">
      <c r="A1930">
        <v>2005</v>
      </c>
      <c r="B1930" t="s">
        <v>17</v>
      </c>
      <c r="C1930">
        <v>32</v>
      </c>
      <c r="D1930">
        <v>233</v>
      </c>
      <c r="E1930">
        <v>146</v>
      </c>
      <c r="F1930" t="s">
        <v>60</v>
      </c>
      <c r="G1930" t="s">
        <v>14</v>
      </c>
      <c r="H1930">
        <v>382</v>
      </c>
      <c r="I1930">
        <v>54.5</v>
      </c>
      <c r="J1930" t="s">
        <v>15</v>
      </c>
      <c r="K1930">
        <v>45608</v>
      </c>
      <c r="L1930" t="s">
        <v>22</v>
      </c>
    </row>
    <row r="1931" spans="1:12" x14ac:dyDescent="0.3">
      <c r="A1931">
        <v>2006</v>
      </c>
      <c r="B1931" t="s">
        <v>17</v>
      </c>
      <c r="C1931">
        <v>1</v>
      </c>
      <c r="D1931">
        <v>233</v>
      </c>
      <c r="E1931">
        <v>147</v>
      </c>
      <c r="F1931" t="s">
        <v>60</v>
      </c>
      <c r="G1931" t="s">
        <v>14</v>
      </c>
      <c r="H1931">
        <v>19578</v>
      </c>
      <c r="I1931">
        <v>56.6</v>
      </c>
      <c r="J1931" t="s">
        <v>15</v>
      </c>
      <c r="K1931">
        <v>234581</v>
      </c>
      <c r="L1931" t="s">
        <v>22</v>
      </c>
    </row>
    <row r="1932" spans="1:12" x14ac:dyDescent="0.3">
      <c r="A1932">
        <v>2007</v>
      </c>
      <c r="B1932" t="s">
        <v>46</v>
      </c>
      <c r="C1932">
        <v>30</v>
      </c>
      <c r="D1932">
        <v>233</v>
      </c>
      <c r="E1932">
        <v>148</v>
      </c>
      <c r="F1932" t="s">
        <v>60</v>
      </c>
      <c r="G1932" t="s">
        <v>14</v>
      </c>
      <c r="H1932">
        <v>121037</v>
      </c>
      <c r="I1932">
        <v>55.5</v>
      </c>
      <c r="J1932" t="s">
        <v>15</v>
      </c>
      <c r="K1932">
        <v>646</v>
      </c>
      <c r="L1932" t="s">
        <v>22</v>
      </c>
    </row>
    <row r="1933" spans="1:12" x14ac:dyDescent="0.3">
      <c r="A1933">
        <v>2008</v>
      </c>
      <c r="B1933" t="s">
        <v>46</v>
      </c>
      <c r="C1933">
        <v>6</v>
      </c>
      <c r="D1933">
        <v>234</v>
      </c>
      <c r="E1933">
        <v>149</v>
      </c>
      <c r="F1933" t="s">
        <v>60</v>
      </c>
      <c r="G1933" t="s">
        <v>14</v>
      </c>
      <c r="H1933">
        <v>231</v>
      </c>
      <c r="I1933">
        <v>58.5</v>
      </c>
      <c r="J1933" t="s">
        <v>15</v>
      </c>
      <c r="K1933">
        <v>43562</v>
      </c>
      <c r="L1933" t="s">
        <v>22</v>
      </c>
    </row>
    <row r="1934" spans="1:12" x14ac:dyDescent="0.3">
      <c r="A1934">
        <v>2009</v>
      </c>
      <c r="B1934" t="s">
        <v>46</v>
      </c>
      <c r="C1934">
        <v>15</v>
      </c>
      <c r="D1934">
        <v>234</v>
      </c>
      <c r="E1934">
        <v>150</v>
      </c>
      <c r="F1934" t="s">
        <v>60</v>
      </c>
      <c r="G1934" t="s">
        <v>14</v>
      </c>
      <c r="H1934">
        <v>18951</v>
      </c>
      <c r="I1934">
        <v>59.5</v>
      </c>
      <c r="J1934" t="s">
        <v>15</v>
      </c>
      <c r="K1934">
        <v>200000</v>
      </c>
      <c r="L1934" t="s">
        <v>22</v>
      </c>
    </row>
    <row r="1935" spans="1:12" x14ac:dyDescent="0.3">
      <c r="A1935">
        <v>2010</v>
      </c>
      <c r="B1935" t="s">
        <v>46</v>
      </c>
      <c r="C1935">
        <v>4</v>
      </c>
      <c r="D1935">
        <v>234</v>
      </c>
      <c r="E1935">
        <v>151</v>
      </c>
      <c r="F1935" t="s">
        <v>60</v>
      </c>
      <c r="G1935" t="s">
        <v>14</v>
      </c>
      <c r="H1935">
        <v>110579</v>
      </c>
      <c r="I1935">
        <v>55</v>
      </c>
      <c r="J1935" t="s">
        <v>15</v>
      </c>
      <c r="K1935">
        <v>4847</v>
      </c>
      <c r="L1935" t="s">
        <v>22</v>
      </c>
    </row>
    <row r="1936" spans="1:12" x14ac:dyDescent="0.3">
      <c r="A1936">
        <v>2011</v>
      </c>
      <c r="B1936" t="s">
        <v>46</v>
      </c>
      <c r="C1936">
        <v>39</v>
      </c>
      <c r="D1936">
        <v>3105</v>
      </c>
      <c r="E1936">
        <v>152</v>
      </c>
      <c r="F1936" t="s">
        <v>60</v>
      </c>
      <c r="G1936" t="s">
        <v>14</v>
      </c>
      <c r="H1936">
        <v>221</v>
      </c>
      <c r="I1936">
        <v>53</v>
      </c>
      <c r="J1936" t="s">
        <v>15</v>
      </c>
      <c r="K1936">
        <v>51239</v>
      </c>
      <c r="L1936" t="s">
        <v>22</v>
      </c>
    </row>
    <row r="1937" spans="1:12" x14ac:dyDescent="0.3">
      <c r="A1937">
        <v>2012</v>
      </c>
      <c r="B1937" t="s">
        <v>46</v>
      </c>
      <c r="C1937">
        <v>6</v>
      </c>
      <c r="D1937">
        <v>3105</v>
      </c>
      <c r="E1937">
        <v>153</v>
      </c>
      <c r="F1937" t="s">
        <v>60</v>
      </c>
      <c r="G1937" t="s">
        <v>14</v>
      </c>
      <c r="H1937">
        <v>15362</v>
      </c>
      <c r="I1937">
        <v>53.5</v>
      </c>
      <c r="J1937" t="s">
        <v>15</v>
      </c>
      <c r="K1937">
        <v>216396</v>
      </c>
      <c r="L1937" t="s">
        <v>22</v>
      </c>
    </row>
    <row r="1938" spans="1:12" x14ac:dyDescent="0.3">
      <c r="A1938">
        <v>2013</v>
      </c>
      <c r="B1938" t="s">
        <v>46</v>
      </c>
      <c r="C1938">
        <v>12</v>
      </c>
      <c r="D1938">
        <v>3105</v>
      </c>
      <c r="E1938">
        <v>154</v>
      </c>
      <c r="F1938" t="s">
        <v>60</v>
      </c>
      <c r="G1938" t="s">
        <v>14</v>
      </c>
      <c r="H1938">
        <v>120373</v>
      </c>
      <c r="I1938">
        <v>52.5</v>
      </c>
      <c r="J1938" t="s">
        <v>15</v>
      </c>
      <c r="K1938">
        <v>2644</v>
      </c>
      <c r="L1938" t="s">
        <v>22</v>
      </c>
    </row>
    <row r="1939" spans="1:12" x14ac:dyDescent="0.3">
      <c r="A1939">
        <v>2014</v>
      </c>
      <c r="B1939" t="s">
        <v>46</v>
      </c>
      <c r="C1939">
        <v>3</v>
      </c>
      <c r="D1939">
        <v>236</v>
      </c>
      <c r="E1939">
        <v>155</v>
      </c>
      <c r="F1939" t="s">
        <v>60</v>
      </c>
      <c r="G1939" t="s">
        <v>14</v>
      </c>
      <c r="H1939">
        <v>291</v>
      </c>
      <c r="I1939">
        <v>56</v>
      </c>
      <c r="J1939" t="s">
        <v>15</v>
      </c>
      <c r="K1939">
        <v>44235</v>
      </c>
      <c r="L1939" t="s">
        <v>22</v>
      </c>
    </row>
    <row r="1940" spans="1:12" x14ac:dyDescent="0.3">
      <c r="A1940">
        <v>2015</v>
      </c>
      <c r="B1940" t="s">
        <v>46</v>
      </c>
      <c r="C1940">
        <v>17</v>
      </c>
      <c r="D1940">
        <v>236</v>
      </c>
      <c r="E1940">
        <v>156</v>
      </c>
      <c r="F1940" t="s">
        <v>60</v>
      </c>
      <c r="G1940" t="s">
        <v>14</v>
      </c>
      <c r="H1940">
        <v>17231</v>
      </c>
      <c r="I1940">
        <v>57</v>
      </c>
      <c r="J1940" t="s">
        <v>15</v>
      </c>
      <c r="K1940">
        <v>203317</v>
      </c>
      <c r="L1940" t="s">
        <v>22</v>
      </c>
    </row>
    <row r="1941" spans="1:12" x14ac:dyDescent="0.3">
      <c r="A1941">
        <v>2016</v>
      </c>
      <c r="B1941" t="s">
        <v>46</v>
      </c>
      <c r="C1941">
        <v>3</v>
      </c>
      <c r="D1941">
        <v>2903.1</v>
      </c>
      <c r="E1941">
        <v>157</v>
      </c>
      <c r="F1941" t="s">
        <v>60</v>
      </c>
      <c r="G1941" t="s">
        <v>14</v>
      </c>
      <c r="H1941">
        <v>119359</v>
      </c>
      <c r="I1941">
        <v>57.5</v>
      </c>
      <c r="J1941" t="s">
        <v>15</v>
      </c>
      <c r="K1941">
        <v>2134</v>
      </c>
      <c r="L1941" t="s">
        <v>22</v>
      </c>
    </row>
    <row r="1942" spans="1:12" x14ac:dyDescent="0.3">
      <c r="A1942">
        <v>2017</v>
      </c>
      <c r="B1942" t="s">
        <v>46</v>
      </c>
      <c r="C1942">
        <v>9</v>
      </c>
      <c r="D1942">
        <v>2903.1</v>
      </c>
      <c r="E1942">
        <v>158</v>
      </c>
      <c r="F1942" t="s">
        <v>60</v>
      </c>
      <c r="G1942" t="s">
        <v>14</v>
      </c>
      <c r="H1942">
        <v>283</v>
      </c>
      <c r="I1942">
        <v>57</v>
      </c>
      <c r="J1942" t="s">
        <v>15</v>
      </c>
      <c r="K1942">
        <v>45186</v>
      </c>
      <c r="L1942" t="s">
        <v>22</v>
      </c>
    </row>
    <row r="1943" spans="1:12" x14ac:dyDescent="0.3">
      <c r="A1943">
        <v>2018</v>
      </c>
      <c r="B1943" t="s">
        <v>46</v>
      </c>
      <c r="C1943">
        <v>21</v>
      </c>
      <c r="D1943">
        <v>2903.1</v>
      </c>
      <c r="E1943">
        <v>159</v>
      </c>
      <c r="F1943" t="s">
        <v>60</v>
      </c>
      <c r="G1943" t="s">
        <v>14</v>
      </c>
      <c r="H1943">
        <v>17690</v>
      </c>
      <c r="I1943">
        <v>55</v>
      </c>
      <c r="J1943" t="s">
        <v>15</v>
      </c>
      <c r="K1943">
        <v>238542</v>
      </c>
      <c r="L1943" t="s">
        <v>22</v>
      </c>
    </row>
    <row r="1944" spans="1:12" x14ac:dyDescent="0.3">
      <c r="A1944">
        <v>2004</v>
      </c>
      <c r="B1944" t="s">
        <v>46</v>
      </c>
      <c r="C1944">
        <v>11</v>
      </c>
      <c r="D1944">
        <v>2996.6</v>
      </c>
      <c r="E1944">
        <v>160</v>
      </c>
      <c r="F1944" t="s">
        <v>60</v>
      </c>
      <c r="G1944" t="s">
        <v>14</v>
      </c>
      <c r="H1944">
        <v>7157</v>
      </c>
      <c r="I1944">
        <v>56</v>
      </c>
      <c r="J1944" t="s">
        <v>15</v>
      </c>
      <c r="K1944">
        <v>1516</v>
      </c>
      <c r="L1944" t="s">
        <v>22</v>
      </c>
    </row>
    <row r="1945" spans="1:12" x14ac:dyDescent="0.3">
      <c r="A1945">
        <v>2005</v>
      </c>
      <c r="B1945" t="s">
        <v>46</v>
      </c>
      <c r="C1945">
        <v>4</v>
      </c>
      <c r="D1945">
        <v>2996.6</v>
      </c>
      <c r="E1945">
        <v>161</v>
      </c>
      <c r="F1945" t="s">
        <v>60</v>
      </c>
      <c r="G1945" t="s">
        <v>14</v>
      </c>
      <c r="H1945">
        <v>8700</v>
      </c>
      <c r="I1945">
        <v>54</v>
      </c>
      <c r="J1945" t="s">
        <v>15</v>
      </c>
      <c r="K1945">
        <v>57259</v>
      </c>
      <c r="L1945" t="s">
        <v>22</v>
      </c>
    </row>
    <row r="1946" spans="1:12" x14ac:dyDescent="0.3">
      <c r="A1946">
        <v>2012</v>
      </c>
      <c r="B1946" t="s">
        <v>46</v>
      </c>
      <c r="C1946">
        <v>15</v>
      </c>
      <c r="D1946">
        <v>2996.6</v>
      </c>
      <c r="E1946">
        <v>162</v>
      </c>
      <c r="F1946" t="s">
        <v>60</v>
      </c>
      <c r="G1946" t="s">
        <v>14</v>
      </c>
      <c r="H1946">
        <v>41266</v>
      </c>
      <c r="I1946">
        <v>58</v>
      </c>
      <c r="J1946" t="s">
        <v>15</v>
      </c>
      <c r="K1946">
        <v>234779</v>
      </c>
      <c r="L1946" t="s">
        <v>22</v>
      </c>
    </row>
    <row r="1947" spans="1:12" x14ac:dyDescent="0.3">
      <c r="A1947">
        <v>2013</v>
      </c>
      <c r="B1947" t="s">
        <v>46</v>
      </c>
      <c r="C1947">
        <v>8</v>
      </c>
      <c r="D1947">
        <v>3522.8</v>
      </c>
      <c r="E1947">
        <v>163</v>
      </c>
      <c r="F1947" t="s">
        <v>60</v>
      </c>
      <c r="G1947" t="s">
        <v>14</v>
      </c>
      <c r="H1947">
        <v>8838</v>
      </c>
      <c r="I1947">
        <v>58</v>
      </c>
      <c r="J1947" t="s">
        <v>15</v>
      </c>
      <c r="K1947">
        <v>1493</v>
      </c>
      <c r="L1947" t="s">
        <v>22</v>
      </c>
    </row>
    <row r="1948" spans="1:12" x14ac:dyDescent="0.3">
      <c r="A1948">
        <v>2014</v>
      </c>
      <c r="B1948" t="s">
        <v>46</v>
      </c>
      <c r="C1948">
        <v>29</v>
      </c>
      <c r="D1948">
        <v>3522.8</v>
      </c>
      <c r="E1948">
        <v>164</v>
      </c>
      <c r="F1948" t="s">
        <v>60</v>
      </c>
      <c r="G1948" t="s">
        <v>14</v>
      </c>
      <c r="H1948">
        <v>8954</v>
      </c>
      <c r="I1948">
        <v>59</v>
      </c>
      <c r="J1948" t="s">
        <v>15</v>
      </c>
      <c r="K1948">
        <v>64409</v>
      </c>
      <c r="L1948" t="s">
        <v>22</v>
      </c>
    </row>
    <row r="1949" spans="1:12" x14ac:dyDescent="0.3">
      <c r="A1949">
        <v>2015</v>
      </c>
      <c r="B1949" t="s">
        <v>46</v>
      </c>
      <c r="C1949">
        <v>1</v>
      </c>
      <c r="D1949">
        <v>3522.8</v>
      </c>
      <c r="E1949">
        <v>165</v>
      </c>
      <c r="F1949" t="s">
        <v>60</v>
      </c>
      <c r="G1949" t="s">
        <v>14</v>
      </c>
      <c r="H1949">
        <v>42915</v>
      </c>
      <c r="I1949">
        <v>50</v>
      </c>
      <c r="J1949" t="s">
        <v>15</v>
      </c>
      <c r="K1949">
        <v>249978</v>
      </c>
      <c r="L1949" t="s">
        <v>22</v>
      </c>
    </row>
    <row r="1950" spans="1:12" x14ac:dyDescent="0.3">
      <c r="A1950">
        <v>2016</v>
      </c>
      <c r="B1950" t="s">
        <v>46</v>
      </c>
      <c r="C1950">
        <v>13736</v>
      </c>
      <c r="D1950">
        <v>2903.1</v>
      </c>
      <c r="E1950">
        <v>166</v>
      </c>
      <c r="F1950" t="s">
        <v>60</v>
      </c>
      <c r="G1950" t="s">
        <v>14</v>
      </c>
      <c r="H1950">
        <v>9230</v>
      </c>
      <c r="I1950">
        <v>54</v>
      </c>
      <c r="J1950" t="s">
        <v>15</v>
      </c>
      <c r="K1950">
        <v>637</v>
      </c>
      <c r="L1950" t="s">
        <v>22</v>
      </c>
    </row>
    <row r="1951" spans="1:12" x14ac:dyDescent="0.3">
      <c r="A1951">
        <v>2017</v>
      </c>
      <c r="B1951" t="s">
        <v>18</v>
      </c>
      <c r="C1951">
        <v>14003</v>
      </c>
      <c r="D1951">
        <v>2903.1</v>
      </c>
      <c r="E1951">
        <v>167</v>
      </c>
      <c r="F1951" t="s">
        <v>60</v>
      </c>
      <c r="G1951" t="s">
        <v>14</v>
      </c>
      <c r="H1951">
        <v>44313</v>
      </c>
      <c r="I1951">
        <v>53</v>
      </c>
      <c r="J1951" t="s">
        <v>15</v>
      </c>
      <c r="K1951">
        <v>43311</v>
      </c>
      <c r="L1951" t="s">
        <v>22</v>
      </c>
    </row>
    <row r="1952" spans="1:12" x14ac:dyDescent="0.3">
      <c r="A1952">
        <v>2018</v>
      </c>
      <c r="B1952" t="s">
        <v>18</v>
      </c>
      <c r="C1952">
        <v>14179</v>
      </c>
      <c r="D1952">
        <v>2903.1</v>
      </c>
      <c r="E1952">
        <v>168</v>
      </c>
      <c r="F1952" t="s">
        <v>60</v>
      </c>
      <c r="G1952" t="s">
        <v>14</v>
      </c>
      <c r="H1952">
        <v>45820</v>
      </c>
      <c r="I1952">
        <v>52</v>
      </c>
      <c r="J1952" t="s">
        <v>15</v>
      </c>
      <c r="K1952">
        <v>24848</v>
      </c>
      <c r="L1952" t="s">
        <v>22</v>
      </c>
    </row>
    <row r="1953" spans="1:12" x14ac:dyDescent="0.3">
      <c r="A1953">
        <v>2004</v>
      </c>
      <c r="B1953" t="s">
        <v>18</v>
      </c>
      <c r="C1953">
        <v>14319</v>
      </c>
      <c r="D1953">
        <v>2996.6</v>
      </c>
      <c r="E1953">
        <v>169</v>
      </c>
      <c r="F1953" t="s">
        <v>50</v>
      </c>
      <c r="G1953" t="s">
        <v>14</v>
      </c>
      <c r="H1953">
        <v>49084</v>
      </c>
      <c r="I1953">
        <v>51</v>
      </c>
      <c r="J1953" t="s">
        <v>15</v>
      </c>
      <c r="K1953">
        <v>761</v>
      </c>
      <c r="L1953" t="s">
        <v>22</v>
      </c>
    </row>
    <row r="1954" spans="1:12" x14ac:dyDescent="0.3">
      <c r="A1954">
        <v>2005</v>
      </c>
      <c r="B1954" t="s">
        <v>18</v>
      </c>
      <c r="C1954">
        <v>14464</v>
      </c>
      <c r="D1954">
        <v>2996.6</v>
      </c>
      <c r="E1954">
        <v>170</v>
      </c>
      <c r="F1954" t="s">
        <v>50</v>
      </c>
      <c r="G1954" t="s">
        <v>21</v>
      </c>
      <c r="H1954">
        <v>86311</v>
      </c>
      <c r="I1954">
        <v>57</v>
      </c>
      <c r="J1954" t="s">
        <v>15</v>
      </c>
      <c r="K1954">
        <v>45608</v>
      </c>
      <c r="L1954" t="s">
        <v>22</v>
      </c>
    </row>
    <row r="1955" spans="1:12" x14ac:dyDescent="0.3">
      <c r="A1955">
        <v>2006</v>
      </c>
      <c r="B1955" t="s">
        <v>18</v>
      </c>
      <c r="C1955">
        <v>14876</v>
      </c>
      <c r="D1955">
        <v>2996.6</v>
      </c>
      <c r="E1955">
        <v>171</v>
      </c>
      <c r="F1955" t="s">
        <v>50</v>
      </c>
      <c r="G1955" t="s">
        <v>21</v>
      </c>
      <c r="H1955">
        <v>57642</v>
      </c>
      <c r="I1955">
        <v>57</v>
      </c>
      <c r="J1955" t="s">
        <v>15</v>
      </c>
      <c r="K1955">
        <v>234581</v>
      </c>
      <c r="L1955" t="s">
        <v>22</v>
      </c>
    </row>
    <row r="1956" spans="1:12" x14ac:dyDescent="0.3">
      <c r="A1956">
        <v>2007</v>
      </c>
      <c r="B1956" t="s">
        <v>18</v>
      </c>
      <c r="C1956">
        <v>14976</v>
      </c>
      <c r="D1956">
        <v>3522.8</v>
      </c>
      <c r="E1956">
        <v>172</v>
      </c>
      <c r="F1956" t="s">
        <v>50</v>
      </c>
      <c r="G1956" t="s">
        <v>21</v>
      </c>
      <c r="H1956">
        <v>58405</v>
      </c>
      <c r="I1956">
        <v>60</v>
      </c>
      <c r="J1956" t="s">
        <v>15</v>
      </c>
      <c r="K1956">
        <v>646</v>
      </c>
      <c r="L1956" t="s">
        <v>22</v>
      </c>
    </row>
    <row r="1957" spans="1:12" x14ac:dyDescent="0.3">
      <c r="A1957">
        <v>2008</v>
      </c>
      <c r="B1957" t="s">
        <v>18</v>
      </c>
      <c r="C1957">
        <v>15009</v>
      </c>
      <c r="D1957">
        <v>3522.8</v>
      </c>
      <c r="E1957">
        <v>173</v>
      </c>
      <c r="F1957" t="s">
        <v>50</v>
      </c>
      <c r="G1957" t="s">
        <v>21</v>
      </c>
      <c r="H1957">
        <v>60751</v>
      </c>
      <c r="I1957">
        <v>57</v>
      </c>
      <c r="J1957" t="s">
        <v>15</v>
      </c>
      <c r="K1957">
        <v>43562</v>
      </c>
      <c r="L1957" t="s">
        <v>22</v>
      </c>
    </row>
    <row r="1958" spans="1:12" x14ac:dyDescent="0.3">
      <c r="A1958">
        <v>2009</v>
      </c>
      <c r="B1958" t="s">
        <v>18</v>
      </c>
      <c r="C1958">
        <v>15114</v>
      </c>
      <c r="D1958">
        <v>3522.8</v>
      </c>
      <c r="E1958">
        <v>174</v>
      </c>
      <c r="F1958" t="s">
        <v>50</v>
      </c>
      <c r="G1958" t="s">
        <v>21</v>
      </c>
      <c r="H1958">
        <v>109506</v>
      </c>
      <c r="I1958">
        <v>57</v>
      </c>
      <c r="J1958" t="s">
        <v>15</v>
      </c>
      <c r="K1958">
        <v>200000</v>
      </c>
      <c r="L1958" t="s">
        <v>22</v>
      </c>
    </row>
    <row r="1959" spans="1:12" x14ac:dyDescent="0.3">
      <c r="A1959">
        <v>2010</v>
      </c>
      <c r="B1959" t="s">
        <v>18</v>
      </c>
      <c r="C1959">
        <v>16224</v>
      </c>
      <c r="D1959">
        <v>3729.8</v>
      </c>
      <c r="E1959">
        <v>175</v>
      </c>
      <c r="F1959" t="s">
        <v>50</v>
      </c>
      <c r="G1959" t="s">
        <v>21</v>
      </c>
      <c r="H1959">
        <v>114</v>
      </c>
      <c r="I1959">
        <v>54</v>
      </c>
      <c r="J1959" t="s">
        <v>15</v>
      </c>
      <c r="K1959">
        <v>4847</v>
      </c>
      <c r="L1959" t="s">
        <v>22</v>
      </c>
    </row>
    <row r="1960" spans="1:12" x14ac:dyDescent="0.3">
      <c r="A1960">
        <v>2011</v>
      </c>
      <c r="B1960" t="s">
        <v>18</v>
      </c>
      <c r="C1960">
        <v>17095</v>
      </c>
      <c r="D1960">
        <v>3729.8</v>
      </c>
      <c r="E1960">
        <v>176</v>
      </c>
      <c r="F1960" t="s">
        <v>50</v>
      </c>
      <c r="G1960" t="s">
        <v>21</v>
      </c>
      <c r="H1960">
        <v>3</v>
      </c>
      <c r="I1960">
        <v>54.5</v>
      </c>
      <c r="J1960" t="s">
        <v>15</v>
      </c>
      <c r="K1960">
        <v>51239</v>
      </c>
      <c r="L1960" t="s">
        <v>22</v>
      </c>
    </row>
    <row r="1961" spans="1:12" x14ac:dyDescent="0.3">
      <c r="A1961">
        <v>2012</v>
      </c>
      <c r="B1961" t="s">
        <v>18</v>
      </c>
      <c r="C1961">
        <v>17512</v>
      </c>
      <c r="D1961">
        <v>3729.8</v>
      </c>
      <c r="E1961">
        <v>177</v>
      </c>
      <c r="F1961" t="s">
        <v>50</v>
      </c>
      <c r="G1961" t="s">
        <v>21</v>
      </c>
      <c r="H1961">
        <v>95</v>
      </c>
      <c r="I1961">
        <v>56.6</v>
      </c>
      <c r="J1961" t="s">
        <v>15</v>
      </c>
      <c r="K1961">
        <v>216396</v>
      </c>
      <c r="L1961" t="s">
        <v>22</v>
      </c>
    </row>
    <row r="1962" spans="1:12" x14ac:dyDescent="0.3">
      <c r="A1962">
        <v>2013</v>
      </c>
      <c r="B1962" t="s">
        <v>18</v>
      </c>
      <c r="C1962">
        <v>17587</v>
      </c>
      <c r="D1962">
        <v>2746.2</v>
      </c>
      <c r="E1962">
        <v>178</v>
      </c>
      <c r="F1962" t="s">
        <v>50</v>
      </c>
      <c r="G1962" t="s">
        <v>21</v>
      </c>
      <c r="H1962">
        <v>19</v>
      </c>
      <c r="I1962">
        <v>55.5</v>
      </c>
      <c r="J1962" t="s">
        <v>15</v>
      </c>
      <c r="K1962">
        <v>2644</v>
      </c>
      <c r="L1962" t="s">
        <v>22</v>
      </c>
    </row>
    <row r="1963" spans="1:12" x14ac:dyDescent="0.3">
      <c r="A1963">
        <v>2014</v>
      </c>
      <c r="B1963" t="s">
        <v>18</v>
      </c>
      <c r="C1963">
        <v>17771</v>
      </c>
      <c r="D1963">
        <v>2746.2</v>
      </c>
      <c r="E1963">
        <v>179</v>
      </c>
      <c r="F1963" t="s">
        <v>50</v>
      </c>
      <c r="G1963" t="s">
        <v>21</v>
      </c>
      <c r="H1963">
        <v>54</v>
      </c>
      <c r="I1963">
        <v>58.5</v>
      </c>
      <c r="J1963" t="s">
        <v>15</v>
      </c>
      <c r="K1963">
        <v>44235</v>
      </c>
      <c r="L1963" t="s">
        <v>22</v>
      </c>
    </row>
    <row r="1964" spans="1:12" x14ac:dyDescent="0.3">
      <c r="A1964">
        <v>2015</v>
      </c>
      <c r="B1964" t="s">
        <v>18</v>
      </c>
      <c r="C1964">
        <v>17825</v>
      </c>
      <c r="D1964">
        <v>2746.2</v>
      </c>
      <c r="E1964">
        <v>180</v>
      </c>
      <c r="F1964" t="s">
        <v>50</v>
      </c>
      <c r="G1964" t="s">
        <v>21</v>
      </c>
      <c r="H1964">
        <v>13</v>
      </c>
      <c r="I1964">
        <v>59.5</v>
      </c>
      <c r="J1964" t="s">
        <v>15</v>
      </c>
      <c r="K1964">
        <v>203317</v>
      </c>
      <c r="L1964" t="s">
        <v>22</v>
      </c>
    </row>
    <row r="1965" spans="1:12" x14ac:dyDescent="0.3">
      <c r="A1965">
        <v>2016</v>
      </c>
      <c r="B1965" t="s">
        <v>18</v>
      </c>
      <c r="C1965">
        <v>3147</v>
      </c>
      <c r="D1965">
        <v>3360</v>
      </c>
      <c r="E1965">
        <v>181</v>
      </c>
      <c r="F1965" t="s">
        <v>50</v>
      </c>
      <c r="G1965" t="s">
        <v>21</v>
      </c>
      <c r="H1965">
        <v>123</v>
      </c>
      <c r="I1965">
        <v>55</v>
      </c>
      <c r="J1965" t="s">
        <v>15</v>
      </c>
      <c r="K1965">
        <v>2134</v>
      </c>
      <c r="L1965" t="s">
        <v>22</v>
      </c>
    </row>
    <row r="1966" spans="1:12" x14ac:dyDescent="0.3">
      <c r="A1966">
        <v>2017</v>
      </c>
      <c r="B1966" t="s">
        <v>18</v>
      </c>
      <c r="C1966">
        <v>2578</v>
      </c>
      <c r="D1966">
        <v>3360</v>
      </c>
      <c r="E1966">
        <v>182</v>
      </c>
      <c r="F1966" t="s">
        <v>50</v>
      </c>
      <c r="G1966" t="s">
        <v>21</v>
      </c>
      <c r="H1966">
        <v>19</v>
      </c>
      <c r="I1966">
        <v>53</v>
      </c>
      <c r="J1966" t="s">
        <v>15</v>
      </c>
      <c r="K1966">
        <v>45186</v>
      </c>
      <c r="L1966" t="s">
        <v>22</v>
      </c>
    </row>
    <row r="1967" spans="1:12" x14ac:dyDescent="0.3">
      <c r="A1967">
        <v>2018</v>
      </c>
      <c r="B1967" t="s">
        <v>18</v>
      </c>
      <c r="C1967">
        <v>1591</v>
      </c>
      <c r="D1967">
        <v>3360</v>
      </c>
      <c r="E1967">
        <v>183</v>
      </c>
      <c r="F1967" t="s">
        <v>50</v>
      </c>
      <c r="G1967" t="s">
        <v>21</v>
      </c>
      <c r="H1967">
        <v>32</v>
      </c>
      <c r="I1967">
        <v>53.5</v>
      </c>
      <c r="J1967" t="s">
        <v>15</v>
      </c>
      <c r="K1967">
        <v>238542</v>
      </c>
      <c r="L1967" t="s">
        <v>22</v>
      </c>
    </row>
    <row r="1968" spans="1:12" x14ac:dyDescent="0.3">
      <c r="A1968">
        <v>2019</v>
      </c>
      <c r="B1968" t="s">
        <v>18</v>
      </c>
      <c r="C1968">
        <v>1298</v>
      </c>
      <c r="D1968">
        <v>3605.4</v>
      </c>
      <c r="E1968">
        <v>184</v>
      </c>
      <c r="F1968" t="s">
        <v>50</v>
      </c>
      <c r="G1968" t="s">
        <v>21</v>
      </c>
      <c r="H1968">
        <v>8</v>
      </c>
      <c r="I1968">
        <v>52.5</v>
      </c>
      <c r="J1968" t="s">
        <v>15</v>
      </c>
      <c r="K1968">
        <v>1516</v>
      </c>
      <c r="L1968" t="s">
        <v>22</v>
      </c>
    </row>
    <row r="1969" spans="1:12" x14ac:dyDescent="0.3">
      <c r="A1969">
        <v>2004</v>
      </c>
      <c r="B1969" t="s">
        <v>18</v>
      </c>
      <c r="C1969">
        <v>4</v>
      </c>
      <c r="D1969">
        <v>3605.4</v>
      </c>
      <c r="E1969">
        <v>185</v>
      </c>
      <c r="F1969" t="s">
        <v>50</v>
      </c>
      <c r="G1969" t="s">
        <v>21</v>
      </c>
      <c r="H1969">
        <v>50</v>
      </c>
      <c r="I1969">
        <v>56</v>
      </c>
      <c r="J1969" t="s">
        <v>15</v>
      </c>
      <c r="K1969">
        <v>57259</v>
      </c>
      <c r="L1969" t="s">
        <v>22</v>
      </c>
    </row>
    <row r="1970" spans="1:12" x14ac:dyDescent="0.3">
      <c r="A1970">
        <v>2013</v>
      </c>
      <c r="B1970" t="s">
        <v>18</v>
      </c>
      <c r="C1970">
        <v>1122</v>
      </c>
      <c r="D1970">
        <v>3605.4</v>
      </c>
      <c r="E1970">
        <v>186</v>
      </c>
      <c r="F1970" t="s">
        <v>50</v>
      </c>
      <c r="G1970" t="s">
        <v>21</v>
      </c>
      <c r="H1970">
        <v>10</v>
      </c>
      <c r="I1970">
        <v>57</v>
      </c>
      <c r="J1970" t="s">
        <v>15</v>
      </c>
      <c r="K1970">
        <v>234779</v>
      </c>
      <c r="L1970" t="s">
        <v>22</v>
      </c>
    </row>
    <row r="1971" spans="1:12" x14ac:dyDescent="0.3">
      <c r="A1971">
        <v>2014</v>
      </c>
      <c r="B1971" t="s">
        <v>18</v>
      </c>
      <c r="C1971">
        <v>917</v>
      </c>
      <c r="D1971">
        <v>3512.4</v>
      </c>
      <c r="E1971">
        <v>187</v>
      </c>
      <c r="F1971" t="s">
        <v>50</v>
      </c>
      <c r="G1971" t="s">
        <v>21</v>
      </c>
      <c r="H1971">
        <v>29</v>
      </c>
      <c r="I1971">
        <v>57.5</v>
      </c>
      <c r="J1971" t="s">
        <v>15</v>
      </c>
      <c r="K1971">
        <v>1493</v>
      </c>
      <c r="L1971" t="s">
        <v>22</v>
      </c>
    </row>
    <row r="1972" spans="1:12" x14ac:dyDescent="0.3">
      <c r="A1972">
        <v>2015</v>
      </c>
      <c r="B1972" t="s">
        <v>18</v>
      </c>
      <c r="C1972">
        <v>819</v>
      </c>
      <c r="D1972">
        <v>3512.4</v>
      </c>
      <c r="E1972">
        <v>188</v>
      </c>
      <c r="F1972" t="s">
        <v>50</v>
      </c>
      <c r="G1972" t="s">
        <v>21</v>
      </c>
      <c r="H1972">
        <v>44</v>
      </c>
      <c r="I1972">
        <v>57</v>
      </c>
      <c r="J1972" t="s">
        <v>15</v>
      </c>
      <c r="K1972">
        <v>64409</v>
      </c>
      <c r="L1972" t="s">
        <v>22</v>
      </c>
    </row>
    <row r="1973" spans="1:12" x14ac:dyDescent="0.3">
      <c r="A1973">
        <v>2016</v>
      </c>
      <c r="B1973" t="s">
        <v>18</v>
      </c>
      <c r="C1973">
        <v>619</v>
      </c>
      <c r="D1973">
        <v>3512.4</v>
      </c>
      <c r="E1973">
        <v>189</v>
      </c>
      <c r="F1973" t="s">
        <v>50</v>
      </c>
      <c r="G1973" t="s">
        <v>21</v>
      </c>
      <c r="H1973">
        <v>33</v>
      </c>
      <c r="I1973">
        <v>55</v>
      </c>
      <c r="J1973" t="s">
        <v>15</v>
      </c>
      <c r="K1973">
        <v>249978</v>
      </c>
      <c r="L1973" t="s">
        <v>22</v>
      </c>
    </row>
    <row r="1974" spans="1:12" x14ac:dyDescent="0.3">
      <c r="A1974">
        <v>2017</v>
      </c>
      <c r="B1974" t="s">
        <v>18</v>
      </c>
      <c r="C1974">
        <v>391</v>
      </c>
      <c r="D1974">
        <v>3296</v>
      </c>
      <c r="E1974">
        <v>190</v>
      </c>
      <c r="F1974" t="s">
        <v>50</v>
      </c>
      <c r="G1974" t="s">
        <v>21</v>
      </c>
      <c r="H1974">
        <v>14</v>
      </c>
      <c r="I1974">
        <v>56</v>
      </c>
      <c r="J1974" t="s">
        <v>15</v>
      </c>
      <c r="K1974">
        <v>200000</v>
      </c>
      <c r="L1974" t="s">
        <v>22</v>
      </c>
    </row>
    <row r="1975" spans="1:12" x14ac:dyDescent="0.3">
      <c r="A1975">
        <v>2018</v>
      </c>
      <c r="B1975" t="s">
        <v>18</v>
      </c>
      <c r="C1975">
        <v>211</v>
      </c>
      <c r="D1975">
        <v>3296</v>
      </c>
      <c r="E1975">
        <v>191</v>
      </c>
      <c r="F1975" t="s">
        <v>50</v>
      </c>
      <c r="G1975" t="s">
        <v>21</v>
      </c>
      <c r="H1975">
        <v>56</v>
      </c>
      <c r="I1975">
        <v>54</v>
      </c>
      <c r="J1975" t="s">
        <v>15</v>
      </c>
      <c r="K1975">
        <v>4847</v>
      </c>
      <c r="L1975" t="s">
        <v>22</v>
      </c>
    </row>
    <row r="1976" spans="1:12" x14ac:dyDescent="0.3">
      <c r="A1976">
        <v>2004</v>
      </c>
      <c r="B1976" t="s">
        <v>18</v>
      </c>
      <c r="C1976">
        <v>153</v>
      </c>
      <c r="D1976">
        <v>3296</v>
      </c>
      <c r="E1976">
        <v>192</v>
      </c>
      <c r="F1976" t="s">
        <v>50</v>
      </c>
      <c r="G1976" t="s">
        <v>21</v>
      </c>
      <c r="H1976">
        <v>26</v>
      </c>
      <c r="I1976">
        <v>58</v>
      </c>
      <c r="J1976" t="s">
        <v>15</v>
      </c>
      <c r="K1976">
        <v>51239</v>
      </c>
      <c r="L1976" t="s">
        <v>22</v>
      </c>
    </row>
    <row r="1977" spans="1:12" x14ac:dyDescent="0.3">
      <c r="A1977">
        <v>2005</v>
      </c>
      <c r="B1977" t="s">
        <v>18</v>
      </c>
      <c r="C1977">
        <v>111</v>
      </c>
      <c r="D1977">
        <v>3550</v>
      </c>
      <c r="E1977">
        <v>193</v>
      </c>
      <c r="F1977" t="s">
        <v>50</v>
      </c>
      <c r="G1977" t="s">
        <v>21</v>
      </c>
      <c r="H1977">
        <v>98</v>
      </c>
      <c r="I1977">
        <v>58</v>
      </c>
      <c r="J1977" t="s">
        <v>15</v>
      </c>
      <c r="K1977">
        <v>216396</v>
      </c>
      <c r="L1977" t="s">
        <v>22</v>
      </c>
    </row>
    <row r="1978" spans="1:12" x14ac:dyDescent="0.3">
      <c r="A1978">
        <v>2006</v>
      </c>
      <c r="B1978" t="s">
        <v>18</v>
      </c>
      <c r="C1978">
        <v>76</v>
      </c>
      <c r="D1978">
        <v>3550</v>
      </c>
      <c r="E1978">
        <v>194</v>
      </c>
      <c r="F1978" t="s">
        <v>50</v>
      </c>
      <c r="G1978" t="s">
        <v>21</v>
      </c>
      <c r="H1978">
        <v>3</v>
      </c>
      <c r="I1978">
        <v>59</v>
      </c>
      <c r="J1978" t="s">
        <v>15</v>
      </c>
      <c r="K1978">
        <v>2644</v>
      </c>
      <c r="L1978" t="s">
        <v>22</v>
      </c>
    </row>
    <row r="1979" spans="1:12" x14ac:dyDescent="0.3">
      <c r="A1979">
        <v>2007</v>
      </c>
      <c r="B1979" t="s">
        <v>18</v>
      </c>
      <c r="C1979">
        <v>53</v>
      </c>
      <c r="D1979">
        <v>3550</v>
      </c>
      <c r="E1979">
        <v>195</v>
      </c>
      <c r="F1979" t="s">
        <v>61</v>
      </c>
      <c r="G1979" t="s">
        <v>21</v>
      </c>
      <c r="H1979">
        <v>58637</v>
      </c>
      <c r="I1979">
        <v>50</v>
      </c>
      <c r="J1979" t="s">
        <v>15</v>
      </c>
      <c r="K1979">
        <v>44235</v>
      </c>
      <c r="L1979" t="s">
        <v>22</v>
      </c>
    </row>
    <row r="1980" spans="1:12" x14ac:dyDescent="0.3">
      <c r="A1980">
        <v>2008</v>
      </c>
      <c r="B1980" t="s">
        <v>18</v>
      </c>
      <c r="C1980">
        <v>2688</v>
      </c>
      <c r="D1980">
        <v>3654</v>
      </c>
      <c r="E1980">
        <v>196</v>
      </c>
      <c r="F1980" t="s">
        <v>61</v>
      </c>
      <c r="G1980" t="s">
        <v>21</v>
      </c>
      <c r="H1980">
        <v>59777</v>
      </c>
      <c r="I1980">
        <v>54</v>
      </c>
      <c r="J1980" t="s">
        <v>15</v>
      </c>
      <c r="K1980">
        <v>203317</v>
      </c>
      <c r="L1980" t="s">
        <v>22</v>
      </c>
    </row>
    <row r="1981" spans="1:12" x14ac:dyDescent="0.3">
      <c r="A1981">
        <v>2009</v>
      </c>
      <c r="B1981" t="s">
        <v>18</v>
      </c>
      <c r="C1981">
        <v>2311</v>
      </c>
      <c r="D1981">
        <v>3654</v>
      </c>
      <c r="E1981">
        <v>197</v>
      </c>
      <c r="F1981" t="s">
        <v>61</v>
      </c>
      <c r="G1981" t="s">
        <v>21</v>
      </c>
      <c r="H1981">
        <v>60528</v>
      </c>
      <c r="I1981">
        <v>53</v>
      </c>
      <c r="J1981" t="s">
        <v>15</v>
      </c>
      <c r="K1981">
        <v>2134</v>
      </c>
      <c r="L1981" t="s">
        <v>22</v>
      </c>
    </row>
    <row r="1982" spans="1:12" x14ac:dyDescent="0.3">
      <c r="A1982">
        <v>2010</v>
      </c>
      <c r="B1982" t="s">
        <v>18</v>
      </c>
      <c r="C1982">
        <v>2188</v>
      </c>
      <c r="D1982">
        <v>3654</v>
      </c>
      <c r="E1982">
        <v>198</v>
      </c>
      <c r="F1982" t="s">
        <v>61</v>
      </c>
      <c r="G1982" t="s">
        <v>21</v>
      </c>
      <c r="H1982">
        <v>61126</v>
      </c>
      <c r="I1982">
        <v>52</v>
      </c>
      <c r="J1982" t="s">
        <v>15</v>
      </c>
      <c r="K1982">
        <v>45186</v>
      </c>
      <c r="L1982" t="s">
        <v>22</v>
      </c>
    </row>
    <row r="1983" spans="1:12" x14ac:dyDescent="0.3">
      <c r="A1983">
        <v>2011</v>
      </c>
      <c r="B1983" t="s">
        <v>20</v>
      </c>
      <c r="C1983">
        <v>1998</v>
      </c>
      <c r="D1983">
        <v>233</v>
      </c>
      <c r="E1983">
        <v>199</v>
      </c>
      <c r="F1983" t="s">
        <v>61</v>
      </c>
      <c r="G1983" t="s">
        <v>21</v>
      </c>
      <c r="H1983">
        <v>623687</v>
      </c>
      <c r="I1983">
        <v>51</v>
      </c>
      <c r="J1983" t="s">
        <v>15</v>
      </c>
      <c r="K1983">
        <v>238542</v>
      </c>
      <c r="L1983" t="s">
        <v>22</v>
      </c>
    </row>
    <row r="1984" spans="1:12" x14ac:dyDescent="0.3">
      <c r="A1984">
        <v>2012</v>
      </c>
      <c r="B1984" t="s">
        <v>20</v>
      </c>
      <c r="C1984">
        <v>2006</v>
      </c>
      <c r="D1984">
        <v>233</v>
      </c>
      <c r="E1984">
        <v>200</v>
      </c>
      <c r="F1984" t="s">
        <v>61</v>
      </c>
      <c r="G1984" t="s">
        <v>21</v>
      </c>
      <c r="H1984">
        <v>63504</v>
      </c>
      <c r="I1984">
        <v>57</v>
      </c>
      <c r="J1984" t="s">
        <v>15</v>
      </c>
      <c r="K1984">
        <v>1516</v>
      </c>
      <c r="L1984" t="s">
        <v>22</v>
      </c>
    </row>
    <row r="1985" spans="1:12" x14ac:dyDescent="0.3">
      <c r="A1985">
        <v>2013</v>
      </c>
      <c r="B1985" t="s">
        <v>20</v>
      </c>
      <c r="C1985">
        <v>2034</v>
      </c>
      <c r="D1985">
        <v>233</v>
      </c>
      <c r="E1985">
        <v>201</v>
      </c>
      <c r="F1985" t="s">
        <v>61</v>
      </c>
      <c r="G1985" t="s">
        <v>21</v>
      </c>
      <c r="H1985">
        <v>63931</v>
      </c>
      <c r="I1985">
        <v>57</v>
      </c>
      <c r="J1985" t="s">
        <v>15</v>
      </c>
      <c r="K1985">
        <v>57259</v>
      </c>
      <c r="L1985" t="s">
        <v>22</v>
      </c>
    </row>
    <row r="1986" spans="1:12" x14ac:dyDescent="0.3">
      <c r="A1986">
        <v>2014</v>
      </c>
      <c r="B1986" t="s">
        <v>20</v>
      </c>
      <c r="C1986">
        <v>2035</v>
      </c>
      <c r="D1986">
        <v>234</v>
      </c>
      <c r="E1986">
        <v>202</v>
      </c>
      <c r="F1986" t="s">
        <v>61</v>
      </c>
      <c r="G1986" t="s">
        <v>21</v>
      </c>
      <c r="H1986">
        <v>73730</v>
      </c>
      <c r="I1986">
        <v>60</v>
      </c>
      <c r="J1986" t="s">
        <v>15</v>
      </c>
      <c r="K1986">
        <v>234779</v>
      </c>
      <c r="L1986" t="s">
        <v>22</v>
      </c>
    </row>
    <row r="1987" spans="1:12" x14ac:dyDescent="0.3">
      <c r="A1987">
        <v>2015</v>
      </c>
      <c r="B1987" t="s">
        <v>20</v>
      </c>
      <c r="C1987">
        <v>2074</v>
      </c>
      <c r="D1987">
        <v>234</v>
      </c>
      <c r="E1987">
        <v>203</v>
      </c>
      <c r="F1987" t="s">
        <v>61</v>
      </c>
      <c r="G1987" t="s">
        <v>21</v>
      </c>
      <c r="H1987">
        <v>118416</v>
      </c>
      <c r="I1987">
        <v>57</v>
      </c>
      <c r="J1987" t="s">
        <v>15</v>
      </c>
      <c r="K1987">
        <v>1493</v>
      </c>
      <c r="L1987" t="s">
        <v>22</v>
      </c>
    </row>
    <row r="1988" spans="1:12" x14ac:dyDescent="0.3">
      <c r="A1988">
        <v>2016</v>
      </c>
      <c r="B1988" t="s">
        <v>20</v>
      </c>
      <c r="C1988">
        <v>2127</v>
      </c>
      <c r="D1988">
        <v>234</v>
      </c>
      <c r="E1988">
        <v>204</v>
      </c>
      <c r="F1988" t="s">
        <v>61</v>
      </c>
      <c r="G1988" t="s">
        <v>21</v>
      </c>
      <c r="H1988">
        <v>130132</v>
      </c>
      <c r="I1988">
        <v>57</v>
      </c>
      <c r="J1988" t="s">
        <v>15</v>
      </c>
      <c r="K1988">
        <v>64409</v>
      </c>
      <c r="L1988" t="s">
        <v>22</v>
      </c>
    </row>
    <row r="1989" spans="1:12" x14ac:dyDescent="0.3">
      <c r="A1989">
        <v>2017</v>
      </c>
      <c r="B1989" t="s">
        <v>20</v>
      </c>
      <c r="C1989">
        <v>2090</v>
      </c>
      <c r="D1989">
        <v>3105</v>
      </c>
      <c r="E1989">
        <v>205</v>
      </c>
      <c r="F1989" t="s">
        <v>61</v>
      </c>
      <c r="G1989" t="s">
        <v>21</v>
      </c>
      <c r="H1989">
        <v>154889</v>
      </c>
      <c r="I1989">
        <v>54</v>
      </c>
      <c r="J1989" t="s">
        <v>15</v>
      </c>
      <c r="K1989">
        <v>249978</v>
      </c>
      <c r="L1989" t="s">
        <v>22</v>
      </c>
    </row>
    <row r="1990" spans="1:12" x14ac:dyDescent="0.3">
      <c r="A1990">
        <v>2018</v>
      </c>
      <c r="B1990" t="s">
        <v>20</v>
      </c>
      <c r="C1990">
        <v>2059</v>
      </c>
      <c r="D1990">
        <v>3105</v>
      </c>
      <c r="E1990">
        <v>206</v>
      </c>
      <c r="F1990" t="s">
        <v>61</v>
      </c>
      <c r="G1990" t="s">
        <v>21</v>
      </c>
      <c r="H1990">
        <v>171739</v>
      </c>
      <c r="I1990">
        <v>54.5</v>
      </c>
      <c r="J1990" t="s">
        <v>15</v>
      </c>
      <c r="K1990">
        <v>637</v>
      </c>
      <c r="L1990" t="s">
        <v>22</v>
      </c>
    </row>
    <row r="1991" spans="1:12" x14ac:dyDescent="0.3">
      <c r="A1991">
        <v>2013</v>
      </c>
      <c r="B1991" t="s">
        <v>20</v>
      </c>
      <c r="C1991">
        <v>2050</v>
      </c>
      <c r="D1991">
        <v>3105</v>
      </c>
      <c r="E1991">
        <v>207</v>
      </c>
      <c r="F1991" t="s">
        <v>61</v>
      </c>
      <c r="G1991" t="s">
        <v>21</v>
      </c>
      <c r="H1991">
        <v>172475</v>
      </c>
      <c r="I1991">
        <v>56.6</v>
      </c>
      <c r="J1991" t="s">
        <v>15</v>
      </c>
      <c r="K1991">
        <v>43311</v>
      </c>
      <c r="L1991" t="s">
        <v>22</v>
      </c>
    </row>
    <row r="1992" spans="1:12" x14ac:dyDescent="0.3">
      <c r="A1992">
        <v>2014</v>
      </c>
      <c r="B1992" t="s">
        <v>20</v>
      </c>
      <c r="C1992">
        <v>1865</v>
      </c>
      <c r="D1992">
        <v>236</v>
      </c>
      <c r="E1992">
        <v>208</v>
      </c>
      <c r="F1992" t="s">
        <v>61</v>
      </c>
      <c r="G1992" t="s">
        <v>21</v>
      </c>
      <c r="H1992">
        <v>177939</v>
      </c>
      <c r="I1992">
        <v>55.5</v>
      </c>
      <c r="J1992" t="s">
        <v>15</v>
      </c>
      <c r="K1992">
        <v>24848</v>
      </c>
      <c r="L1992" t="s">
        <v>22</v>
      </c>
    </row>
    <row r="1993" spans="1:12" x14ac:dyDescent="0.3">
      <c r="A1993">
        <v>2015</v>
      </c>
      <c r="B1993" t="s">
        <v>20</v>
      </c>
      <c r="C1993">
        <v>1841</v>
      </c>
      <c r="D1993">
        <v>236</v>
      </c>
      <c r="E1993">
        <v>209</v>
      </c>
      <c r="F1993" t="s">
        <v>61</v>
      </c>
      <c r="G1993" t="s">
        <v>21</v>
      </c>
      <c r="H1993">
        <v>313547</v>
      </c>
      <c r="I1993">
        <v>58.5</v>
      </c>
      <c r="J1993" t="s">
        <v>15</v>
      </c>
      <c r="K1993">
        <v>761</v>
      </c>
      <c r="L1993" t="s">
        <v>22</v>
      </c>
    </row>
    <row r="1994" spans="1:12" x14ac:dyDescent="0.3">
      <c r="A1994">
        <v>2016</v>
      </c>
      <c r="B1994" t="s">
        <v>20</v>
      </c>
      <c r="C1994">
        <v>1799</v>
      </c>
      <c r="D1994">
        <v>2903.1</v>
      </c>
      <c r="E1994">
        <v>210</v>
      </c>
      <c r="F1994" t="s">
        <v>61</v>
      </c>
      <c r="G1994" t="s">
        <v>21</v>
      </c>
      <c r="H1994">
        <v>2783</v>
      </c>
      <c r="I1994">
        <v>59.5</v>
      </c>
      <c r="J1994" t="s">
        <v>15</v>
      </c>
      <c r="K1994">
        <v>45608</v>
      </c>
      <c r="L1994" t="s">
        <v>22</v>
      </c>
    </row>
    <row r="1995" spans="1:12" x14ac:dyDescent="0.3">
      <c r="A1995">
        <v>2017</v>
      </c>
      <c r="B1995" t="s">
        <v>20</v>
      </c>
      <c r="C1995">
        <v>1468</v>
      </c>
      <c r="D1995">
        <v>2903.1</v>
      </c>
      <c r="E1995">
        <v>211</v>
      </c>
      <c r="F1995" t="s">
        <v>61</v>
      </c>
      <c r="G1995" t="s">
        <v>21</v>
      </c>
      <c r="H1995">
        <v>1533</v>
      </c>
      <c r="I1995">
        <v>55</v>
      </c>
      <c r="J1995" t="s">
        <v>15</v>
      </c>
      <c r="K1995">
        <v>234581</v>
      </c>
      <c r="L1995" t="s">
        <v>22</v>
      </c>
    </row>
    <row r="1996" spans="1:12" x14ac:dyDescent="0.3">
      <c r="A1996">
        <v>2018</v>
      </c>
      <c r="B1996" t="s">
        <v>20</v>
      </c>
      <c r="C1996">
        <v>568</v>
      </c>
      <c r="D1996">
        <v>2903.1</v>
      </c>
      <c r="E1996">
        <v>212</v>
      </c>
      <c r="F1996" t="s">
        <v>61</v>
      </c>
      <c r="G1996" t="s">
        <v>21</v>
      </c>
      <c r="H1996">
        <v>1647</v>
      </c>
      <c r="I1996">
        <v>53</v>
      </c>
      <c r="J1996" t="s">
        <v>15</v>
      </c>
      <c r="K1996">
        <v>646</v>
      </c>
      <c r="L1996" t="s">
        <v>22</v>
      </c>
    </row>
    <row r="1997" spans="1:12" x14ac:dyDescent="0.3">
      <c r="A1997">
        <v>2004</v>
      </c>
      <c r="B1997" t="s">
        <v>20</v>
      </c>
      <c r="C1997">
        <v>407</v>
      </c>
      <c r="D1997">
        <v>2996.6</v>
      </c>
      <c r="E1997">
        <v>213</v>
      </c>
      <c r="F1997" t="s">
        <v>61</v>
      </c>
      <c r="G1997" t="s">
        <v>26</v>
      </c>
      <c r="H1997">
        <v>975</v>
      </c>
      <c r="I1997">
        <v>53.5</v>
      </c>
      <c r="J1997" t="s">
        <v>15</v>
      </c>
      <c r="K1997">
        <v>43562</v>
      </c>
      <c r="L1997" t="s">
        <v>22</v>
      </c>
    </row>
    <row r="1998" spans="1:12" x14ac:dyDescent="0.3">
      <c r="A1998">
        <v>2005</v>
      </c>
      <c r="B1998" t="s">
        <v>20</v>
      </c>
      <c r="C1998">
        <v>177</v>
      </c>
      <c r="D1998">
        <v>2996.6</v>
      </c>
      <c r="E1998">
        <v>214</v>
      </c>
      <c r="F1998" t="s">
        <v>61</v>
      </c>
      <c r="G1998" t="s">
        <v>26</v>
      </c>
      <c r="H1998">
        <v>2</v>
      </c>
      <c r="I1998">
        <v>52.5</v>
      </c>
      <c r="J1998" t="s">
        <v>15</v>
      </c>
      <c r="K1998">
        <v>200000</v>
      </c>
      <c r="L1998" t="s">
        <v>22</v>
      </c>
    </row>
    <row r="1999" spans="1:12" x14ac:dyDescent="0.3">
      <c r="A1999">
        <v>2006</v>
      </c>
      <c r="B1999" t="s">
        <v>20</v>
      </c>
      <c r="C1999">
        <v>51</v>
      </c>
      <c r="D1999">
        <v>2996.6</v>
      </c>
      <c r="E1999">
        <v>215</v>
      </c>
      <c r="F1999" t="s">
        <v>61</v>
      </c>
      <c r="G1999" t="s">
        <v>26</v>
      </c>
      <c r="H1999">
        <v>836</v>
      </c>
      <c r="I1999">
        <v>56</v>
      </c>
      <c r="J1999" t="s">
        <v>15</v>
      </c>
      <c r="K1999">
        <v>4847</v>
      </c>
      <c r="L1999" t="s">
        <v>22</v>
      </c>
    </row>
    <row r="2000" spans="1:12" x14ac:dyDescent="0.3">
      <c r="A2000">
        <v>2007</v>
      </c>
      <c r="B2000" t="s">
        <v>20</v>
      </c>
      <c r="C2000">
        <v>173</v>
      </c>
      <c r="D2000">
        <v>3522.8</v>
      </c>
      <c r="E2000">
        <v>216</v>
      </c>
      <c r="F2000" t="s">
        <v>61</v>
      </c>
      <c r="G2000" t="s">
        <v>26</v>
      </c>
      <c r="H2000">
        <v>806</v>
      </c>
      <c r="I2000">
        <v>57</v>
      </c>
      <c r="J2000" t="s">
        <v>15</v>
      </c>
      <c r="K2000">
        <v>51239</v>
      </c>
      <c r="L2000" t="s">
        <v>22</v>
      </c>
    </row>
    <row r="2001" spans="1:12" x14ac:dyDescent="0.3">
      <c r="A2001">
        <v>2008</v>
      </c>
      <c r="B2001" t="s">
        <v>20</v>
      </c>
      <c r="C2001">
        <v>201</v>
      </c>
      <c r="D2001">
        <v>3522.8</v>
      </c>
      <c r="E2001">
        <v>217</v>
      </c>
      <c r="F2001" t="s">
        <v>61</v>
      </c>
      <c r="G2001" t="s">
        <v>26</v>
      </c>
      <c r="H2001">
        <v>880</v>
      </c>
      <c r="I2001">
        <v>57.5</v>
      </c>
      <c r="J2001" t="s">
        <v>15</v>
      </c>
      <c r="K2001">
        <v>216396</v>
      </c>
      <c r="L2001" t="s">
        <v>22</v>
      </c>
    </row>
    <row r="2002" spans="1:12" x14ac:dyDescent="0.3">
      <c r="A2002">
        <v>2009</v>
      </c>
      <c r="B2002" t="s">
        <v>20</v>
      </c>
      <c r="C2002">
        <v>206</v>
      </c>
      <c r="D2002">
        <v>3522.8</v>
      </c>
      <c r="E2002">
        <v>218</v>
      </c>
      <c r="F2002" t="s">
        <v>59</v>
      </c>
      <c r="G2002" t="s">
        <v>26</v>
      </c>
      <c r="H2002">
        <v>770</v>
      </c>
      <c r="I2002">
        <v>57</v>
      </c>
      <c r="J2002" t="s">
        <v>15</v>
      </c>
      <c r="K2002">
        <v>2644</v>
      </c>
      <c r="L2002" t="s">
        <v>22</v>
      </c>
    </row>
    <row r="2003" spans="1:12" x14ac:dyDescent="0.3">
      <c r="A2003">
        <v>2010</v>
      </c>
      <c r="B2003" t="s">
        <v>20</v>
      </c>
      <c r="C2003">
        <v>243</v>
      </c>
      <c r="D2003">
        <v>2903.1</v>
      </c>
      <c r="E2003">
        <v>219</v>
      </c>
      <c r="F2003" t="s">
        <v>59</v>
      </c>
      <c r="G2003" t="s">
        <v>26</v>
      </c>
      <c r="H2003">
        <v>395</v>
      </c>
      <c r="I2003">
        <v>55</v>
      </c>
      <c r="J2003" t="s">
        <v>15</v>
      </c>
      <c r="K2003">
        <v>44235</v>
      </c>
      <c r="L2003" t="s">
        <v>22</v>
      </c>
    </row>
    <row r="2004" spans="1:12" x14ac:dyDescent="0.3">
      <c r="A2004">
        <v>2011</v>
      </c>
      <c r="B2004" t="s">
        <v>20</v>
      </c>
      <c r="C2004">
        <v>123</v>
      </c>
      <c r="D2004">
        <v>2903.1</v>
      </c>
      <c r="E2004">
        <v>220</v>
      </c>
      <c r="F2004" t="s">
        <v>59</v>
      </c>
      <c r="G2004" t="s">
        <v>26</v>
      </c>
      <c r="H2004">
        <v>187</v>
      </c>
      <c r="I2004">
        <v>56</v>
      </c>
      <c r="J2004" t="s">
        <v>15</v>
      </c>
      <c r="K2004">
        <v>203317</v>
      </c>
      <c r="L2004" t="s">
        <v>22</v>
      </c>
    </row>
    <row r="2005" spans="1:12" x14ac:dyDescent="0.3">
      <c r="A2005">
        <v>2012</v>
      </c>
      <c r="B2005" t="s">
        <v>20</v>
      </c>
      <c r="C2005">
        <v>82</v>
      </c>
      <c r="D2005">
        <v>2903.1</v>
      </c>
      <c r="E2005">
        <v>221</v>
      </c>
      <c r="F2005" t="s">
        <v>59</v>
      </c>
      <c r="G2005" t="s">
        <v>26</v>
      </c>
      <c r="H2005">
        <v>187</v>
      </c>
      <c r="I2005">
        <v>54</v>
      </c>
      <c r="J2005" t="s">
        <v>15</v>
      </c>
      <c r="K2005">
        <v>2134</v>
      </c>
      <c r="L2005" t="s">
        <v>22</v>
      </c>
    </row>
    <row r="2006" spans="1:12" x14ac:dyDescent="0.3">
      <c r="A2006">
        <v>2013</v>
      </c>
      <c r="B2006" t="s">
        <v>20</v>
      </c>
      <c r="C2006">
        <v>74</v>
      </c>
      <c r="D2006">
        <v>2996.6</v>
      </c>
      <c r="E2006">
        <v>222</v>
      </c>
      <c r="F2006" t="s">
        <v>59</v>
      </c>
      <c r="G2006" t="s">
        <v>26</v>
      </c>
      <c r="H2006">
        <v>121</v>
      </c>
      <c r="I2006">
        <v>58</v>
      </c>
      <c r="J2006" t="s">
        <v>15</v>
      </c>
      <c r="K2006">
        <v>45186</v>
      </c>
      <c r="L2006" t="s">
        <v>22</v>
      </c>
    </row>
    <row r="2007" spans="1:12" x14ac:dyDescent="0.3">
      <c r="A2007">
        <v>2014</v>
      </c>
      <c r="B2007" t="s">
        <v>20</v>
      </c>
      <c r="C2007">
        <v>18</v>
      </c>
      <c r="D2007">
        <v>2996.6</v>
      </c>
      <c r="E2007">
        <v>27</v>
      </c>
      <c r="F2007" t="s">
        <v>59</v>
      </c>
      <c r="G2007" t="s">
        <v>26</v>
      </c>
      <c r="H2007">
        <v>103</v>
      </c>
      <c r="I2007">
        <v>58</v>
      </c>
      <c r="J2007" t="s">
        <v>15</v>
      </c>
      <c r="K2007">
        <v>238542</v>
      </c>
      <c r="L2007" t="s">
        <v>22</v>
      </c>
    </row>
    <row r="2008" spans="1:12" x14ac:dyDescent="0.3">
      <c r="A2008">
        <v>2015</v>
      </c>
      <c r="B2008" t="s">
        <v>20</v>
      </c>
      <c r="C2008">
        <v>37</v>
      </c>
      <c r="D2008">
        <v>2996.6</v>
      </c>
      <c r="E2008">
        <v>27</v>
      </c>
      <c r="F2008" t="s">
        <v>59</v>
      </c>
      <c r="G2008" t="s">
        <v>26</v>
      </c>
      <c r="H2008">
        <v>71</v>
      </c>
      <c r="I2008">
        <v>59</v>
      </c>
      <c r="J2008" t="s">
        <v>15</v>
      </c>
      <c r="K2008">
        <v>1516</v>
      </c>
      <c r="L2008" t="s">
        <v>22</v>
      </c>
    </row>
    <row r="2009" spans="1:12" x14ac:dyDescent="0.3">
      <c r="A2009">
        <v>2016</v>
      </c>
      <c r="B2009" t="s">
        <v>20</v>
      </c>
      <c r="C2009">
        <v>35</v>
      </c>
      <c r="D2009">
        <v>3522.8</v>
      </c>
      <c r="E2009">
        <v>27</v>
      </c>
      <c r="F2009" t="s">
        <v>59</v>
      </c>
      <c r="G2009" t="s">
        <v>26</v>
      </c>
      <c r="H2009">
        <v>3961</v>
      </c>
      <c r="I2009">
        <v>50</v>
      </c>
      <c r="J2009" t="s">
        <v>15</v>
      </c>
      <c r="K2009">
        <v>57259</v>
      </c>
      <c r="L2009" t="s">
        <v>22</v>
      </c>
    </row>
    <row r="2010" spans="1:12" x14ac:dyDescent="0.3">
      <c r="A2010">
        <v>2017</v>
      </c>
      <c r="B2010" t="s">
        <v>23</v>
      </c>
      <c r="C2010">
        <v>5974</v>
      </c>
      <c r="D2010">
        <v>3522.8</v>
      </c>
      <c r="E2010">
        <v>27</v>
      </c>
      <c r="F2010" t="s">
        <v>59</v>
      </c>
      <c r="G2010" t="s">
        <v>26</v>
      </c>
      <c r="H2010">
        <v>4247</v>
      </c>
      <c r="I2010">
        <v>54</v>
      </c>
      <c r="J2010" t="s">
        <v>15</v>
      </c>
      <c r="K2010">
        <v>234779</v>
      </c>
      <c r="L2010" t="s">
        <v>22</v>
      </c>
    </row>
    <row r="2011" spans="1:12" x14ac:dyDescent="0.3">
      <c r="A2011">
        <v>2018</v>
      </c>
      <c r="B2011" t="s">
        <v>23</v>
      </c>
      <c r="C2011">
        <v>6631</v>
      </c>
      <c r="D2011">
        <v>3522.8</v>
      </c>
      <c r="E2011">
        <v>27</v>
      </c>
      <c r="F2011" t="s">
        <v>59</v>
      </c>
      <c r="G2011" t="s">
        <v>26</v>
      </c>
      <c r="H2011">
        <v>3290</v>
      </c>
      <c r="I2011">
        <v>53</v>
      </c>
      <c r="J2011" t="s">
        <v>15</v>
      </c>
      <c r="K2011">
        <v>1493</v>
      </c>
      <c r="L2011" t="s">
        <v>22</v>
      </c>
    </row>
    <row r="2012" spans="1:12" x14ac:dyDescent="0.3">
      <c r="A2012">
        <v>2015</v>
      </c>
      <c r="B2012" t="s">
        <v>23</v>
      </c>
      <c r="C2012">
        <v>6705</v>
      </c>
      <c r="D2012">
        <v>3729.8</v>
      </c>
      <c r="E2012">
        <v>27.2</v>
      </c>
      <c r="F2012" t="s">
        <v>59</v>
      </c>
      <c r="G2012" t="s">
        <v>26</v>
      </c>
      <c r="H2012">
        <v>3138</v>
      </c>
      <c r="I2012">
        <v>52</v>
      </c>
      <c r="J2012" t="s">
        <v>15</v>
      </c>
      <c r="K2012">
        <v>64409</v>
      </c>
      <c r="L2012" t="s">
        <v>22</v>
      </c>
    </row>
    <row r="2013" spans="1:12" x14ac:dyDescent="0.3">
      <c r="A2013">
        <v>2016</v>
      </c>
      <c r="B2013" t="s">
        <v>23</v>
      </c>
      <c r="C2013">
        <v>5876</v>
      </c>
      <c r="D2013">
        <v>3729.8</v>
      </c>
      <c r="E2013">
        <v>27.2</v>
      </c>
      <c r="F2013" t="s">
        <v>59</v>
      </c>
      <c r="G2013" t="s">
        <v>26</v>
      </c>
      <c r="H2013">
        <v>3423</v>
      </c>
      <c r="I2013">
        <v>51</v>
      </c>
      <c r="J2013" t="s">
        <v>15</v>
      </c>
      <c r="K2013">
        <v>249978</v>
      </c>
      <c r="L2013" t="s">
        <v>22</v>
      </c>
    </row>
    <row r="2014" spans="1:12" x14ac:dyDescent="0.3">
      <c r="A2014">
        <v>2017</v>
      </c>
      <c r="B2014" t="s">
        <v>23</v>
      </c>
      <c r="C2014">
        <v>326</v>
      </c>
      <c r="D2014">
        <v>3729.8</v>
      </c>
      <c r="E2014">
        <v>27.2</v>
      </c>
      <c r="F2014" t="s">
        <v>59</v>
      </c>
      <c r="G2014" t="s">
        <v>26</v>
      </c>
      <c r="H2014">
        <v>3899</v>
      </c>
      <c r="I2014">
        <v>57</v>
      </c>
      <c r="J2014" t="s">
        <v>15</v>
      </c>
      <c r="K2014">
        <v>637</v>
      </c>
      <c r="L2014" t="s">
        <v>22</v>
      </c>
    </row>
    <row r="2015" spans="1:12" x14ac:dyDescent="0.3">
      <c r="A2015">
        <v>2018</v>
      </c>
      <c r="B2015" t="s">
        <v>23</v>
      </c>
      <c r="C2015">
        <v>6470</v>
      </c>
      <c r="D2015">
        <v>2746.2</v>
      </c>
      <c r="E2015">
        <v>27</v>
      </c>
      <c r="F2015" t="s">
        <v>59</v>
      </c>
      <c r="G2015" t="s">
        <v>26</v>
      </c>
      <c r="H2015">
        <v>4015</v>
      </c>
      <c r="I2015">
        <v>57</v>
      </c>
      <c r="J2015" t="s">
        <v>15</v>
      </c>
      <c r="K2015">
        <v>43311</v>
      </c>
      <c r="L2015" t="s">
        <v>22</v>
      </c>
    </row>
    <row r="2016" spans="1:12" x14ac:dyDescent="0.3">
      <c r="A2016">
        <v>2013</v>
      </c>
      <c r="B2016" t="s">
        <v>23</v>
      </c>
      <c r="C2016">
        <v>6709</v>
      </c>
      <c r="D2016">
        <v>2746.2</v>
      </c>
      <c r="E2016">
        <v>27</v>
      </c>
      <c r="F2016" t="s">
        <v>59</v>
      </c>
      <c r="G2016" t="s">
        <v>26</v>
      </c>
      <c r="H2016">
        <v>4279</v>
      </c>
      <c r="I2016">
        <v>60</v>
      </c>
      <c r="J2016" t="s">
        <v>15</v>
      </c>
      <c r="K2016">
        <v>24848</v>
      </c>
      <c r="L2016" t="s">
        <v>22</v>
      </c>
    </row>
    <row r="2017" spans="1:12" x14ac:dyDescent="0.3">
      <c r="A2017">
        <v>2014</v>
      </c>
      <c r="B2017" t="s">
        <v>23</v>
      </c>
      <c r="C2017">
        <v>6186</v>
      </c>
      <c r="D2017">
        <v>2746.2</v>
      </c>
      <c r="E2017">
        <v>27</v>
      </c>
      <c r="F2017" t="s">
        <v>59</v>
      </c>
      <c r="G2017" t="s">
        <v>26</v>
      </c>
      <c r="H2017">
        <v>4167</v>
      </c>
      <c r="I2017">
        <v>57</v>
      </c>
      <c r="J2017" t="s">
        <v>15</v>
      </c>
      <c r="K2017">
        <v>761</v>
      </c>
      <c r="L2017" t="s">
        <v>22</v>
      </c>
    </row>
    <row r="2018" spans="1:12" x14ac:dyDescent="0.3">
      <c r="A2018">
        <v>2015</v>
      </c>
      <c r="B2018" t="s">
        <v>23</v>
      </c>
      <c r="C2018">
        <v>6503</v>
      </c>
      <c r="D2018">
        <v>3360</v>
      </c>
      <c r="E2018">
        <v>27</v>
      </c>
      <c r="F2018" t="s">
        <v>59</v>
      </c>
      <c r="G2018" t="s">
        <v>26</v>
      </c>
      <c r="H2018">
        <v>4479</v>
      </c>
      <c r="I2018">
        <v>57</v>
      </c>
      <c r="J2018" t="s">
        <v>15</v>
      </c>
      <c r="K2018">
        <v>45608</v>
      </c>
      <c r="L2018" t="s">
        <v>22</v>
      </c>
    </row>
    <row r="2019" spans="1:12" x14ac:dyDescent="0.3">
      <c r="A2019">
        <v>2016</v>
      </c>
      <c r="B2019" t="s">
        <v>23</v>
      </c>
      <c r="C2019">
        <v>5220</v>
      </c>
      <c r="D2019">
        <v>3360</v>
      </c>
      <c r="E2019">
        <v>27</v>
      </c>
      <c r="F2019" t="s">
        <v>59</v>
      </c>
      <c r="G2019" t="s">
        <v>26</v>
      </c>
      <c r="H2019">
        <v>3699</v>
      </c>
      <c r="I2019">
        <v>54</v>
      </c>
      <c r="J2019" t="s">
        <v>15</v>
      </c>
      <c r="K2019">
        <v>234581</v>
      </c>
      <c r="L2019" t="s">
        <v>22</v>
      </c>
    </row>
    <row r="2020" spans="1:12" x14ac:dyDescent="0.3">
      <c r="A2020">
        <v>2017</v>
      </c>
      <c r="B2020" t="s">
        <v>23</v>
      </c>
      <c r="C2020">
        <v>4677</v>
      </c>
      <c r="D2020">
        <v>3360</v>
      </c>
      <c r="E2020">
        <v>27</v>
      </c>
      <c r="F2020" t="s">
        <v>59</v>
      </c>
      <c r="G2020" t="s">
        <v>26</v>
      </c>
      <c r="H2020">
        <v>4904</v>
      </c>
      <c r="I2020">
        <v>54.5</v>
      </c>
      <c r="J2020" t="s">
        <v>15</v>
      </c>
      <c r="K2020">
        <v>646</v>
      </c>
      <c r="L2020" t="s">
        <v>22</v>
      </c>
    </row>
    <row r="2021" spans="1:12" x14ac:dyDescent="0.3">
      <c r="A2021">
        <v>2018</v>
      </c>
      <c r="B2021" t="s">
        <v>23</v>
      </c>
      <c r="C2021">
        <v>4803</v>
      </c>
      <c r="D2021">
        <v>3605.4</v>
      </c>
      <c r="E2021">
        <v>27.2</v>
      </c>
      <c r="F2021" t="s">
        <v>59</v>
      </c>
      <c r="G2021" t="s">
        <v>26</v>
      </c>
      <c r="H2021">
        <v>2821</v>
      </c>
      <c r="I2021">
        <v>56.6</v>
      </c>
      <c r="J2021" t="s">
        <v>15</v>
      </c>
      <c r="K2021">
        <v>43562</v>
      </c>
      <c r="L2021" t="s">
        <v>22</v>
      </c>
    </row>
    <row r="2022" spans="1:12" x14ac:dyDescent="0.3">
      <c r="A2022">
        <v>2004</v>
      </c>
      <c r="B2022" t="s">
        <v>23</v>
      </c>
      <c r="C2022">
        <v>3739</v>
      </c>
      <c r="D2022">
        <v>3605.4</v>
      </c>
      <c r="E2022">
        <v>27.2</v>
      </c>
      <c r="F2022" t="s">
        <v>59</v>
      </c>
      <c r="G2022" t="s">
        <v>26</v>
      </c>
      <c r="H2022">
        <v>3472</v>
      </c>
      <c r="I2022">
        <v>55.5</v>
      </c>
      <c r="J2022" t="s">
        <v>15</v>
      </c>
      <c r="K2022">
        <v>200000</v>
      </c>
      <c r="L2022" t="s">
        <v>22</v>
      </c>
    </row>
    <row r="2023" spans="1:12" x14ac:dyDescent="0.3">
      <c r="A2023">
        <v>2005</v>
      </c>
      <c r="B2023" t="s">
        <v>23</v>
      </c>
      <c r="C2023">
        <v>3529</v>
      </c>
      <c r="D2023">
        <v>3605.4</v>
      </c>
      <c r="E2023">
        <v>27.2</v>
      </c>
      <c r="F2023" t="s">
        <v>59</v>
      </c>
      <c r="G2023" t="s">
        <v>26</v>
      </c>
      <c r="H2023">
        <v>3647</v>
      </c>
      <c r="I2023">
        <v>58.5</v>
      </c>
      <c r="J2023" t="s">
        <v>15</v>
      </c>
      <c r="K2023">
        <v>4847</v>
      </c>
      <c r="L2023" t="s">
        <v>22</v>
      </c>
    </row>
    <row r="2024" spans="1:12" x14ac:dyDescent="0.3">
      <c r="A2024">
        <v>2006</v>
      </c>
      <c r="B2024" t="s">
        <v>23</v>
      </c>
      <c r="C2024">
        <v>3649</v>
      </c>
      <c r="D2024">
        <v>3512.4</v>
      </c>
      <c r="E2024">
        <v>27.1</v>
      </c>
      <c r="F2024" t="s">
        <v>59</v>
      </c>
      <c r="G2024" t="s">
        <v>26</v>
      </c>
      <c r="H2024">
        <v>393</v>
      </c>
      <c r="I2024">
        <v>59.5</v>
      </c>
      <c r="J2024" t="s">
        <v>15</v>
      </c>
      <c r="K2024">
        <v>51239</v>
      </c>
      <c r="L2024" t="s">
        <v>22</v>
      </c>
    </row>
    <row r="2025" spans="1:12" x14ac:dyDescent="0.3">
      <c r="A2025">
        <v>2007</v>
      </c>
      <c r="B2025" t="s">
        <v>23</v>
      </c>
      <c r="C2025">
        <v>1374</v>
      </c>
      <c r="D2025">
        <v>3512.4</v>
      </c>
      <c r="E2025">
        <v>27.1</v>
      </c>
      <c r="F2025" t="s">
        <v>59</v>
      </c>
      <c r="G2025" t="s">
        <v>26</v>
      </c>
      <c r="H2025">
        <v>167</v>
      </c>
      <c r="I2025">
        <v>55</v>
      </c>
      <c r="J2025" t="s">
        <v>15</v>
      </c>
      <c r="K2025">
        <v>216396</v>
      </c>
      <c r="L2025" t="s">
        <v>22</v>
      </c>
    </row>
    <row r="2026" spans="1:12" x14ac:dyDescent="0.3">
      <c r="A2026">
        <v>2008</v>
      </c>
      <c r="B2026" t="s">
        <v>23</v>
      </c>
      <c r="C2026">
        <v>1279</v>
      </c>
      <c r="D2026">
        <v>3512.4</v>
      </c>
      <c r="E2026">
        <v>27.1</v>
      </c>
      <c r="F2026" t="s">
        <v>59</v>
      </c>
      <c r="G2026" t="s">
        <v>26</v>
      </c>
      <c r="H2026">
        <v>71</v>
      </c>
      <c r="I2026">
        <v>53</v>
      </c>
      <c r="J2026" t="s">
        <v>15</v>
      </c>
      <c r="K2026">
        <v>2644</v>
      </c>
      <c r="L2026" t="s">
        <v>22</v>
      </c>
    </row>
    <row r="2027" spans="1:12" x14ac:dyDescent="0.3">
      <c r="A2027">
        <v>2009</v>
      </c>
      <c r="B2027" t="s">
        <v>23</v>
      </c>
      <c r="C2027">
        <v>13283</v>
      </c>
      <c r="D2027">
        <v>3296</v>
      </c>
      <c r="E2027">
        <v>26.8</v>
      </c>
      <c r="F2027" t="s">
        <v>59</v>
      </c>
      <c r="G2027" t="s">
        <v>26</v>
      </c>
      <c r="H2027">
        <v>52</v>
      </c>
      <c r="I2027">
        <v>53.5</v>
      </c>
      <c r="J2027" t="s">
        <v>15</v>
      </c>
      <c r="K2027">
        <v>44235</v>
      </c>
      <c r="L2027" t="s">
        <v>22</v>
      </c>
    </row>
    <row r="2028" spans="1:12" x14ac:dyDescent="0.3">
      <c r="A2028">
        <v>2010</v>
      </c>
      <c r="B2028" t="s">
        <v>23</v>
      </c>
      <c r="C2028">
        <v>52119</v>
      </c>
      <c r="D2028">
        <v>3296</v>
      </c>
      <c r="E2028">
        <v>26.8</v>
      </c>
      <c r="F2028" t="s">
        <v>59</v>
      </c>
      <c r="G2028" t="s">
        <v>26</v>
      </c>
      <c r="H2028">
        <v>12</v>
      </c>
      <c r="I2028">
        <v>52.5</v>
      </c>
      <c r="J2028" t="s">
        <v>15</v>
      </c>
      <c r="K2028">
        <v>203317</v>
      </c>
      <c r="L2028" t="s">
        <v>22</v>
      </c>
    </row>
    <row r="2029" spans="1:12" x14ac:dyDescent="0.3">
      <c r="A2029">
        <v>2011</v>
      </c>
      <c r="B2029" t="s">
        <v>23</v>
      </c>
      <c r="C2029">
        <v>725</v>
      </c>
      <c r="D2029">
        <v>3296</v>
      </c>
      <c r="E2029">
        <v>26.8</v>
      </c>
      <c r="F2029" t="s">
        <v>59</v>
      </c>
      <c r="G2029" t="s">
        <v>26</v>
      </c>
      <c r="H2029">
        <v>51</v>
      </c>
      <c r="I2029">
        <v>56</v>
      </c>
      <c r="J2029" t="s">
        <v>15</v>
      </c>
      <c r="K2029">
        <v>2134</v>
      </c>
      <c r="L2029" t="s">
        <v>22</v>
      </c>
    </row>
    <row r="2030" spans="1:12" x14ac:dyDescent="0.3">
      <c r="A2030">
        <v>2012</v>
      </c>
      <c r="B2030" t="s">
        <v>23</v>
      </c>
      <c r="C2030">
        <v>12885</v>
      </c>
      <c r="D2030">
        <v>3550</v>
      </c>
      <c r="E2030">
        <v>37</v>
      </c>
      <c r="F2030" t="s">
        <v>59</v>
      </c>
      <c r="G2030" t="s">
        <v>26</v>
      </c>
      <c r="H2030">
        <v>61</v>
      </c>
      <c r="I2030">
        <v>57</v>
      </c>
      <c r="J2030" t="s">
        <v>15</v>
      </c>
      <c r="K2030">
        <v>45186</v>
      </c>
      <c r="L2030" t="s">
        <v>22</v>
      </c>
    </row>
    <row r="2031" spans="1:12" x14ac:dyDescent="0.3">
      <c r="A2031">
        <v>2013</v>
      </c>
      <c r="B2031" t="s">
        <v>23</v>
      </c>
      <c r="C2031">
        <v>51179</v>
      </c>
      <c r="D2031">
        <v>3550</v>
      </c>
      <c r="E2031">
        <v>37</v>
      </c>
      <c r="F2031" t="s">
        <v>59</v>
      </c>
      <c r="G2031" t="s">
        <v>26</v>
      </c>
      <c r="H2031">
        <v>67</v>
      </c>
      <c r="I2031">
        <v>57.5</v>
      </c>
      <c r="J2031" t="s">
        <v>15</v>
      </c>
      <c r="K2031">
        <v>238542</v>
      </c>
      <c r="L2031" t="s">
        <v>22</v>
      </c>
    </row>
    <row r="2032" spans="1:12" x14ac:dyDescent="0.3">
      <c r="A2032">
        <v>2014</v>
      </c>
      <c r="B2032" t="s">
        <v>23</v>
      </c>
      <c r="C2032">
        <v>468</v>
      </c>
      <c r="D2032">
        <v>3550</v>
      </c>
      <c r="E2032">
        <v>37</v>
      </c>
      <c r="F2032" t="s">
        <v>59</v>
      </c>
      <c r="G2032" t="s">
        <v>26</v>
      </c>
      <c r="H2032">
        <v>62</v>
      </c>
      <c r="I2032">
        <v>57</v>
      </c>
      <c r="J2032" t="s">
        <v>15</v>
      </c>
      <c r="K2032">
        <v>1516</v>
      </c>
      <c r="L2032" t="s">
        <v>22</v>
      </c>
    </row>
    <row r="2033" spans="1:12" x14ac:dyDescent="0.3">
      <c r="A2033">
        <v>2015</v>
      </c>
      <c r="B2033" t="s">
        <v>23</v>
      </c>
      <c r="C2033">
        <v>11841</v>
      </c>
      <c r="D2033">
        <v>3654</v>
      </c>
      <c r="E2033">
        <v>38</v>
      </c>
      <c r="F2033" t="s">
        <v>59</v>
      </c>
      <c r="G2033" t="s">
        <v>26</v>
      </c>
      <c r="H2033">
        <v>32</v>
      </c>
      <c r="I2033">
        <v>55</v>
      </c>
      <c r="J2033" t="s">
        <v>15</v>
      </c>
      <c r="K2033">
        <v>200000</v>
      </c>
      <c r="L2033" t="s">
        <v>22</v>
      </c>
    </row>
    <row r="2034" spans="1:12" x14ac:dyDescent="0.3">
      <c r="A2034">
        <v>2016</v>
      </c>
      <c r="B2034" t="s">
        <v>23</v>
      </c>
      <c r="C2034">
        <v>50975</v>
      </c>
      <c r="D2034">
        <v>3654</v>
      </c>
      <c r="E2034">
        <v>38</v>
      </c>
      <c r="F2034" t="s">
        <v>50</v>
      </c>
      <c r="G2034" t="s">
        <v>26</v>
      </c>
      <c r="H2034">
        <v>22</v>
      </c>
      <c r="I2034">
        <v>56</v>
      </c>
      <c r="J2034" t="s">
        <v>15</v>
      </c>
      <c r="K2034">
        <v>4847</v>
      </c>
      <c r="L2034" t="s">
        <v>22</v>
      </c>
    </row>
    <row r="2035" spans="1:12" x14ac:dyDescent="0.3">
      <c r="A2035">
        <v>2017</v>
      </c>
      <c r="B2035" t="s">
        <v>23</v>
      </c>
      <c r="C2035">
        <v>206</v>
      </c>
      <c r="D2035">
        <v>3654</v>
      </c>
      <c r="E2035">
        <v>38</v>
      </c>
      <c r="F2035" t="s">
        <v>50</v>
      </c>
      <c r="G2035" t="s">
        <v>26</v>
      </c>
      <c r="H2035">
        <v>25</v>
      </c>
      <c r="I2035">
        <v>54</v>
      </c>
      <c r="J2035" t="s">
        <v>15</v>
      </c>
      <c r="K2035">
        <v>51239</v>
      </c>
      <c r="L2035" t="s">
        <v>22</v>
      </c>
    </row>
    <row r="2036" spans="1:12" x14ac:dyDescent="0.3">
      <c r="A2036">
        <v>2016</v>
      </c>
      <c r="B2036" t="s">
        <v>23</v>
      </c>
      <c r="C2036">
        <v>10922</v>
      </c>
      <c r="D2036">
        <v>233</v>
      </c>
      <c r="E2036">
        <v>39</v>
      </c>
      <c r="F2036" t="s">
        <v>50</v>
      </c>
      <c r="G2036" t="s">
        <v>26</v>
      </c>
      <c r="H2036">
        <v>4</v>
      </c>
      <c r="I2036">
        <v>58</v>
      </c>
      <c r="J2036" t="s">
        <v>15</v>
      </c>
      <c r="K2036">
        <v>216396</v>
      </c>
      <c r="L2036" t="s">
        <v>22</v>
      </c>
    </row>
    <row r="2037" spans="1:12" x14ac:dyDescent="0.3">
      <c r="A2037">
        <v>2017</v>
      </c>
      <c r="B2037" t="s">
        <v>23</v>
      </c>
      <c r="C2037">
        <v>51390</v>
      </c>
      <c r="D2037">
        <v>233</v>
      </c>
      <c r="E2037">
        <v>39</v>
      </c>
      <c r="F2037" t="s">
        <v>50</v>
      </c>
      <c r="G2037" t="s">
        <v>26</v>
      </c>
      <c r="H2037">
        <v>9</v>
      </c>
      <c r="I2037">
        <v>58</v>
      </c>
      <c r="J2037" t="s">
        <v>15</v>
      </c>
      <c r="K2037">
        <v>2644</v>
      </c>
      <c r="L2037" t="s">
        <v>22</v>
      </c>
    </row>
    <row r="2038" spans="1:12" x14ac:dyDescent="0.3">
      <c r="A2038">
        <v>2018</v>
      </c>
      <c r="B2038" t="s">
        <v>23</v>
      </c>
      <c r="C2038">
        <v>177</v>
      </c>
      <c r="D2038">
        <v>233</v>
      </c>
      <c r="E2038">
        <v>39</v>
      </c>
      <c r="F2038" t="s">
        <v>50</v>
      </c>
      <c r="G2038" t="s">
        <v>26</v>
      </c>
      <c r="H2038">
        <v>12</v>
      </c>
      <c r="I2038">
        <v>59</v>
      </c>
      <c r="J2038" t="s">
        <v>15</v>
      </c>
      <c r="K2038">
        <v>44235</v>
      </c>
      <c r="L2038" t="s">
        <v>22</v>
      </c>
    </row>
    <row r="2039" spans="1:12" x14ac:dyDescent="0.3">
      <c r="A2039">
        <v>2013</v>
      </c>
      <c r="B2039" t="s">
        <v>23</v>
      </c>
      <c r="C2039">
        <v>10723</v>
      </c>
      <c r="D2039">
        <v>234</v>
      </c>
      <c r="E2039">
        <v>40</v>
      </c>
      <c r="F2039" t="s">
        <v>50</v>
      </c>
      <c r="G2039" t="s">
        <v>26</v>
      </c>
      <c r="H2039">
        <v>2089</v>
      </c>
      <c r="I2039">
        <v>50</v>
      </c>
      <c r="J2039" t="s">
        <v>15</v>
      </c>
      <c r="K2039">
        <v>203317</v>
      </c>
      <c r="L2039" t="s">
        <v>22</v>
      </c>
    </row>
    <row r="2040" spans="1:12" x14ac:dyDescent="0.3">
      <c r="A2040">
        <v>2014</v>
      </c>
      <c r="B2040" t="s">
        <v>23</v>
      </c>
      <c r="C2040">
        <v>51709</v>
      </c>
      <c r="D2040">
        <v>234</v>
      </c>
      <c r="E2040">
        <v>40</v>
      </c>
      <c r="F2040" t="s">
        <v>50</v>
      </c>
      <c r="G2040" t="s">
        <v>26</v>
      </c>
      <c r="H2040">
        <v>2810</v>
      </c>
      <c r="I2040">
        <v>54</v>
      </c>
      <c r="J2040" t="s">
        <v>15</v>
      </c>
      <c r="K2040">
        <v>2134</v>
      </c>
      <c r="L2040" t="s">
        <v>22</v>
      </c>
    </row>
    <row r="2041" spans="1:12" x14ac:dyDescent="0.3">
      <c r="A2041">
        <v>2015</v>
      </c>
      <c r="B2041" t="s">
        <v>23</v>
      </c>
      <c r="C2041">
        <v>146</v>
      </c>
      <c r="D2041">
        <v>234</v>
      </c>
      <c r="E2041">
        <v>40</v>
      </c>
      <c r="F2041" t="s">
        <v>50</v>
      </c>
      <c r="G2041" t="s">
        <v>14</v>
      </c>
      <c r="H2041">
        <v>841</v>
      </c>
      <c r="I2041">
        <v>53</v>
      </c>
      <c r="J2041" t="s">
        <v>28</v>
      </c>
      <c r="K2041">
        <v>45186</v>
      </c>
      <c r="L2041" t="s">
        <v>22</v>
      </c>
    </row>
    <row r="2042" spans="1:12" x14ac:dyDescent="0.3">
      <c r="A2042">
        <v>2016</v>
      </c>
      <c r="B2042" t="s">
        <v>23</v>
      </c>
      <c r="C2042">
        <v>10910</v>
      </c>
      <c r="D2042">
        <v>3105</v>
      </c>
      <c r="E2042">
        <v>41</v>
      </c>
      <c r="F2042" t="s">
        <v>50</v>
      </c>
      <c r="G2042" t="s">
        <v>14</v>
      </c>
      <c r="H2042">
        <v>3550</v>
      </c>
      <c r="I2042">
        <v>52</v>
      </c>
      <c r="J2042" t="s">
        <v>28</v>
      </c>
      <c r="K2042">
        <v>238542</v>
      </c>
      <c r="L2042" t="s">
        <v>22</v>
      </c>
    </row>
    <row r="2043" spans="1:12" x14ac:dyDescent="0.3">
      <c r="A2043">
        <v>2017</v>
      </c>
      <c r="B2043" t="s">
        <v>23</v>
      </c>
      <c r="C2043">
        <v>51355</v>
      </c>
      <c r="D2043">
        <v>3105</v>
      </c>
      <c r="E2043">
        <v>41</v>
      </c>
      <c r="F2043" t="s">
        <v>50</v>
      </c>
      <c r="G2043" t="s">
        <v>14</v>
      </c>
      <c r="H2043">
        <v>109</v>
      </c>
      <c r="I2043">
        <v>51</v>
      </c>
      <c r="J2043" t="s">
        <v>28</v>
      </c>
      <c r="K2043">
        <v>1516</v>
      </c>
      <c r="L2043" t="s">
        <v>22</v>
      </c>
    </row>
    <row r="2044" spans="1:12" x14ac:dyDescent="0.3">
      <c r="A2044">
        <v>2018</v>
      </c>
      <c r="B2044" t="s">
        <v>23</v>
      </c>
      <c r="C2044">
        <v>160</v>
      </c>
      <c r="D2044">
        <v>3105</v>
      </c>
      <c r="E2044">
        <v>41</v>
      </c>
      <c r="F2044" t="s">
        <v>50</v>
      </c>
      <c r="G2044" t="s">
        <v>14</v>
      </c>
      <c r="H2044">
        <v>3368</v>
      </c>
      <c r="I2044">
        <v>57</v>
      </c>
      <c r="J2044" t="s">
        <v>28</v>
      </c>
      <c r="K2044">
        <v>57259</v>
      </c>
      <c r="L2044" t="s">
        <v>22</v>
      </c>
    </row>
    <row r="2045" spans="1:12" x14ac:dyDescent="0.3">
      <c r="A2045">
        <v>2004</v>
      </c>
      <c r="B2045" t="s">
        <v>23</v>
      </c>
      <c r="C2045">
        <v>10912</v>
      </c>
      <c r="D2045">
        <v>236</v>
      </c>
      <c r="E2045">
        <v>42</v>
      </c>
      <c r="F2045" t="s">
        <v>50</v>
      </c>
      <c r="G2045" t="s">
        <v>14</v>
      </c>
      <c r="H2045">
        <v>3671</v>
      </c>
      <c r="I2045">
        <v>57</v>
      </c>
      <c r="J2045" t="s">
        <v>28</v>
      </c>
      <c r="K2045">
        <v>234779</v>
      </c>
      <c r="L2045" t="s">
        <v>22</v>
      </c>
    </row>
    <row r="2046" spans="1:12" x14ac:dyDescent="0.3">
      <c r="A2046">
        <v>2005</v>
      </c>
      <c r="B2046" t="s">
        <v>23</v>
      </c>
      <c r="C2046">
        <v>51353</v>
      </c>
      <c r="D2046">
        <v>236</v>
      </c>
      <c r="E2046">
        <v>42</v>
      </c>
      <c r="F2046" t="s">
        <v>50</v>
      </c>
      <c r="G2046" t="s">
        <v>14</v>
      </c>
      <c r="H2046">
        <v>2404</v>
      </c>
      <c r="I2046">
        <v>60</v>
      </c>
      <c r="J2046" t="s">
        <v>28</v>
      </c>
      <c r="K2046">
        <v>1493</v>
      </c>
      <c r="L2046" t="s">
        <v>22</v>
      </c>
    </row>
    <row r="2047" spans="1:12" x14ac:dyDescent="0.3">
      <c r="A2047">
        <v>2006</v>
      </c>
      <c r="B2047" t="s">
        <v>23</v>
      </c>
      <c r="C2047">
        <v>1279</v>
      </c>
      <c r="D2047">
        <v>2903.1</v>
      </c>
      <c r="E2047">
        <v>42</v>
      </c>
      <c r="F2047" t="s">
        <v>50</v>
      </c>
      <c r="G2047" t="s">
        <v>14</v>
      </c>
      <c r="H2047">
        <v>2805</v>
      </c>
      <c r="I2047">
        <v>57</v>
      </c>
      <c r="J2047" t="s">
        <v>29</v>
      </c>
      <c r="K2047">
        <v>64409</v>
      </c>
      <c r="L2047" t="s">
        <v>22</v>
      </c>
    </row>
    <row r="2048" spans="1:12" x14ac:dyDescent="0.3">
      <c r="A2048">
        <v>2007</v>
      </c>
      <c r="B2048" t="s">
        <v>23</v>
      </c>
      <c r="C2048">
        <v>13283</v>
      </c>
      <c r="D2048">
        <v>2903.1</v>
      </c>
      <c r="E2048">
        <v>43</v>
      </c>
      <c r="F2048" t="s">
        <v>50</v>
      </c>
      <c r="G2048" t="s">
        <v>14</v>
      </c>
      <c r="H2048">
        <v>2331</v>
      </c>
      <c r="I2048">
        <v>57</v>
      </c>
      <c r="J2048" t="s">
        <v>29</v>
      </c>
      <c r="K2048">
        <v>249978</v>
      </c>
      <c r="L2048" t="s">
        <v>22</v>
      </c>
    </row>
    <row r="2049" spans="1:12" x14ac:dyDescent="0.3">
      <c r="A2049">
        <v>2008</v>
      </c>
      <c r="B2049" t="s">
        <v>31</v>
      </c>
      <c r="C2049">
        <v>52119</v>
      </c>
      <c r="D2049">
        <v>2903.1</v>
      </c>
      <c r="E2049">
        <v>43</v>
      </c>
      <c r="F2049" t="s">
        <v>50</v>
      </c>
      <c r="G2049" t="s">
        <v>14</v>
      </c>
      <c r="H2049">
        <v>2088</v>
      </c>
      <c r="I2049">
        <v>54</v>
      </c>
      <c r="J2049" t="s">
        <v>29</v>
      </c>
      <c r="K2049">
        <v>637</v>
      </c>
      <c r="L2049" t="s">
        <v>22</v>
      </c>
    </row>
    <row r="2050" spans="1:12" x14ac:dyDescent="0.3">
      <c r="A2050">
        <v>2009</v>
      </c>
      <c r="B2050" t="s">
        <v>31</v>
      </c>
      <c r="C2050">
        <v>725</v>
      </c>
      <c r="D2050">
        <v>2996.6</v>
      </c>
      <c r="E2050">
        <v>27</v>
      </c>
      <c r="F2050" t="s">
        <v>50</v>
      </c>
      <c r="G2050" t="s">
        <v>14</v>
      </c>
      <c r="H2050">
        <v>2628</v>
      </c>
      <c r="I2050">
        <v>54.5</v>
      </c>
      <c r="J2050" t="s">
        <v>29</v>
      </c>
      <c r="K2050">
        <v>43311</v>
      </c>
      <c r="L2050" t="s">
        <v>22</v>
      </c>
    </row>
    <row r="2051" spans="1:12" x14ac:dyDescent="0.3">
      <c r="A2051">
        <v>2010</v>
      </c>
      <c r="B2051" t="s">
        <v>31</v>
      </c>
      <c r="C2051">
        <v>12885</v>
      </c>
      <c r="D2051">
        <v>2996.6</v>
      </c>
      <c r="E2051">
        <v>27</v>
      </c>
      <c r="F2051" t="s">
        <v>50</v>
      </c>
      <c r="G2051" t="s">
        <v>14</v>
      </c>
      <c r="H2051">
        <v>1939</v>
      </c>
      <c r="I2051">
        <v>56.6</v>
      </c>
      <c r="J2051" t="s">
        <v>29</v>
      </c>
      <c r="K2051">
        <v>24848</v>
      </c>
      <c r="L2051" t="s">
        <v>22</v>
      </c>
    </row>
    <row r="2052" spans="1:12" x14ac:dyDescent="0.3">
      <c r="A2052">
        <v>2011</v>
      </c>
      <c r="B2052" t="s">
        <v>31</v>
      </c>
      <c r="C2052">
        <v>51179</v>
      </c>
      <c r="D2052">
        <v>2996.6</v>
      </c>
      <c r="E2052">
        <v>27</v>
      </c>
      <c r="F2052" t="s">
        <v>50</v>
      </c>
      <c r="G2052" t="s">
        <v>14</v>
      </c>
      <c r="H2052">
        <v>1871</v>
      </c>
      <c r="I2052">
        <v>55.5</v>
      </c>
      <c r="J2052" t="s">
        <v>29</v>
      </c>
      <c r="K2052">
        <v>761</v>
      </c>
      <c r="L2052" t="s">
        <v>22</v>
      </c>
    </row>
    <row r="2053" spans="1:12" x14ac:dyDescent="0.3">
      <c r="A2053">
        <v>2012</v>
      </c>
      <c r="B2053" t="s">
        <v>31</v>
      </c>
      <c r="C2053">
        <v>468</v>
      </c>
      <c r="D2053">
        <v>3522.8</v>
      </c>
      <c r="E2053">
        <v>27</v>
      </c>
      <c r="F2053" t="s">
        <v>50</v>
      </c>
      <c r="G2053" t="s">
        <v>14</v>
      </c>
      <c r="H2053">
        <v>1868</v>
      </c>
      <c r="I2053">
        <v>58.5</v>
      </c>
      <c r="J2053" t="s">
        <v>29</v>
      </c>
      <c r="K2053">
        <v>45608</v>
      </c>
      <c r="L2053" t="s">
        <v>22</v>
      </c>
    </row>
    <row r="2054" spans="1:12" x14ac:dyDescent="0.3">
      <c r="A2054">
        <v>2013</v>
      </c>
      <c r="B2054" t="s">
        <v>31</v>
      </c>
      <c r="C2054">
        <v>11841</v>
      </c>
      <c r="D2054">
        <v>3522.8</v>
      </c>
      <c r="E2054">
        <v>27</v>
      </c>
      <c r="F2054" t="s">
        <v>50</v>
      </c>
      <c r="G2054" t="s">
        <v>14</v>
      </c>
      <c r="H2054">
        <v>127919</v>
      </c>
      <c r="I2054">
        <v>59.5</v>
      </c>
      <c r="J2054" t="s">
        <v>29</v>
      </c>
      <c r="K2054">
        <v>234581</v>
      </c>
      <c r="L2054" t="s">
        <v>22</v>
      </c>
    </row>
    <row r="2055" spans="1:12" x14ac:dyDescent="0.3">
      <c r="A2055">
        <v>2014</v>
      </c>
      <c r="B2055" t="s">
        <v>31</v>
      </c>
      <c r="C2055">
        <v>50975</v>
      </c>
      <c r="D2055">
        <v>3522.8</v>
      </c>
      <c r="E2055">
        <v>27</v>
      </c>
      <c r="F2055" t="s">
        <v>50</v>
      </c>
      <c r="G2055" t="s">
        <v>14</v>
      </c>
      <c r="H2055">
        <v>75340</v>
      </c>
      <c r="I2055">
        <v>55</v>
      </c>
      <c r="J2055" t="s">
        <v>29</v>
      </c>
      <c r="K2055">
        <v>646</v>
      </c>
      <c r="L2055" t="s">
        <v>22</v>
      </c>
    </row>
    <row r="2056" spans="1:12" x14ac:dyDescent="0.3">
      <c r="A2056">
        <v>2015</v>
      </c>
      <c r="B2056" t="s">
        <v>31</v>
      </c>
      <c r="C2056">
        <v>206</v>
      </c>
      <c r="D2056">
        <v>2903.1</v>
      </c>
      <c r="E2056">
        <v>27.2</v>
      </c>
      <c r="F2056" t="s">
        <v>50</v>
      </c>
      <c r="G2056" t="s">
        <v>14</v>
      </c>
      <c r="H2056">
        <v>29170</v>
      </c>
      <c r="I2056">
        <v>53</v>
      </c>
      <c r="J2056" t="s">
        <v>29</v>
      </c>
      <c r="K2056">
        <v>43562</v>
      </c>
      <c r="L2056" t="s">
        <v>22</v>
      </c>
    </row>
    <row r="2057" spans="1:12" x14ac:dyDescent="0.3">
      <c r="A2057">
        <v>2016</v>
      </c>
      <c r="B2057" t="s">
        <v>31</v>
      </c>
      <c r="C2057">
        <v>10922</v>
      </c>
      <c r="D2057">
        <v>2903.1</v>
      </c>
      <c r="E2057">
        <v>27.2</v>
      </c>
      <c r="F2057" t="s">
        <v>50</v>
      </c>
      <c r="G2057" t="s">
        <v>14</v>
      </c>
      <c r="H2057">
        <v>1901</v>
      </c>
      <c r="I2057">
        <v>53.5</v>
      </c>
      <c r="J2057" t="s">
        <v>29</v>
      </c>
      <c r="K2057">
        <v>200000</v>
      </c>
      <c r="L2057" t="s">
        <v>22</v>
      </c>
    </row>
    <row r="2058" spans="1:12" x14ac:dyDescent="0.3">
      <c r="A2058">
        <v>2017</v>
      </c>
      <c r="B2058" t="s">
        <v>31</v>
      </c>
      <c r="C2058">
        <v>51390</v>
      </c>
      <c r="D2058">
        <v>2903.1</v>
      </c>
      <c r="E2058">
        <v>27.2</v>
      </c>
      <c r="F2058" t="s">
        <v>50</v>
      </c>
      <c r="G2058" t="s">
        <v>14</v>
      </c>
      <c r="H2058">
        <v>972</v>
      </c>
      <c r="I2058">
        <v>52.5</v>
      </c>
      <c r="J2058" t="s">
        <v>29</v>
      </c>
      <c r="K2058">
        <v>4847</v>
      </c>
      <c r="L2058" t="s">
        <v>22</v>
      </c>
    </row>
    <row r="2059" spans="1:12" x14ac:dyDescent="0.3">
      <c r="A2059">
        <v>2016</v>
      </c>
      <c r="B2059" t="s">
        <v>31</v>
      </c>
      <c r="C2059">
        <v>177</v>
      </c>
      <c r="D2059">
        <v>2996.6</v>
      </c>
      <c r="E2059">
        <v>27</v>
      </c>
      <c r="F2059" t="s">
        <v>50</v>
      </c>
      <c r="G2059" t="s">
        <v>14</v>
      </c>
      <c r="H2059">
        <v>874</v>
      </c>
      <c r="I2059">
        <v>56</v>
      </c>
      <c r="J2059" t="s">
        <v>29</v>
      </c>
      <c r="K2059">
        <v>51239</v>
      </c>
      <c r="L2059" t="s">
        <v>22</v>
      </c>
    </row>
    <row r="2060" spans="1:12" x14ac:dyDescent="0.3">
      <c r="A2060">
        <v>2017</v>
      </c>
      <c r="B2060" t="s">
        <v>31</v>
      </c>
      <c r="C2060">
        <v>10723</v>
      </c>
      <c r="D2060">
        <v>2996.6</v>
      </c>
      <c r="E2060">
        <v>27</v>
      </c>
      <c r="F2060" t="s">
        <v>50</v>
      </c>
      <c r="G2060" t="s">
        <v>14</v>
      </c>
      <c r="H2060">
        <v>592</v>
      </c>
      <c r="I2060">
        <v>57</v>
      </c>
      <c r="J2060" t="s">
        <v>29</v>
      </c>
      <c r="K2060">
        <v>216396</v>
      </c>
      <c r="L2060" t="s">
        <v>22</v>
      </c>
    </row>
    <row r="2061" spans="1:12" x14ac:dyDescent="0.3">
      <c r="A2061">
        <v>2016</v>
      </c>
      <c r="B2061" t="s">
        <v>31</v>
      </c>
      <c r="C2061">
        <v>51709</v>
      </c>
      <c r="D2061">
        <v>2996.6</v>
      </c>
      <c r="E2061">
        <v>27</v>
      </c>
      <c r="F2061" t="s">
        <v>50</v>
      </c>
      <c r="G2061" t="s">
        <v>14</v>
      </c>
      <c r="H2061">
        <v>864</v>
      </c>
      <c r="I2061">
        <v>57.5</v>
      </c>
      <c r="J2061" t="s">
        <v>29</v>
      </c>
      <c r="K2061">
        <v>2644</v>
      </c>
      <c r="L2061" t="s">
        <v>22</v>
      </c>
    </row>
    <row r="2062" spans="1:12" x14ac:dyDescent="0.3">
      <c r="A2062">
        <v>2017</v>
      </c>
      <c r="B2062" t="s">
        <v>31</v>
      </c>
      <c r="C2062">
        <v>146</v>
      </c>
      <c r="D2062">
        <v>3522.8</v>
      </c>
      <c r="E2062">
        <v>27</v>
      </c>
      <c r="F2062" t="s">
        <v>50</v>
      </c>
      <c r="G2062" t="s">
        <v>14</v>
      </c>
      <c r="H2062">
        <v>5373</v>
      </c>
      <c r="I2062">
        <v>57</v>
      </c>
      <c r="J2062" t="s">
        <v>30</v>
      </c>
      <c r="K2062">
        <v>44235</v>
      </c>
      <c r="L2062" t="s">
        <v>22</v>
      </c>
    </row>
    <row r="2063" spans="1:12" x14ac:dyDescent="0.3">
      <c r="A2063">
        <v>2018</v>
      </c>
      <c r="B2063" t="s">
        <v>31</v>
      </c>
      <c r="C2063">
        <v>10910</v>
      </c>
      <c r="D2063">
        <v>3522.8</v>
      </c>
      <c r="E2063">
        <v>27</v>
      </c>
      <c r="F2063" t="s">
        <v>50</v>
      </c>
      <c r="G2063" t="s">
        <v>14</v>
      </c>
      <c r="H2063">
        <v>6589</v>
      </c>
      <c r="I2063">
        <v>55</v>
      </c>
      <c r="J2063" t="s">
        <v>30</v>
      </c>
      <c r="K2063">
        <v>203317</v>
      </c>
      <c r="L2063" t="s">
        <v>22</v>
      </c>
    </row>
    <row r="2064" spans="1:12" x14ac:dyDescent="0.3">
      <c r="A2064">
        <v>2013</v>
      </c>
      <c r="B2064" t="s">
        <v>31</v>
      </c>
      <c r="C2064">
        <v>51355</v>
      </c>
      <c r="D2064">
        <v>3522.8</v>
      </c>
      <c r="E2064">
        <v>27</v>
      </c>
      <c r="F2064" t="s">
        <v>50</v>
      </c>
      <c r="G2064" t="s">
        <v>14</v>
      </c>
      <c r="H2064">
        <v>5107</v>
      </c>
      <c r="I2064">
        <v>56</v>
      </c>
      <c r="J2064" t="s">
        <v>30</v>
      </c>
      <c r="K2064">
        <v>2134</v>
      </c>
      <c r="L2064" t="s">
        <v>22</v>
      </c>
    </row>
    <row r="2065" spans="1:12" x14ac:dyDescent="0.3">
      <c r="A2065">
        <v>2014</v>
      </c>
      <c r="B2065" t="s">
        <v>31</v>
      </c>
      <c r="C2065">
        <v>160</v>
      </c>
      <c r="D2065">
        <v>3729.8</v>
      </c>
      <c r="E2065">
        <v>27.2</v>
      </c>
      <c r="F2065" t="s">
        <v>50</v>
      </c>
      <c r="G2065" t="s">
        <v>14</v>
      </c>
      <c r="H2065">
        <v>5518</v>
      </c>
      <c r="I2065">
        <v>54</v>
      </c>
      <c r="J2065" t="s">
        <v>30</v>
      </c>
      <c r="K2065">
        <v>45186</v>
      </c>
      <c r="L2065" t="s">
        <v>22</v>
      </c>
    </row>
    <row r="2066" spans="1:12" x14ac:dyDescent="0.3">
      <c r="A2066">
        <v>2015</v>
      </c>
      <c r="B2066" t="s">
        <v>31</v>
      </c>
      <c r="C2066">
        <v>10912</v>
      </c>
      <c r="D2066">
        <v>3729.8</v>
      </c>
      <c r="E2066">
        <v>27.2</v>
      </c>
      <c r="F2066" t="s">
        <v>50</v>
      </c>
      <c r="G2066" t="s">
        <v>14</v>
      </c>
      <c r="H2066">
        <v>4912</v>
      </c>
      <c r="I2066">
        <v>58</v>
      </c>
      <c r="J2066" t="s">
        <v>30</v>
      </c>
      <c r="K2066">
        <v>238542</v>
      </c>
      <c r="L2066" t="s">
        <v>22</v>
      </c>
    </row>
    <row r="2067" spans="1:12" x14ac:dyDescent="0.3">
      <c r="A2067">
        <v>2016</v>
      </c>
      <c r="B2067" t="s">
        <v>31</v>
      </c>
      <c r="C2067">
        <v>51353</v>
      </c>
      <c r="D2067">
        <v>3729.8</v>
      </c>
      <c r="E2067">
        <v>27.2</v>
      </c>
      <c r="F2067" t="s">
        <v>62</v>
      </c>
      <c r="G2067" t="s">
        <v>14</v>
      </c>
      <c r="H2067">
        <v>3830</v>
      </c>
      <c r="I2067">
        <v>58</v>
      </c>
      <c r="J2067" t="s">
        <v>30</v>
      </c>
      <c r="K2067">
        <v>1516</v>
      </c>
      <c r="L2067" t="s">
        <v>22</v>
      </c>
    </row>
    <row r="2068" spans="1:12" x14ac:dyDescent="0.3">
      <c r="A2068">
        <v>2017</v>
      </c>
      <c r="B2068" t="s">
        <v>31</v>
      </c>
      <c r="C2068">
        <v>1279</v>
      </c>
      <c r="D2068">
        <v>2746.2</v>
      </c>
      <c r="E2068">
        <v>27.1</v>
      </c>
      <c r="F2068" t="s">
        <v>62</v>
      </c>
      <c r="G2068" t="s">
        <v>14</v>
      </c>
      <c r="H2068">
        <v>4</v>
      </c>
      <c r="I2068">
        <v>59</v>
      </c>
      <c r="J2068" t="s">
        <v>30</v>
      </c>
      <c r="K2068">
        <v>57259</v>
      </c>
      <c r="L2068" t="s">
        <v>22</v>
      </c>
    </row>
    <row r="2069" spans="1:12" x14ac:dyDescent="0.3">
      <c r="A2069">
        <v>2018</v>
      </c>
      <c r="B2069" t="s">
        <v>31</v>
      </c>
      <c r="C2069">
        <v>13283</v>
      </c>
      <c r="D2069">
        <v>2746.2</v>
      </c>
      <c r="E2069">
        <v>27.1</v>
      </c>
      <c r="F2069" t="s">
        <v>62</v>
      </c>
      <c r="G2069" t="s">
        <v>14</v>
      </c>
      <c r="H2069">
        <v>9</v>
      </c>
      <c r="I2069">
        <v>50</v>
      </c>
      <c r="J2069" t="s">
        <v>30</v>
      </c>
      <c r="K2069">
        <v>234779</v>
      </c>
      <c r="L2069" t="s">
        <v>22</v>
      </c>
    </row>
    <row r="2070" spans="1:12" x14ac:dyDescent="0.3">
      <c r="A2070">
        <v>2004</v>
      </c>
      <c r="B2070" t="s">
        <v>31</v>
      </c>
      <c r="C2070">
        <v>52119</v>
      </c>
      <c r="D2070">
        <v>2746.2</v>
      </c>
      <c r="E2070">
        <v>27.1</v>
      </c>
      <c r="F2070" t="s">
        <v>62</v>
      </c>
      <c r="G2070" t="s">
        <v>14</v>
      </c>
      <c r="H2070">
        <v>12</v>
      </c>
      <c r="I2070">
        <v>54</v>
      </c>
      <c r="J2070" t="s">
        <v>30</v>
      </c>
      <c r="K2070">
        <v>1493</v>
      </c>
      <c r="L2070" t="s">
        <v>22</v>
      </c>
    </row>
    <row r="2071" spans="1:12" x14ac:dyDescent="0.3">
      <c r="A2071">
        <v>2005</v>
      </c>
      <c r="B2071" t="s">
        <v>31</v>
      </c>
      <c r="C2071">
        <v>725</v>
      </c>
      <c r="D2071">
        <v>3360</v>
      </c>
      <c r="E2071">
        <v>26.8</v>
      </c>
      <c r="F2071" t="s">
        <v>62</v>
      </c>
      <c r="G2071" t="s">
        <v>14</v>
      </c>
      <c r="H2071">
        <v>2089</v>
      </c>
      <c r="I2071">
        <v>53</v>
      </c>
      <c r="J2071" t="s">
        <v>30</v>
      </c>
      <c r="K2071">
        <v>64409</v>
      </c>
      <c r="L2071" t="s">
        <v>22</v>
      </c>
    </row>
    <row r="2072" spans="1:12" x14ac:dyDescent="0.3">
      <c r="A2072">
        <v>2006</v>
      </c>
      <c r="B2072" t="s">
        <v>31</v>
      </c>
      <c r="C2072">
        <v>12885</v>
      </c>
      <c r="D2072">
        <v>3360</v>
      </c>
      <c r="E2072">
        <v>26.8</v>
      </c>
      <c r="F2072" t="s">
        <v>62</v>
      </c>
      <c r="G2072" t="s">
        <v>14</v>
      </c>
      <c r="H2072">
        <v>2810</v>
      </c>
      <c r="I2072">
        <v>52</v>
      </c>
      <c r="J2072" t="s">
        <v>30</v>
      </c>
      <c r="K2072">
        <v>249978</v>
      </c>
      <c r="L2072" t="s">
        <v>22</v>
      </c>
    </row>
    <row r="2073" spans="1:12" x14ac:dyDescent="0.3">
      <c r="A2073">
        <v>2007</v>
      </c>
      <c r="B2073" t="s">
        <v>31</v>
      </c>
      <c r="C2073">
        <v>51179</v>
      </c>
      <c r="D2073">
        <v>3360</v>
      </c>
      <c r="E2073">
        <v>26.8</v>
      </c>
      <c r="F2073" t="s">
        <v>62</v>
      </c>
      <c r="G2073" t="s">
        <v>14</v>
      </c>
      <c r="H2073">
        <v>841</v>
      </c>
      <c r="I2073">
        <v>51</v>
      </c>
      <c r="J2073" t="s">
        <v>30</v>
      </c>
      <c r="K2073">
        <v>637</v>
      </c>
      <c r="L2073" t="s">
        <v>22</v>
      </c>
    </row>
    <row r="2074" spans="1:12" x14ac:dyDescent="0.3">
      <c r="A2074">
        <v>2008</v>
      </c>
      <c r="B2074" t="s">
        <v>31</v>
      </c>
      <c r="C2074">
        <v>468</v>
      </c>
      <c r="D2074">
        <v>3605.4</v>
      </c>
      <c r="E2074">
        <v>37</v>
      </c>
      <c r="F2074" t="s">
        <v>62</v>
      </c>
      <c r="G2074" t="s">
        <v>14</v>
      </c>
      <c r="H2074">
        <v>3550</v>
      </c>
      <c r="I2074">
        <v>57</v>
      </c>
      <c r="J2074" t="s">
        <v>30</v>
      </c>
      <c r="K2074">
        <v>43311</v>
      </c>
      <c r="L2074" t="s">
        <v>22</v>
      </c>
    </row>
    <row r="2075" spans="1:12" x14ac:dyDescent="0.3">
      <c r="A2075">
        <v>2009</v>
      </c>
      <c r="B2075" t="s">
        <v>31</v>
      </c>
      <c r="C2075">
        <v>11841</v>
      </c>
      <c r="D2075">
        <v>3605.4</v>
      </c>
      <c r="E2075">
        <v>37</v>
      </c>
      <c r="F2075" t="s">
        <v>62</v>
      </c>
      <c r="G2075" t="s">
        <v>14</v>
      </c>
      <c r="H2075">
        <v>109</v>
      </c>
      <c r="I2075">
        <v>57</v>
      </c>
      <c r="J2075" t="s">
        <v>30</v>
      </c>
      <c r="K2075">
        <v>24848</v>
      </c>
      <c r="L2075" t="s">
        <v>22</v>
      </c>
    </row>
    <row r="2076" spans="1:12" x14ac:dyDescent="0.3">
      <c r="A2076">
        <v>2010</v>
      </c>
      <c r="B2076" t="s">
        <v>31</v>
      </c>
      <c r="C2076">
        <v>50975</v>
      </c>
      <c r="D2076">
        <v>2903.1</v>
      </c>
      <c r="E2076">
        <v>37</v>
      </c>
      <c r="F2076" t="s">
        <v>62</v>
      </c>
      <c r="G2076" t="s">
        <v>14</v>
      </c>
      <c r="H2076">
        <v>3368</v>
      </c>
      <c r="I2076">
        <v>60</v>
      </c>
      <c r="J2076" t="s">
        <v>30</v>
      </c>
      <c r="K2076">
        <v>761</v>
      </c>
      <c r="L2076" t="s">
        <v>22</v>
      </c>
    </row>
    <row r="2077" spans="1:12" x14ac:dyDescent="0.3">
      <c r="A2077">
        <v>2011</v>
      </c>
      <c r="B2077" t="s">
        <v>31</v>
      </c>
      <c r="C2077">
        <v>206</v>
      </c>
      <c r="D2077">
        <v>2903.1</v>
      </c>
      <c r="E2077">
        <v>38</v>
      </c>
      <c r="F2077" t="s">
        <v>62</v>
      </c>
      <c r="G2077" t="s">
        <v>14</v>
      </c>
      <c r="H2077">
        <v>3671</v>
      </c>
      <c r="I2077">
        <v>57</v>
      </c>
      <c r="J2077" t="s">
        <v>32</v>
      </c>
      <c r="K2077">
        <v>45608</v>
      </c>
      <c r="L2077" t="s">
        <v>22</v>
      </c>
    </row>
    <row r="2078" spans="1:12" x14ac:dyDescent="0.3">
      <c r="A2078">
        <v>2012</v>
      </c>
      <c r="B2078" t="s">
        <v>31</v>
      </c>
      <c r="C2078">
        <v>10922</v>
      </c>
      <c r="D2078">
        <v>2903.1</v>
      </c>
      <c r="E2078">
        <v>38</v>
      </c>
      <c r="F2078" t="s">
        <v>62</v>
      </c>
      <c r="G2078" t="s">
        <v>14</v>
      </c>
      <c r="H2078">
        <v>2404</v>
      </c>
      <c r="I2078">
        <v>57</v>
      </c>
      <c r="J2078" t="s">
        <v>32</v>
      </c>
      <c r="K2078">
        <v>234581</v>
      </c>
      <c r="L2078" t="s">
        <v>22</v>
      </c>
    </row>
    <row r="2079" spans="1:12" x14ac:dyDescent="0.3">
      <c r="A2079">
        <v>2013</v>
      </c>
      <c r="B2079" t="s">
        <v>31</v>
      </c>
      <c r="C2079">
        <v>51390</v>
      </c>
      <c r="D2079">
        <v>2996.6</v>
      </c>
      <c r="E2079">
        <v>38</v>
      </c>
      <c r="F2079" t="s">
        <v>62</v>
      </c>
      <c r="G2079" t="s">
        <v>14</v>
      </c>
      <c r="H2079">
        <v>2805</v>
      </c>
      <c r="I2079">
        <v>54</v>
      </c>
      <c r="J2079" t="s">
        <v>32</v>
      </c>
      <c r="K2079">
        <v>646</v>
      </c>
      <c r="L2079" t="s">
        <v>22</v>
      </c>
    </row>
    <row r="2080" spans="1:12" x14ac:dyDescent="0.3">
      <c r="A2080">
        <v>2014</v>
      </c>
      <c r="B2080" t="s">
        <v>31</v>
      </c>
      <c r="C2080">
        <v>177</v>
      </c>
      <c r="D2080">
        <v>2996.6</v>
      </c>
      <c r="E2080">
        <v>39</v>
      </c>
      <c r="F2080" t="s">
        <v>62</v>
      </c>
      <c r="G2080" t="s">
        <v>14</v>
      </c>
      <c r="H2080">
        <v>2331</v>
      </c>
      <c r="I2080">
        <v>54.5</v>
      </c>
      <c r="J2080" t="s">
        <v>32</v>
      </c>
      <c r="K2080">
        <v>43562</v>
      </c>
      <c r="L2080" t="s">
        <v>22</v>
      </c>
    </row>
    <row r="2081" spans="1:12" x14ac:dyDescent="0.3">
      <c r="A2081">
        <v>2015</v>
      </c>
      <c r="B2081" t="s">
        <v>31</v>
      </c>
      <c r="C2081">
        <v>10723</v>
      </c>
      <c r="D2081">
        <v>2996.6</v>
      </c>
      <c r="E2081">
        <v>39</v>
      </c>
      <c r="F2081" t="s">
        <v>62</v>
      </c>
      <c r="G2081" t="s">
        <v>14</v>
      </c>
      <c r="H2081">
        <v>2088</v>
      </c>
      <c r="I2081">
        <v>56.6</v>
      </c>
      <c r="J2081" t="s">
        <v>32</v>
      </c>
      <c r="K2081">
        <v>200000</v>
      </c>
      <c r="L2081" t="s">
        <v>22</v>
      </c>
    </row>
    <row r="2082" spans="1:12" x14ac:dyDescent="0.3">
      <c r="A2082">
        <v>2016</v>
      </c>
      <c r="B2082" t="s">
        <v>53</v>
      </c>
      <c r="C2082">
        <v>51709</v>
      </c>
      <c r="D2082">
        <v>3522.8</v>
      </c>
      <c r="E2082">
        <v>39</v>
      </c>
      <c r="F2082" t="s">
        <v>62</v>
      </c>
      <c r="G2082" t="s">
        <v>14</v>
      </c>
      <c r="H2082">
        <v>2628</v>
      </c>
      <c r="I2082">
        <v>55.5</v>
      </c>
      <c r="J2082" t="s">
        <v>32</v>
      </c>
      <c r="K2082">
        <v>4847</v>
      </c>
      <c r="L2082" t="s">
        <v>22</v>
      </c>
    </row>
    <row r="2083" spans="1:12" x14ac:dyDescent="0.3">
      <c r="A2083">
        <v>2017</v>
      </c>
      <c r="B2083" t="s">
        <v>53</v>
      </c>
      <c r="C2083">
        <v>1279</v>
      </c>
      <c r="D2083">
        <v>3522.8</v>
      </c>
      <c r="E2083">
        <v>40</v>
      </c>
      <c r="F2083" t="s">
        <v>62</v>
      </c>
      <c r="G2083" t="s">
        <v>14</v>
      </c>
      <c r="H2083">
        <v>1939</v>
      </c>
      <c r="I2083">
        <v>58.5</v>
      </c>
      <c r="J2083" t="s">
        <v>32</v>
      </c>
      <c r="K2083">
        <v>51239</v>
      </c>
      <c r="L2083" t="s">
        <v>22</v>
      </c>
    </row>
    <row r="2084" spans="1:12" x14ac:dyDescent="0.3">
      <c r="A2084">
        <v>2017</v>
      </c>
      <c r="B2084" t="s">
        <v>53</v>
      </c>
      <c r="C2084">
        <v>13283</v>
      </c>
      <c r="D2084">
        <v>3522.8</v>
      </c>
      <c r="E2084">
        <v>40</v>
      </c>
      <c r="F2084" t="s">
        <v>62</v>
      </c>
      <c r="G2084" t="s">
        <v>14</v>
      </c>
      <c r="H2084">
        <v>1871</v>
      </c>
      <c r="I2084">
        <v>59.5</v>
      </c>
      <c r="J2084" t="s">
        <v>32</v>
      </c>
      <c r="K2084">
        <v>216396</v>
      </c>
      <c r="L2084" t="s">
        <v>22</v>
      </c>
    </row>
    <row r="2085" spans="1:12" x14ac:dyDescent="0.3">
      <c r="A2085">
        <v>2016</v>
      </c>
      <c r="B2085" t="s">
        <v>53</v>
      </c>
      <c r="C2085">
        <v>52119</v>
      </c>
      <c r="D2085">
        <v>3729.8</v>
      </c>
      <c r="E2085">
        <v>40</v>
      </c>
      <c r="F2085" t="s">
        <v>62</v>
      </c>
      <c r="G2085" t="s">
        <v>21</v>
      </c>
      <c r="H2085">
        <v>1868</v>
      </c>
      <c r="I2085">
        <v>55</v>
      </c>
      <c r="J2085" t="s">
        <v>32</v>
      </c>
      <c r="K2085">
        <v>2644</v>
      </c>
      <c r="L2085" t="s">
        <v>22</v>
      </c>
    </row>
    <row r="2086" spans="1:12" x14ac:dyDescent="0.3">
      <c r="A2086">
        <v>2017</v>
      </c>
      <c r="B2086" t="s">
        <v>53</v>
      </c>
      <c r="C2086">
        <v>725</v>
      </c>
      <c r="D2086">
        <v>2903.1</v>
      </c>
      <c r="E2086">
        <v>41</v>
      </c>
      <c r="F2086" t="s">
        <v>62</v>
      </c>
      <c r="G2086" t="s">
        <v>21</v>
      </c>
      <c r="H2086">
        <v>127919</v>
      </c>
      <c r="I2086">
        <v>53</v>
      </c>
      <c r="J2086" t="s">
        <v>32</v>
      </c>
      <c r="K2086">
        <v>44235</v>
      </c>
      <c r="L2086" t="s">
        <v>22</v>
      </c>
    </row>
    <row r="2087" spans="1:12" x14ac:dyDescent="0.3">
      <c r="A2087">
        <v>2018</v>
      </c>
      <c r="B2087" t="s">
        <v>53</v>
      </c>
      <c r="C2087">
        <v>12885</v>
      </c>
      <c r="D2087">
        <v>2903.1</v>
      </c>
      <c r="E2087">
        <v>41</v>
      </c>
      <c r="F2087" t="s">
        <v>62</v>
      </c>
      <c r="G2087" t="s">
        <v>21</v>
      </c>
      <c r="H2087">
        <v>75340</v>
      </c>
      <c r="I2087">
        <v>53.5</v>
      </c>
      <c r="J2087" t="s">
        <v>32</v>
      </c>
      <c r="K2087">
        <v>203317</v>
      </c>
      <c r="L2087" t="s">
        <v>22</v>
      </c>
    </row>
    <row r="2088" spans="1:12" x14ac:dyDescent="0.3">
      <c r="A2088">
        <v>2013</v>
      </c>
      <c r="B2088" t="s">
        <v>53</v>
      </c>
      <c r="C2088">
        <v>51179</v>
      </c>
      <c r="D2088">
        <v>2903.1</v>
      </c>
      <c r="E2088">
        <v>41</v>
      </c>
      <c r="F2088" t="s">
        <v>62</v>
      </c>
      <c r="G2088" t="s">
        <v>21</v>
      </c>
      <c r="H2088">
        <v>29170</v>
      </c>
      <c r="I2088">
        <v>52.5</v>
      </c>
      <c r="J2088" t="s">
        <v>32</v>
      </c>
      <c r="K2088">
        <v>2134</v>
      </c>
      <c r="L2088" t="s">
        <v>22</v>
      </c>
    </row>
    <row r="2089" spans="1:12" x14ac:dyDescent="0.3">
      <c r="A2089">
        <v>2014</v>
      </c>
      <c r="B2089" t="s">
        <v>53</v>
      </c>
      <c r="C2089">
        <v>468</v>
      </c>
      <c r="D2089">
        <v>2996.6</v>
      </c>
      <c r="E2089">
        <v>42</v>
      </c>
      <c r="F2089" t="s">
        <v>62</v>
      </c>
      <c r="G2089" t="s">
        <v>21</v>
      </c>
      <c r="H2089">
        <v>1901</v>
      </c>
      <c r="I2089">
        <v>56</v>
      </c>
      <c r="J2089" t="s">
        <v>32</v>
      </c>
      <c r="K2089">
        <v>45186</v>
      </c>
      <c r="L2089" t="s">
        <v>22</v>
      </c>
    </row>
    <row r="2090" spans="1:12" x14ac:dyDescent="0.3">
      <c r="A2090">
        <v>2015</v>
      </c>
      <c r="B2090" t="s">
        <v>53</v>
      </c>
      <c r="C2090">
        <v>11841</v>
      </c>
      <c r="D2090">
        <v>2996.6</v>
      </c>
      <c r="E2090">
        <v>42</v>
      </c>
      <c r="F2090" t="s">
        <v>62</v>
      </c>
      <c r="G2090" t="s">
        <v>21</v>
      </c>
      <c r="H2090">
        <v>972</v>
      </c>
      <c r="I2090">
        <v>57</v>
      </c>
      <c r="J2090" t="s">
        <v>32</v>
      </c>
      <c r="K2090">
        <v>238542</v>
      </c>
      <c r="L2090" t="s">
        <v>22</v>
      </c>
    </row>
    <row r="2091" spans="1:12" x14ac:dyDescent="0.3">
      <c r="A2091">
        <v>2016</v>
      </c>
      <c r="B2091" t="s">
        <v>53</v>
      </c>
      <c r="C2091">
        <v>50975</v>
      </c>
      <c r="D2091">
        <v>2996.6</v>
      </c>
      <c r="E2091">
        <v>42</v>
      </c>
      <c r="F2091" t="s">
        <v>62</v>
      </c>
      <c r="G2091" t="s">
        <v>21</v>
      </c>
      <c r="H2091">
        <v>874</v>
      </c>
      <c r="I2091">
        <v>57.5</v>
      </c>
      <c r="J2091" t="s">
        <v>32</v>
      </c>
      <c r="K2091">
        <v>1516</v>
      </c>
      <c r="L2091" t="s">
        <v>22</v>
      </c>
    </row>
    <row r="2092" spans="1:12" x14ac:dyDescent="0.3">
      <c r="A2092">
        <v>2017</v>
      </c>
      <c r="B2092" t="s">
        <v>53</v>
      </c>
      <c r="C2092">
        <v>206</v>
      </c>
      <c r="D2092">
        <v>3522.8</v>
      </c>
      <c r="E2092">
        <v>43</v>
      </c>
      <c r="F2092" t="s">
        <v>62</v>
      </c>
      <c r="G2092" t="s">
        <v>21</v>
      </c>
      <c r="H2092">
        <v>592</v>
      </c>
      <c r="I2092">
        <v>57</v>
      </c>
      <c r="J2092" t="s">
        <v>33</v>
      </c>
      <c r="K2092">
        <v>200000</v>
      </c>
      <c r="L2092" t="s">
        <v>22</v>
      </c>
    </row>
    <row r="2093" spans="1:12" x14ac:dyDescent="0.3">
      <c r="A2093">
        <v>2018</v>
      </c>
      <c r="B2093" t="s">
        <v>53</v>
      </c>
      <c r="C2093">
        <v>10922</v>
      </c>
      <c r="D2093">
        <v>3522.8</v>
      </c>
      <c r="E2093">
        <v>27</v>
      </c>
      <c r="F2093" t="s">
        <v>62</v>
      </c>
      <c r="G2093" t="s">
        <v>21</v>
      </c>
      <c r="H2093">
        <v>864</v>
      </c>
      <c r="I2093">
        <v>55</v>
      </c>
      <c r="J2093" t="s">
        <v>33</v>
      </c>
      <c r="K2093">
        <v>4847</v>
      </c>
      <c r="L2093" t="s">
        <v>22</v>
      </c>
    </row>
    <row r="2094" spans="1:12" x14ac:dyDescent="0.3">
      <c r="A2094">
        <v>2004</v>
      </c>
      <c r="B2094" t="s">
        <v>53</v>
      </c>
      <c r="C2094">
        <v>51390</v>
      </c>
      <c r="D2094">
        <v>3522.8</v>
      </c>
      <c r="E2094">
        <v>27</v>
      </c>
      <c r="F2094" t="s">
        <v>62</v>
      </c>
      <c r="G2094" t="s">
        <v>21</v>
      </c>
      <c r="H2094">
        <v>5373</v>
      </c>
      <c r="I2094">
        <v>56</v>
      </c>
      <c r="J2094" t="s">
        <v>33</v>
      </c>
      <c r="K2094">
        <v>51239</v>
      </c>
      <c r="L2094" t="s">
        <v>22</v>
      </c>
    </row>
    <row r="2095" spans="1:12" x14ac:dyDescent="0.3">
      <c r="A2095">
        <v>2005</v>
      </c>
      <c r="B2095" t="s">
        <v>53</v>
      </c>
      <c r="C2095">
        <v>177</v>
      </c>
      <c r="D2095">
        <v>3729.8</v>
      </c>
      <c r="E2095">
        <v>27</v>
      </c>
      <c r="F2095" t="s">
        <v>62</v>
      </c>
      <c r="G2095" t="s">
        <v>21</v>
      </c>
      <c r="H2095">
        <v>6589</v>
      </c>
      <c r="I2095">
        <v>54</v>
      </c>
      <c r="J2095" t="s">
        <v>33</v>
      </c>
      <c r="K2095">
        <v>216396</v>
      </c>
      <c r="L2095" t="s">
        <v>22</v>
      </c>
    </row>
    <row r="2096" spans="1:12" x14ac:dyDescent="0.3">
      <c r="A2096">
        <v>2006</v>
      </c>
      <c r="B2096" t="s">
        <v>53</v>
      </c>
      <c r="C2096">
        <v>10723</v>
      </c>
      <c r="D2096">
        <v>3729.8</v>
      </c>
      <c r="E2096">
        <v>27</v>
      </c>
      <c r="F2096" t="s">
        <v>62</v>
      </c>
      <c r="G2096" t="s">
        <v>21</v>
      </c>
      <c r="H2096">
        <v>5107</v>
      </c>
      <c r="I2096">
        <v>58</v>
      </c>
      <c r="J2096" t="s">
        <v>33</v>
      </c>
      <c r="K2096">
        <v>2644</v>
      </c>
      <c r="L2096" t="s">
        <v>22</v>
      </c>
    </row>
    <row r="2097" spans="1:12" x14ac:dyDescent="0.3">
      <c r="A2097">
        <v>2007</v>
      </c>
      <c r="B2097" t="s">
        <v>53</v>
      </c>
      <c r="C2097">
        <v>51709</v>
      </c>
      <c r="D2097">
        <v>3729.8</v>
      </c>
      <c r="E2097">
        <v>27</v>
      </c>
      <c r="F2097" t="s">
        <v>62</v>
      </c>
      <c r="G2097" t="s">
        <v>21</v>
      </c>
      <c r="H2097">
        <v>5518</v>
      </c>
      <c r="I2097">
        <v>58</v>
      </c>
      <c r="J2097" t="s">
        <v>33</v>
      </c>
      <c r="K2097">
        <v>44235</v>
      </c>
      <c r="L2097" t="s">
        <v>22</v>
      </c>
    </row>
    <row r="2098" spans="1:12" x14ac:dyDescent="0.3">
      <c r="A2098">
        <v>2008</v>
      </c>
      <c r="B2098" t="s">
        <v>53</v>
      </c>
      <c r="C2098">
        <v>146</v>
      </c>
      <c r="D2098">
        <v>2746.2</v>
      </c>
      <c r="E2098">
        <v>27</v>
      </c>
      <c r="F2098" t="s">
        <v>62</v>
      </c>
      <c r="G2098" t="s">
        <v>21</v>
      </c>
      <c r="H2098">
        <v>4912</v>
      </c>
      <c r="I2098">
        <v>59</v>
      </c>
      <c r="J2098" t="s">
        <v>33</v>
      </c>
      <c r="K2098">
        <v>203317</v>
      </c>
      <c r="L2098" t="s">
        <v>22</v>
      </c>
    </row>
    <row r="2099" spans="1:12" x14ac:dyDescent="0.3">
      <c r="A2099">
        <v>2009</v>
      </c>
      <c r="B2099" t="s">
        <v>53</v>
      </c>
      <c r="C2099">
        <v>10910</v>
      </c>
      <c r="D2099">
        <v>2746.2</v>
      </c>
      <c r="E2099">
        <v>27</v>
      </c>
      <c r="F2099" t="s">
        <v>62</v>
      </c>
      <c r="G2099" t="s">
        <v>21</v>
      </c>
      <c r="H2099">
        <v>3830</v>
      </c>
      <c r="I2099">
        <v>50</v>
      </c>
      <c r="J2099" t="s">
        <v>33</v>
      </c>
      <c r="K2099">
        <v>2134</v>
      </c>
      <c r="L2099" t="s">
        <v>22</v>
      </c>
    </row>
    <row r="2100" spans="1:12" x14ac:dyDescent="0.3">
      <c r="A2100">
        <v>2010</v>
      </c>
      <c r="B2100" t="s">
        <v>53</v>
      </c>
      <c r="C2100">
        <v>51355</v>
      </c>
      <c r="D2100">
        <v>2746.2</v>
      </c>
      <c r="E2100">
        <v>27</v>
      </c>
      <c r="F2100" t="s">
        <v>62</v>
      </c>
      <c r="G2100" t="s">
        <v>21</v>
      </c>
      <c r="H2100">
        <v>4</v>
      </c>
      <c r="I2100">
        <v>54</v>
      </c>
      <c r="J2100" t="s">
        <v>33</v>
      </c>
      <c r="K2100">
        <v>45186</v>
      </c>
      <c r="L2100" t="s">
        <v>22</v>
      </c>
    </row>
    <row r="2101" spans="1:12" x14ac:dyDescent="0.3">
      <c r="A2101">
        <v>2011</v>
      </c>
      <c r="B2101" t="s">
        <v>53</v>
      </c>
      <c r="C2101">
        <v>160</v>
      </c>
      <c r="D2101">
        <v>3360</v>
      </c>
      <c r="E2101">
        <v>27.2</v>
      </c>
      <c r="F2101" t="s">
        <v>62</v>
      </c>
      <c r="G2101" t="s">
        <v>21</v>
      </c>
      <c r="H2101">
        <v>9</v>
      </c>
      <c r="I2101">
        <v>53</v>
      </c>
      <c r="J2101" t="s">
        <v>33</v>
      </c>
      <c r="K2101">
        <v>238542</v>
      </c>
      <c r="L2101" t="s">
        <v>22</v>
      </c>
    </row>
    <row r="2102" spans="1:12" x14ac:dyDescent="0.3">
      <c r="A2102">
        <v>2012</v>
      </c>
      <c r="B2102" t="s">
        <v>53</v>
      </c>
      <c r="C2102">
        <v>10912</v>
      </c>
      <c r="D2102">
        <v>3360</v>
      </c>
      <c r="E2102">
        <v>27.2</v>
      </c>
      <c r="F2102" t="s">
        <v>50</v>
      </c>
      <c r="G2102" t="s">
        <v>21</v>
      </c>
      <c r="H2102">
        <v>12</v>
      </c>
      <c r="I2102">
        <v>52</v>
      </c>
      <c r="J2102" t="s">
        <v>33</v>
      </c>
      <c r="K2102">
        <v>1516</v>
      </c>
      <c r="L2102" t="s">
        <v>22</v>
      </c>
    </row>
    <row r="2103" spans="1:12" x14ac:dyDescent="0.3">
      <c r="A2103">
        <v>2013</v>
      </c>
      <c r="B2103" t="s">
        <v>53</v>
      </c>
      <c r="C2103">
        <v>51353</v>
      </c>
      <c r="D2103">
        <v>3360</v>
      </c>
      <c r="E2103">
        <v>27.2</v>
      </c>
      <c r="F2103" t="s">
        <v>50</v>
      </c>
      <c r="G2103" t="s">
        <v>21</v>
      </c>
      <c r="H2103">
        <v>2089</v>
      </c>
      <c r="I2103">
        <v>51</v>
      </c>
      <c r="J2103" t="s">
        <v>33</v>
      </c>
      <c r="K2103">
        <v>57259</v>
      </c>
      <c r="L2103" t="s">
        <v>22</v>
      </c>
    </row>
    <row r="2104" spans="1:12" x14ac:dyDescent="0.3">
      <c r="A2104">
        <v>2014</v>
      </c>
      <c r="B2104" t="s">
        <v>53</v>
      </c>
      <c r="C2104">
        <v>142</v>
      </c>
      <c r="D2104">
        <v>3605.4</v>
      </c>
      <c r="E2104">
        <v>27</v>
      </c>
      <c r="F2104" t="s">
        <v>50</v>
      </c>
      <c r="G2104" t="s">
        <v>21</v>
      </c>
      <c r="H2104">
        <v>2810</v>
      </c>
      <c r="I2104">
        <v>57</v>
      </c>
      <c r="J2104" t="s">
        <v>33</v>
      </c>
      <c r="K2104">
        <v>234779</v>
      </c>
      <c r="L2104" t="s">
        <v>22</v>
      </c>
    </row>
    <row r="2105" spans="1:12" x14ac:dyDescent="0.3">
      <c r="A2105">
        <v>2015</v>
      </c>
      <c r="B2105" t="s">
        <v>53</v>
      </c>
      <c r="C2105">
        <v>10505</v>
      </c>
      <c r="D2105">
        <v>3605.4</v>
      </c>
      <c r="E2105">
        <v>27</v>
      </c>
      <c r="F2105" t="s">
        <v>50</v>
      </c>
      <c r="G2105" t="s">
        <v>21</v>
      </c>
      <c r="H2105">
        <v>841</v>
      </c>
      <c r="I2105">
        <v>57</v>
      </c>
      <c r="J2105" t="s">
        <v>33</v>
      </c>
      <c r="K2105">
        <v>1493</v>
      </c>
      <c r="L2105" t="s">
        <v>22</v>
      </c>
    </row>
    <row r="2106" spans="1:12" x14ac:dyDescent="0.3">
      <c r="A2106">
        <v>2016</v>
      </c>
      <c r="B2106" t="s">
        <v>53</v>
      </c>
      <c r="C2106">
        <v>51040</v>
      </c>
      <c r="D2106">
        <v>3605.4</v>
      </c>
      <c r="E2106">
        <v>27</v>
      </c>
      <c r="F2106" t="s">
        <v>50</v>
      </c>
      <c r="G2106" t="s">
        <v>21</v>
      </c>
      <c r="H2106">
        <v>3550</v>
      </c>
      <c r="I2106">
        <v>60</v>
      </c>
      <c r="J2106" t="s">
        <v>33</v>
      </c>
      <c r="K2106">
        <v>64409</v>
      </c>
      <c r="L2106" t="s">
        <v>22</v>
      </c>
    </row>
    <row r="2107" spans="1:12" x14ac:dyDescent="0.3">
      <c r="A2107">
        <v>2017</v>
      </c>
      <c r="B2107" t="s">
        <v>53</v>
      </c>
      <c r="C2107">
        <v>154</v>
      </c>
      <c r="D2107">
        <v>3512.4</v>
      </c>
      <c r="E2107">
        <v>27</v>
      </c>
      <c r="F2107" t="s">
        <v>50</v>
      </c>
      <c r="G2107" t="s">
        <v>21</v>
      </c>
      <c r="H2107">
        <v>109</v>
      </c>
      <c r="I2107">
        <v>57</v>
      </c>
      <c r="J2107" t="s">
        <v>35</v>
      </c>
      <c r="K2107">
        <v>249978</v>
      </c>
      <c r="L2107" t="s">
        <v>22</v>
      </c>
    </row>
    <row r="2108" spans="1:12" x14ac:dyDescent="0.3">
      <c r="A2108">
        <v>2004</v>
      </c>
      <c r="B2108" t="s">
        <v>53</v>
      </c>
      <c r="C2108">
        <v>10318</v>
      </c>
      <c r="D2108">
        <v>3512.4</v>
      </c>
      <c r="E2108">
        <v>27</v>
      </c>
      <c r="F2108" t="s">
        <v>50</v>
      </c>
      <c r="G2108" t="s">
        <v>21</v>
      </c>
      <c r="H2108">
        <v>3368</v>
      </c>
      <c r="I2108">
        <v>57</v>
      </c>
      <c r="J2108" t="s">
        <v>35</v>
      </c>
      <c r="K2108">
        <v>637</v>
      </c>
      <c r="L2108" t="s">
        <v>22</v>
      </c>
    </row>
    <row r="2109" spans="1:12" x14ac:dyDescent="0.3">
      <c r="A2109">
        <v>2004</v>
      </c>
      <c r="B2109" t="s">
        <v>53</v>
      </c>
      <c r="C2109">
        <v>48083</v>
      </c>
      <c r="D2109">
        <v>3512.4</v>
      </c>
      <c r="E2109">
        <v>27</v>
      </c>
      <c r="F2109" t="s">
        <v>50</v>
      </c>
      <c r="G2109" t="s">
        <v>21</v>
      </c>
      <c r="H2109">
        <v>3671</v>
      </c>
      <c r="I2109">
        <v>54</v>
      </c>
      <c r="J2109" t="s">
        <v>35</v>
      </c>
      <c r="K2109">
        <v>43311</v>
      </c>
      <c r="L2109" t="s">
        <v>22</v>
      </c>
    </row>
    <row r="2110" spans="1:12" x14ac:dyDescent="0.3">
      <c r="A2110">
        <v>2004</v>
      </c>
      <c r="B2110" t="s">
        <v>53</v>
      </c>
      <c r="C2110">
        <v>143</v>
      </c>
      <c r="D2110">
        <v>3296</v>
      </c>
      <c r="E2110">
        <v>27.2</v>
      </c>
      <c r="F2110" t="s">
        <v>50</v>
      </c>
      <c r="G2110" t="s">
        <v>21</v>
      </c>
      <c r="H2110">
        <v>2404</v>
      </c>
      <c r="I2110">
        <v>54.5</v>
      </c>
      <c r="J2110" t="s">
        <v>35</v>
      </c>
      <c r="K2110">
        <v>24848</v>
      </c>
      <c r="L2110" t="s">
        <v>22</v>
      </c>
    </row>
    <row r="2111" spans="1:12" x14ac:dyDescent="0.3">
      <c r="A2111">
        <v>2004</v>
      </c>
      <c r="B2111" t="s">
        <v>53</v>
      </c>
      <c r="C2111">
        <v>9283</v>
      </c>
      <c r="D2111">
        <v>3296</v>
      </c>
      <c r="E2111">
        <v>27.2</v>
      </c>
      <c r="F2111" t="s">
        <v>50</v>
      </c>
      <c r="G2111" t="s">
        <v>21</v>
      </c>
      <c r="H2111">
        <v>2805</v>
      </c>
      <c r="I2111">
        <v>56.6</v>
      </c>
      <c r="J2111" t="s">
        <v>35</v>
      </c>
      <c r="K2111">
        <v>761</v>
      </c>
      <c r="L2111" t="s">
        <v>22</v>
      </c>
    </row>
    <row r="2112" spans="1:12" x14ac:dyDescent="0.3">
      <c r="A2112">
        <v>2004</v>
      </c>
      <c r="B2112" t="s">
        <v>53</v>
      </c>
      <c r="C2112">
        <v>47200</v>
      </c>
      <c r="D2112">
        <v>3296</v>
      </c>
      <c r="E2112">
        <v>27.2</v>
      </c>
      <c r="F2112" t="s">
        <v>50</v>
      </c>
      <c r="G2112" t="s">
        <v>21</v>
      </c>
      <c r="H2112">
        <v>2331</v>
      </c>
      <c r="I2112">
        <v>55.5</v>
      </c>
      <c r="J2112" t="s">
        <v>35</v>
      </c>
      <c r="K2112">
        <v>45608</v>
      </c>
      <c r="L2112" t="s">
        <v>22</v>
      </c>
    </row>
    <row r="2113" spans="1:12" x14ac:dyDescent="0.3">
      <c r="A2113">
        <v>2004</v>
      </c>
      <c r="B2113" t="s">
        <v>53</v>
      </c>
      <c r="C2113">
        <v>158</v>
      </c>
      <c r="D2113">
        <v>3550</v>
      </c>
      <c r="E2113">
        <v>27.1</v>
      </c>
      <c r="F2113" t="s">
        <v>50</v>
      </c>
      <c r="G2113" t="s">
        <v>21</v>
      </c>
      <c r="H2113">
        <v>2088</v>
      </c>
      <c r="I2113">
        <v>58.5</v>
      </c>
      <c r="J2113" t="s">
        <v>35</v>
      </c>
      <c r="K2113">
        <v>234581</v>
      </c>
      <c r="L2113" t="s">
        <v>22</v>
      </c>
    </row>
    <row r="2114" spans="1:12" x14ac:dyDescent="0.3">
      <c r="A2114">
        <v>2004</v>
      </c>
      <c r="B2114" t="s">
        <v>53</v>
      </c>
      <c r="C2114">
        <v>8982</v>
      </c>
      <c r="D2114">
        <v>3550</v>
      </c>
      <c r="E2114">
        <v>27.1</v>
      </c>
      <c r="F2114" t="s">
        <v>50</v>
      </c>
      <c r="G2114" t="s">
        <v>21</v>
      </c>
      <c r="H2114">
        <v>2628</v>
      </c>
      <c r="I2114">
        <v>59.5</v>
      </c>
      <c r="J2114" t="s">
        <v>35</v>
      </c>
      <c r="K2114">
        <v>646</v>
      </c>
      <c r="L2114" t="s">
        <v>22</v>
      </c>
    </row>
    <row r="2115" spans="1:12" x14ac:dyDescent="0.3">
      <c r="A2115">
        <v>2004</v>
      </c>
      <c r="B2115" t="s">
        <v>53</v>
      </c>
      <c r="C2115">
        <v>46990</v>
      </c>
      <c r="D2115">
        <v>3550</v>
      </c>
      <c r="E2115">
        <v>27.1</v>
      </c>
      <c r="F2115" t="s">
        <v>50</v>
      </c>
      <c r="G2115" t="s">
        <v>21</v>
      </c>
      <c r="H2115">
        <v>1939</v>
      </c>
      <c r="I2115">
        <v>55</v>
      </c>
      <c r="J2115" t="s">
        <v>35</v>
      </c>
      <c r="K2115">
        <v>43562</v>
      </c>
      <c r="L2115" t="s">
        <v>22</v>
      </c>
    </row>
    <row r="2116" spans="1:12" x14ac:dyDescent="0.3">
      <c r="A2116">
        <v>2004</v>
      </c>
      <c r="B2116" t="s">
        <v>53</v>
      </c>
      <c r="C2116">
        <v>103</v>
      </c>
      <c r="D2116">
        <v>3654</v>
      </c>
      <c r="E2116">
        <v>26.8</v>
      </c>
      <c r="F2116" t="s">
        <v>50</v>
      </c>
      <c r="G2116" t="s">
        <v>21</v>
      </c>
      <c r="H2116">
        <v>1871</v>
      </c>
      <c r="I2116">
        <v>53</v>
      </c>
      <c r="J2116" t="s">
        <v>35</v>
      </c>
      <c r="K2116">
        <v>200000</v>
      </c>
      <c r="L2116" t="s">
        <v>22</v>
      </c>
    </row>
    <row r="2117" spans="1:12" x14ac:dyDescent="0.3">
      <c r="A2117">
        <v>2004</v>
      </c>
      <c r="B2117" t="s">
        <v>53</v>
      </c>
      <c r="C2117">
        <v>8239</v>
      </c>
      <c r="D2117">
        <v>3654</v>
      </c>
      <c r="E2117">
        <v>26.8</v>
      </c>
      <c r="F2117" t="s">
        <v>50</v>
      </c>
      <c r="G2117" t="s">
        <v>21</v>
      </c>
      <c r="H2117">
        <v>1868</v>
      </c>
      <c r="I2117">
        <v>53.5</v>
      </c>
      <c r="J2117" t="s">
        <v>35</v>
      </c>
      <c r="K2117">
        <v>4847</v>
      </c>
      <c r="L2117" t="s">
        <v>22</v>
      </c>
    </row>
    <row r="2118" spans="1:12" x14ac:dyDescent="0.3">
      <c r="A2118">
        <v>2004</v>
      </c>
      <c r="B2118" t="s">
        <v>53</v>
      </c>
      <c r="C2118">
        <v>44563</v>
      </c>
      <c r="D2118">
        <v>3654</v>
      </c>
      <c r="E2118">
        <v>27.1</v>
      </c>
      <c r="F2118" t="s">
        <v>50</v>
      </c>
      <c r="G2118" t="s">
        <v>21</v>
      </c>
      <c r="H2118">
        <v>127919</v>
      </c>
      <c r="I2118">
        <v>52.5</v>
      </c>
      <c r="J2118" t="s">
        <v>35</v>
      </c>
      <c r="K2118">
        <v>51239</v>
      </c>
      <c r="L2118" t="s">
        <v>22</v>
      </c>
    </row>
    <row r="2119" spans="1:12" x14ac:dyDescent="0.3">
      <c r="A2119">
        <v>2004</v>
      </c>
      <c r="B2119" t="s">
        <v>53</v>
      </c>
      <c r="C2119">
        <v>96</v>
      </c>
      <c r="D2119">
        <v>233</v>
      </c>
      <c r="E2119">
        <v>27.1</v>
      </c>
      <c r="F2119" t="s">
        <v>50</v>
      </c>
      <c r="G2119" t="s">
        <v>21</v>
      </c>
      <c r="H2119">
        <v>75340</v>
      </c>
      <c r="I2119">
        <v>56</v>
      </c>
      <c r="J2119" t="s">
        <v>35</v>
      </c>
      <c r="K2119">
        <v>216396</v>
      </c>
      <c r="L2119" t="s">
        <v>22</v>
      </c>
    </row>
    <row r="2120" spans="1:12" x14ac:dyDescent="0.3">
      <c r="A2120">
        <v>2004</v>
      </c>
      <c r="B2120" t="s">
        <v>53</v>
      </c>
      <c r="C2120">
        <v>6949</v>
      </c>
      <c r="D2120">
        <v>233</v>
      </c>
      <c r="E2120">
        <v>26.8</v>
      </c>
      <c r="F2120" t="s">
        <v>50</v>
      </c>
      <c r="G2120" t="s">
        <v>21</v>
      </c>
      <c r="H2120">
        <v>29170</v>
      </c>
      <c r="I2120">
        <v>57</v>
      </c>
      <c r="J2120" t="s">
        <v>35</v>
      </c>
      <c r="K2120">
        <v>2644</v>
      </c>
      <c r="L2120" t="s">
        <v>22</v>
      </c>
    </row>
    <row r="2121" spans="1:12" x14ac:dyDescent="0.3">
      <c r="A2121">
        <v>2004</v>
      </c>
      <c r="B2121" t="s">
        <v>53</v>
      </c>
      <c r="C2121">
        <v>44663</v>
      </c>
      <c r="D2121">
        <v>233</v>
      </c>
      <c r="E2121">
        <v>26.8</v>
      </c>
      <c r="F2121" t="s">
        <v>50</v>
      </c>
      <c r="G2121" t="s">
        <v>21</v>
      </c>
      <c r="H2121">
        <v>1901</v>
      </c>
      <c r="I2121">
        <v>57.5</v>
      </c>
      <c r="J2121" t="s">
        <v>35</v>
      </c>
      <c r="K2121">
        <v>44235</v>
      </c>
      <c r="L2121" t="s">
        <v>22</v>
      </c>
    </row>
    <row r="2122" spans="1:12" x14ac:dyDescent="0.3">
      <c r="A2122">
        <v>2004</v>
      </c>
      <c r="B2122" t="s">
        <v>53</v>
      </c>
      <c r="C2122">
        <v>110</v>
      </c>
      <c r="D2122">
        <v>234</v>
      </c>
      <c r="E2122">
        <v>26.8</v>
      </c>
      <c r="F2122" t="s">
        <v>50</v>
      </c>
      <c r="G2122" t="s">
        <v>21</v>
      </c>
      <c r="H2122">
        <v>972</v>
      </c>
      <c r="I2122">
        <v>57</v>
      </c>
      <c r="J2122" t="s">
        <v>37</v>
      </c>
      <c r="K2122">
        <v>203317</v>
      </c>
      <c r="L2122" t="s">
        <v>22</v>
      </c>
    </row>
    <row r="2123" spans="1:12" x14ac:dyDescent="0.3">
      <c r="A2123">
        <v>2004</v>
      </c>
      <c r="B2123" t="s">
        <v>53</v>
      </c>
      <c r="C2123">
        <v>6824</v>
      </c>
      <c r="D2123">
        <v>234</v>
      </c>
      <c r="E2123">
        <v>37</v>
      </c>
      <c r="F2123" t="s">
        <v>50</v>
      </c>
      <c r="G2123" t="s">
        <v>21</v>
      </c>
      <c r="H2123">
        <v>874</v>
      </c>
      <c r="I2123">
        <v>55</v>
      </c>
      <c r="J2123" t="s">
        <v>37</v>
      </c>
      <c r="K2123">
        <v>2134</v>
      </c>
      <c r="L2123" t="s">
        <v>22</v>
      </c>
    </row>
    <row r="2124" spans="1:12" x14ac:dyDescent="0.3">
      <c r="A2124">
        <v>2004</v>
      </c>
      <c r="B2124" t="s">
        <v>53</v>
      </c>
      <c r="C2124">
        <v>43013</v>
      </c>
      <c r="D2124">
        <v>234</v>
      </c>
      <c r="E2124">
        <v>37</v>
      </c>
      <c r="F2124" t="s">
        <v>50</v>
      </c>
      <c r="G2124" t="s">
        <v>21</v>
      </c>
      <c r="H2124">
        <v>592</v>
      </c>
      <c r="I2124">
        <v>56</v>
      </c>
      <c r="J2124" t="s">
        <v>37</v>
      </c>
      <c r="K2124">
        <v>45186</v>
      </c>
      <c r="L2124" t="s">
        <v>22</v>
      </c>
    </row>
    <row r="2125" spans="1:12" x14ac:dyDescent="0.3">
      <c r="A2125">
        <v>2004</v>
      </c>
      <c r="B2125" t="s">
        <v>53</v>
      </c>
      <c r="C2125">
        <v>95</v>
      </c>
      <c r="D2125">
        <v>3105</v>
      </c>
      <c r="E2125">
        <v>37</v>
      </c>
      <c r="F2125" t="s">
        <v>50</v>
      </c>
      <c r="G2125" t="s">
        <v>21</v>
      </c>
      <c r="H2125">
        <v>864</v>
      </c>
      <c r="I2125">
        <v>54</v>
      </c>
      <c r="J2125" t="s">
        <v>37</v>
      </c>
      <c r="K2125">
        <v>238542</v>
      </c>
      <c r="L2125" t="s">
        <v>22</v>
      </c>
    </row>
    <row r="2126" spans="1:12" x14ac:dyDescent="0.3">
      <c r="A2126">
        <v>2004</v>
      </c>
      <c r="B2126" t="s">
        <v>53</v>
      </c>
      <c r="C2126">
        <v>6441</v>
      </c>
      <c r="D2126">
        <v>3105</v>
      </c>
      <c r="E2126">
        <v>38</v>
      </c>
      <c r="F2126" t="s">
        <v>50</v>
      </c>
      <c r="G2126" t="s">
        <v>21</v>
      </c>
      <c r="H2126">
        <v>5373</v>
      </c>
      <c r="I2126">
        <v>58</v>
      </c>
      <c r="J2126" t="s">
        <v>37</v>
      </c>
      <c r="K2126">
        <v>1516</v>
      </c>
      <c r="L2126" t="s">
        <v>22</v>
      </c>
    </row>
    <row r="2127" spans="1:12" x14ac:dyDescent="0.3">
      <c r="A2127">
        <v>2004</v>
      </c>
      <c r="B2127" t="s">
        <v>53</v>
      </c>
      <c r="C2127">
        <v>4012</v>
      </c>
      <c r="D2127">
        <v>3105</v>
      </c>
      <c r="E2127">
        <v>38</v>
      </c>
      <c r="F2127" t="s">
        <v>50</v>
      </c>
      <c r="G2127" t="s">
        <v>21</v>
      </c>
      <c r="H2127">
        <v>6589</v>
      </c>
      <c r="I2127">
        <v>58</v>
      </c>
      <c r="J2127" t="s">
        <v>37</v>
      </c>
      <c r="K2127">
        <v>57259</v>
      </c>
      <c r="L2127" t="s">
        <v>22</v>
      </c>
    </row>
    <row r="2128" spans="1:12" x14ac:dyDescent="0.3">
      <c r="A2128">
        <v>2004</v>
      </c>
      <c r="B2128" t="s">
        <v>53</v>
      </c>
      <c r="C2128">
        <v>4877</v>
      </c>
      <c r="D2128">
        <v>236</v>
      </c>
      <c r="E2128">
        <v>38</v>
      </c>
      <c r="F2128" t="s">
        <v>50</v>
      </c>
      <c r="G2128" t="s">
        <v>26</v>
      </c>
      <c r="H2128">
        <v>5107</v>
      </c>
      <c r="I2128">
        <v>59</v>
      </c>
      <c r="J2128" t="s">
        <v>37</v>
      </c>
      <c r="K2128">
        <v>234779</v>
      </c>
      <c r="L2128" t="s">
        <v>22</v>
      </c>
    </row>
    <row r="2129" spans="1:12" x14ac:dyDescent="0.3">
      <c r="A2129">
        <v>2004</v>
      </c>
      <c r="B2129" t="s">
        <v>53</v>
      </c>
      <c r="C2129">
        <v>4930</v>
      </c>
      <c r="D2129">
        <v>236</v>
      </c>
      <c r="E2129">
        <v>39</v>
      </c>
      <c r="F2129" t="s">
        <v>50</v>
      </c>
      <c r="G2129" t="s">
        <v>26</v>
      </c>
      <c r="H2129">
        <v>5518</v>
      </c>
      <c r="I2129">
        <v>50</v>
      </c>
      <c r="J2129" t="s">
        <v>37</v>
      </c>
      <c r="K2129">
        <v>1493</v>
      </c>
      <c r="L2129" t="s">
        <v>22</v>
      </c>
    </row>
    <row r="2130" spans="1:12" x14ac:dyDescent="0.3">
      <c r="A2130">
        <v>2004</v>
      </c>
      <c r="B2130" t="s">
        <v>53</v>
      </c>
      <c r="C2130">
        <v>4954</v>
      </c>
      <c r="D2130">
        <v>2903.1</v>
      </c>
      <c r="E2130">
        <v>39</v>
      </c>
      <c r="F2130" t="s">
        <v>50</v>
      </c>
      <c r="G2130" t="s">
        <v>26</v>
      </c>
      <c r="H2130">
        <v>4912</v>
      </c>
      <c r="I2130">
        <v>54</v>
      </c>
      <c r="J2130" t="s">
        <v>37</v>
      </c>
      <c r="K2130">
        <v>64409</v>
      </c>
      <c r="L2130" t="s">
        <v>22</v>
      </c>
    </row>
    <row r="2131" spans="1:12" x14ac:dyDescent="0.3">
      <c r="A2131">
        <v>2004</v>
      </c>
      <c r="B2131" t="s">
        <v>53</v>
      </c>
      <c r="C2131">
        <v>5019</v>
      </c>
      <c r="D2131">
        <v>2903.1</v>
      </c>
      <c r="E2131">
        <v>39</v>
      </c>
      <c r="F2131" t="s">
        <v>50</v>
      </c>
      <c r="G2131" t="s">
        <v>26</v>
      </c>
      <c r="H2131">
        <v>3830</v>
      </c>
      <c r="I2131">
        <v>53</v>
      </c>
      <c r="J2131" t="s">
        <v>37</v>
      </c>
      <c r="K2131">
        <v>249978</v>
      </c>
      <c r="L2131" t="s">
        <v>22</v>
      </c>
    </row>
    <row r="2132" spans="1:12" x14ac:dyDescent="0.3">
      <c r="A2132">
        <v>2004</v>
      </c>
      <c r="B2132" t="s">
        <v>53</v>
      </c>
      <c r="C2132">
        <v>5127</v>
      </c>
      <c r="D2132">
        <v>2903.1</v>
      </c>
      <c r="E2132">
        <v>40</v>
      </c>
      <c r="F2132" t="s">
        <v>50</v>
      </c>
      <c r="G2132" t="s">
        <v>26</v>
      </c>
      <c r="H2132">
        <v>313547</v>
      </c>
      <c r="I2132">
        <v>52</v>
      </c>
      <c r="J2132" t="s">
        <v>37</v>
      </c>
      <c r="K2132">
        <v>637</v>
      </c>
      <c r="L2132" t="s">
        <v>22</v>
      </c>
    </row>
    <row r="2133" spans="1:12" x14ac:dyDescent="0.3">
      <c r="A2133">
        <v>2004</v>
      </c>
      <c r="B2133" t="s">
        <v>53</v>
      </c>
      <c r="C2133">
        <v>5174</v>
      </c>
      <c r="D2133">
        <v>2996.6</v>
      </c>
      <c r="E2133">
        <v>40</v>
      </c>
      <c r="F2133" t="s">
        <v>50</v>
      </c>
      <c r="G2133" t="s">
        <v>26</v>
      </c>
      <c r="H2133">
        <v>2783</v>
      </c>
      <c r="I2133">
        <v>51</v>
      </c>
      <c r="J2133" t="s">
        <v>37</v>
      </c>
      <c r="K2133">
        <v>43311</v>
      </c>
      <c r="L2133" t="s">
        <v>22</v>
      </c>
    </row>
    <row r="2134" spans="1:12" x14ac:dyDescent="0.3">
      <c r="A2134">
        <v>2004</v>
      </c>
      <c r="B2134" t="s">
        <v>53</v>
      </c>
      <c r="C2134">
        <v>5294</v>
      </c>
      <c r="D2134">
        <v>2996.6</v>
      </c>
      <c r="E2134">
        <v>40</v>
      </c>
      <c r="F2134" t="s">
        <v>50</v>
      </c>
      <c r="G2134" t="s">
        <v>26</v>
      </c>
      <c r="H2134">
        <v>1533</v>
      </c>
      <c r="I2134">
        <v>57</v>
      </c>
      <c r="J2134" t="s">
        <v>37</v>
      </c>
      <c r="K2134">
        <v>24848</v>
      </c>
      <c r="L2134" t="s">
        <v>22</v>
      </c>
    </row>
    <row r="2135" spans="1:12" x14ac:dyDescent="0.3">
      <c r="A2135">
        <v>2004</v>
      </c>
      <c r="B2135" t="s">
        <v>34</v>
      </c>
      <c r="C2135">
        <v>5474</v>
      </c>
      <c r="D2135">
        <v>2996.6</v>
      </c>
      <c r="E2135">
        <v>41</v>
      </c>
      <c r="F2135" t="s">
        <v>50</v>
      </c>
      <c r="G2135" t="s">
        <v>26</v>
      </c>
      <c r="H2135">
        <v>1647</v>
      </c>
      <c r="I2135">
        <v>57</v>
      </c>
      <c r="J2135" t="s">
        <v>37</v>
      </c>
      <c r="K2135">
        <v>761</v>
      </c>
      <c r="L2135" t="s">
        <v>22</v>
      </c>
    </row>
    <row r="2136" spans="1:12" x14ac:dyDescent="0.3">
      <c r="A2136">
        <v>2004</v>
      </c>
      <c r="B2136" t="s">
        <v>34</v>
      </c>
      <c r="C2136">
        <v>5864</v>
      </c>
      <c r="D2136">
        <v>3522.8</v>
      </c>
      <c r="E2136">
        <v>41</v>
      </c>
      <c r="F2136" t="s">
        <v>50</v>
      </c>
      <c r="G2136" t="s">
        <v>26</v>
      </c>
      <c r="H2136">
        <v>975</v>
      </c>
      <c r="I2136">
        <v>60</v>
      </c>
      <c r="J2136" t="s">
        <v>37</v>
      </c>
      <c r="K2136">
        <v>45608</v>
      </c>
      <c r="L2136" t="s">
        <v>22</v>
      </c>
    </row>
    <row r="2137" spans="1:12" x14ac:dyDescent="0.3">
      <c r="A2137">
        <v>2004</v>
      </c>
      <c r="B2137" t="s">
        <v>34</v>
      </c>
      <c r="C2137">
        <v>7028</v>
      </c>
      <c r="D2137">
        <v>3522.8</v>
      </c>
      <c r="E2137">
        <v>41</v>
      </c>
      <c r="F2137" t="s">
        <v>50</v>
      </c>
      <c r="G2137" t="s">
        <v>26</v>
      </c>
      <c r="H2137">
        <v>2</v>
      </c>
      <c r="I2137">
        <v>57</v>
      </c>
      <c r="J2137" t="s">
        <v>39</v>
      </c>
      <c r="K2137">
        <v>234581</v>
      </c>
      <c r="L2137" t="s">
        <v>22</v>
      </c>
    </row>
    <row r="2138" spans="1:12" x14ac:dyDescent="0.3">
      <c r="A2138">
        <v>2004</v>
      </c>
      <c r="B2138" t="s">
        <v>34</v>
      </c>
      <c r="C2138">
        <v>7403</v>
      </c>
      <c r="D2138">
        <v>3522.8</v>
      </c>
      <c r="E2138">
        <v>42</v>
      </c>
      <c r="F2138" t="s">
        <v>50</v>
      </c>
      <c r="G2138" t="s">
        <v>26</v>
      </c>
      <c r="H2138">
        <v>836</v>
      </c>
      <c r="I2138">
        <v>57</v>
      </c>
      <c r="J2138" t="s">
        <v>39</v>
      </c>
      <c r="K2138">
        <v>646</v>
      </c>
      <c r="L2138" t="s">
        <v>22</v>
      </c>
    </row>
    <row r="2139" spans="1:12" x14ac:dyDescent="0.3">
      <c r="A2139">
        <v>2004</v>
      </c>
      <c r="B2139" t="s">
        <v>34</v>
      </c>
      <c r="C2139">
        <v>7501</v>
      </c>
      <c r="D2139">
        <v>3729.8</v>
      </c>
      <c r="E2139">
        <v>42</v>
      </c>
      <c r="F2139" t="s">
        <v>50</v>
      </c>
      <c r="G2139" t="s">
        <v>26</v>
      </c>
      <c r="H2139">
        <v>806</v>
      </c>
      <c r="I2139">
        <v>54</v>
      </c>
      <c r="J2139" t="s">
        <v>39</v>
      </c>
      <c r="K2139">
        <v>43562</v>
      </c>
      <c r="L2139" t="s">
        <v>22</v>
      </c>
    </row>
    <row r="2140" spans="1:12" x14ac:dyDescent="0.3">
      <c r="A2140">
        <v>2004</v>
      </c>
      <c r="B2140" t="s">
        <v>34</v>
      </c>
      <c r="C2140">
        <v>7714</v>
      </c>
      <c r="D2140">
        <v>3729.8</v>
      </c>
      <c r="E2140">
        <v>42</v>
      </c>
      <c r="F2140" t="s">
        <v>50</v>
      </c>
      <c r="G2140" t="s">
        <v>26</v>
      </c>
      <c r="H2140">
        <v>880</v>
      </c>
      <c r="I2140">
        <v>54.5</v>
      </c>
      <c r="J2140" t="s">
        <v>39</v>
      </c>
      <c r="K2140">
        <v>200000</v>
      </c>
      <c r="L2140" t="s">
        <v>22</v>
      </c>
    </row>
    <row r="2141" spans="1:12" x14ac:dyDescent="0.3">
      <c r="A2141">
        <v>2004</v>
      </c>
      <c r="B2141" t="s">
        <v>34</v>
      </c>
      <c r="C2141">
        <v>7856</v>
      </c>
      <c r="D2141">
        <v>3729.8</v>
      </c>
      <c r="E2141">
        <v>43</v>
      </c>
      <c r="F2141" t="s">
        <v>50</v>
      </c>
      <c r="G2141" t="s">
        <v>26</v>
      </c>
      <c r="H2141">
        <v>770</v>
      </c>
      <c r="I2141">
        <v>56.6</v>
      </c>
      <c r="J2141" t="s">
        <v>39</v>
      </c>
      <c r="K2141">
        <v>4847</v>
      </c>
      <c r="L2141" t="s">
        <v>22</v>
      </c>
    </row>
    <row r="2142" spans="1:12" x14ac:dyDescent="0.3">
      <c r="A2142">
        <v>2004</v>
      </c>
      <c r="B2142" t="s">
        <v>34</v>
      </c>
      <c r="C2142">
        <v>32</v>
      </c>
      <c r="D2142">
        <v>2746.2</v>
      </c>
      <c r="E2142">
        <v>27</v>
      </c>
      <c r="F2142" t="s">
        <v>50</v>
      </c>
      <c r="G2142" t="s">
        <v>26</v>
      </c>
      <c r="H2142">
        <v>395</v>
      </c>
      <c r="I2142">
        <v>55.5</v>
      </c>
      <c r="J2142" t="s">
        <v>39</v>
      </c>
      <c r="K2142">
        <v>51239</v>
      </c>
      <c r="L2142" t="s">
        <v>22</v>
      </c>
    </row>
    <row r="2143" spans="1:12" x14ac:dyDescent="0.3">
      <c r="A2143">
        <v>2004</v>
      </c>
      <c r="B2143" t="s">
        <v>34</v>
      </c>
      <c r="C2143">
        <v>1</v>
      </c>
      <c r="D2143">
        <v>2746.2</v>
      </c>
      <c r="E2143">
        <v>27</v>
      </c>
      <c r="F2143" t="s">
        <v>50</v>
      </c>
      <c r="G2143" t="s">
        <v>26</v>
      </c>
      <c r="H2143">
        <v>187</v>
      </c>
      <c r="I2143">
        <v>58.5</v>
      </c>
      <c r="J2143" t="s">
        <v>39</v>
      </c>
      <c r="K2143">
        <v>216396</v>
      </c>
      <c r="L2143" t="s">
        <v>22</v>
      </c>
    </row>
    <row r="2144" spans="1:12" x14ac:dyDescent="0.3">
      <c r="A2144">
        <v>2004</v>
      </c>
      <c r="B2144" t="s">
        <v>34</v>
      </c>
      <c r="C2144">
        <v>30</v>
      </c>
      <c r="D2144">
        <v>2746.2</v>
      </c>
      <c r="E2144">
        <v>27</v>
      </c>
      <c r="F2144" t="s">
        <v>50</v>
      </c>
      <c r="G2144" t="s">
        <v>26</v>
      </c>
      <c r="H2144">
        <v>187</v>
      </c>
      <c r="I2144">
        <v>59.5</v>
      </c>
      <c r="J2144" t="s">
        <v>39</v>
      </c>
      <c r="K2144">
        <v>2644</v>
      </c>
      <c r="L2144" t="s">
        <v>22</v>
      </c>
    </row>
    <row r="2145" spans="1:12" x14ac:dyDescent="0.3">
      <c r="A2145">
        <v>2004</v>
      </c>
      <c r="B2145" t="s">
        <v>34</v>
      </c>
      <c r="C2145">
        <v>6</v>
      </c>
      <c r="D2145">
        <v>3360</v>
      </c>
      <c r="E2145">
        <v>27</v>
      </c>
      <c r="F2145" t="s">
        <v>50</v>
      </c>
      <c r="G2145" t="s">
        <v>26</v>
      </c>
      <c r="H2145">
        <v>121</v>
      </c>
      <c r="I2145">
        <v>55</v>
      </c>
      <c r="J2145" t="s">
        <v>39</v>
      </c>
      <c r="K2145">
        <v>44235</v>
      </c>
      <c r="L2145" t="s">
        <v>22</v>
      </c>
    </row>
    <row r="2146" spans="1:12" x14ac:dyDescent="0.3">
      <c r="A2146">
        <v>2004</v>
      </c>
      <c r="B2146" t="s">
        <v>34</v>
      </c>
      <c r="C2146">
        <v>15</v>
      </c>
      <c r="D2146">
        <v>3360</v>
      </c>
      <c r="E2146">
        <v>27</v>
      </c>
      <c r="F2146" t="s">
        <v>50</v>
      </c>
      <c r="G2146" t="s">
        <v>26</v>
      </c>
      <c r="H2146">
        <v>103</v>
      </c>
      <c r="I2146">
        <v>53</v>
      </c>
      <c r="J2146" t="s">
        <v>39</v>
      </c>
      <c r="K2146">
        <v>203317</v>
      </c>
      <c r="L2146" t="s">
        <v>22</v>
      </c>
    </row>
    <row r="2147" spans="1:12" x14ac:dyDescent="0.3">
      <c r="A2147">
        <v>2004</v>
      </c>
      <c r="B2147" t="s">
        <v>34</v>
      </c>
      <c r="C2147">
        <v>4</v>
      </c>
      <c r="D2147">
        <v>3360</v>
      </c>
      <c r="E2147">
        <v>27</v>
      </c>
      <c r="F2147" t="s">
        <v>50</v>
      </c>
      <c r="G2147" t="s">
        <v>26</v>
      </c>
      <c r="H2147">
        <v>71</v>
      </c>
      <c r="I2147">
        <v>53.5</v>
      </c>
      <c r="J2147" t="s">
        <v>39</v>
      </c>
      <c r="K2147">
        <v>2134</v>
      </c>
      <c r="L2147" t="s">
        <v>22</v>
      </c>
    </row>
    <row r="2148" spans="1:12" x14ac:dyDescent="0.3">
      <c r="A2148">
        <v>2004</v>
      </c>
      <c r="B2148" t="s">
        <v>34</v>
      </c>
      <c r="C2148">
        <v>39</v>
      </c>
      <c r="D2148">
        <v>3605.4</v>
      </c>
      <c r="E2148">
        <v>27.2</v>
      </c>
      <c r="F2148" t="s">
        <v>50</v>
      </c>
      <c r="G2148" t="s">
        <v>26</v>
      </c>
      <c r="H2148">
        <v>3961</v>
      </c>
      <c r="I2148">
        <v>52.5</v>
      </c>
      <c r="J2148" t="s">
        <v>39</v>
      </c>
      <c r="K2148">
        <v>45186</v>
      </c>
      <c r="L2148" t="s">
        <v>22</v>
      </c>
    </row>
    <row r="2149" spans="1:12" x14ac:dyDescent="0.3">
      <c r="A2149">
        <v>2004</v>
      </c>
      <c r="B2149" t="s">
        <v>34</v>
      </c>
      <c r="C2149">
        <v>6</v>
      </c>
      <c r="D2149">
        <v>3605.4</v>
      </c>
      <c r="E2149">
        <v>27.2</v>
      </c>
      <c r="F2149" t="s">
        <v>50</v>
      </c>
      <c r="G2149" t="s">
        <v>26</v>
      </c>
      <c r="H2149">
        <v>4247</v>
      </c>
      <c r="I2149">
        <v>56</v>
      </c>
      <c r="J2149" t="s">
        <v>39</v>
      </c>
      <c r="K2149">
        <v>238542</v>
      </c>
      <c r="L2149" t="s">
        <v>22</v>
      </c>
    </row>
    <row r="2150" spans="1:12" x14ac:dyDescent="0.3">
      <c r="A2150">
        <v>2004</v>
      </c>
      <c r="B2150" t="s">
        <v>34</v>
      </c>
      <c r="C2150">
        <v>12</v>
      </c>
      <c r="D2150">
        <v>3605.4</v>
      </c>
      <c r="E2150">
        <v>27.2</v>
      </c>
      <c r="F2150" t="s">
        <v>50</v>
      </c>
      <c r="G2150" t="s">
        <v>26</v>
      </c>
      <c r="H2150">
        <v>3290</v>
      </c>
      <c r="I2150">
        <v>57</v>
      </c>
      <c r="J2150" t="s">
        <v>39</v>
      </c>
      <c r="K2150">
        <v>1516</v>
      </c>
      <c r="L2150" t="s">
        <v>22</v>
      </c>
    </row>
    <row r="2151" spans="1:12" x14ac:dyDescent="0.3">
      <c r="A2151">
        <v>2004</v>
      </c>
      <c r="B2151" t="s">
        <v>34</v>
      </c>
      <c r="C2151">
        <v>3</v>
      </c>
      <c r="D2151">
        <v>3512.4</v>
      </c>
      <c r="E2151">
        <v>27</v>
      </c>
      <c r="F2151" t="s">
        <v>50</v>
      </c>
      <c r="G2151" t="s">
        <v>26</v>
      </c>
      <c r="H2151">
        <v>3138</v>
      </c>
      <c r="I2151">
        <v>57.5</v>
      </c>
      <c r="J2151" t="s">
        <v>39</v>
      </c>
      <c r="K2151">
        <v>200000</v>
      </c>
      <c r="L2151" t="s">
        <v>22</v>
      </c>
    </row>
    <row r="2152" spans="1:12" x14ac:dyDescent="0.3">
      <c r="A2152">
        <v>2004</v>
      </c>
      <c r="B2152" t="s">
        <v>34</v>
      </c>
      <c r="C2152">
        <v>17</v>
      </c>
      <c r="D2152">
        <v>3512.4</v>
      </c>
      <c r="E2152">
        <v>27</v>
      </c>
      <c r="F2152" t="s">
        <v>62</v>
      </c>
      <c r="G2152" t="s">
        <v>26</v>
      </c>
      <c r="H2152">
        <v>3423</v>
      </c>
      <c r="I2152">
        <v>57</v>
      </c>
      <c r="J2152" t="s">
        <v>40</v>
      </c>
      <c r="K2152">
        <v>4847</v>
      </c>
      <c r="L2152" t="s">
        <v>22</v>
      </c>
    </row>
    <row r="2153" spans="1:12" x14ac:dyDescent="0.3">
      <c r="A2153">
        <v>2004</v>
      </c>
      <c r="B2153" t="s">
        <v>34</v>
      </c>
      <c r="C2153">
        <v>3</v>
      </c>
      <c r="D2153">
        <v>3512.4</v>
      </c>
      <c r="E2153">
        <v>27</v>
      </c>
      <c r="F2153" t="s">
        <v>62</v>
      </c>
      <c r="G2153" t="s">
        <v>26</v>
      </c>
      <c r="H2153">
        <v>3899</v>
      </c>
      <c r="I2153">
        <v>55</v>
      </c>
      <c r="J2153" t="s">
        <v>40</v>
      </c>
      <c r="K2153">
        <v>51239</v>
      </c>
      <c r="L2153" t="s">
        <v>22</v>
      </c>
    </row>
    <row r="2154" spans="1:12" x14ac:dyDescent="0.3">
      <c r="A2154">
        <v>2004</v>
      </c>
      <c r="B2154" t="s">
        <v>34</v>
      </c>
      <c r="C2154">
        <v>9</v>
      </c>
      <c r="D2154">
        <v>3296</v>
      </c>
      <c r="E2154">
        <v>27</v>
      </c>
      <c r="F2154" t="s">
        <v>62</v>
      </c>
      <c r="G2154" t="s">
        <v>26</v>
      </c>
      <c r="H2154">
        <v>4015</v>
      </c>
      <c r="I2154">
        <v>56</v>
      </c>
      <c r="J2154" t="s">
        <v>40</v>
      </c>
      <c r="K2154">
        <v>216396</v>
      </c>
      <c r="L2154" t="s">
        <v>22</v>
      </c>
    </row>
    <row r="2155" spans="1:12" x14ac:dyDescent="0.3">
      <c r="A2155">
        <v>2004</v>
      </c>
      <c r="B2155" t="s">
        <v>34</v>
      </c>
      <c r="C2155">
        <v>21</v>
      </c>
      <c r="D2155">
        <v>3296</v>
      </c>
      <c r="E2155">
        <v>27</v>
      </c>
      <c r="F2155" t="s">
        <v>62</v>
      </c>
      <c r="G2155" t="s">
        <v>26</v>
      </c>
      <c r="H2155">
        <v>4279</v>
      </c>
      <c r="I2155">
        <v>54</v>
      </c>
      <c r="J2155" t="s">
        <v>40</v>
      </c>
      <c r="K2155">
        <v>2644</v>
      </c>
      <c r="L2155" t="s">
        <v>22</v>
      </c>
    </row>
    <row r="2156" spans="1:12" x14ac:dyDescent="0.3">
      <c r="A2156">
        <v>2004</v>
      </c>
      <c r="B2156" t="s">
        <v>34</v>
      </c>
      <c r="C2156">
        <v>11</v>
      </c>
      <c r="D2156">
        <v>3296</v>
      </c>
      <c r="E2156">
        <v>27</v>
      </c>
      <c r="F2156" t="s">
        <v>62</v>
      </c>
      <c r="G2156" t="s">
        <v>26</v>
      </c>
      <c r="H2156">
        <v>4167</v>
      </c>
      <c r="I2156">
        <v>58</v>
      </c>
      <c r="J2156" t="s">
        <v>40</v>
      </c>
      <c r="K2156">
        <v>44235</v>
      </c>
      <c r="L2156" t="s">
        <v>22</v>
      </c>
    </row>
    <row r="2157" spans="1:12" x14ac:dyDescent="0.3">
      <c r="A2157">
        <v>2004</v>
      </c>
      <c r="B2157" t="s">
        <v>34</v>
      </c>
      <c r="C2157">
        <v>4</v>
      </c>
      <c r="D2157">
        <v>3550</v>
      </c>
      <c r="E2157">
        <v>27.2</v>
      </c>
      <c r="F2157" t="s">
        <v>62</v>
      </c>
      <c r="G2157" t="s">
        <v>26</v>
      </c>
      <c r="H2157">
        <v>4479</v>
      </c>
      <c r="I2157">
        <v>58</v>
      </c>
      <c r="J2157" t="s">
        <v>40</v>
      </c>
      <c r="K2157">
        <v>203317</v>
      </c>
      <c r="L2157" t="s">
        <v>22</v>
      </c>
    </row>
    <row r="2158" spans="1:12" x14ac:dyDescent="0.3">
      <c r="A2158">
        <v>2004</v>
      </c>
      <c r="B2158" t="s">
        <v>34</v>
      </c>
      <c r="C2158">
        <v>15</v>
      </c>
      <c r="D2158">
        <v>3550</v>
      </c>
      <c r="E2158">
        <v>27.2</v>
      </c>
      <c r="F2158" t="s">
        <v>62</v>
      </c>
      <c r="G2158" t="s">
        <v>26</v>
      </c>
      <c r="H2158">
        <v>3699</v>
      </c>
      <c r="I2158">
        <v>59</v>
      </c>
      <c r="J2158" t="s">
        <v>40</v>
      </c>
      <c r="K2158">
        <v>2134</v>
      </c>
      <c r="L2158" t="s">
        <v>22</v>
      </c>
    </row>
    <row r="2159" spans="1:12" x14ac:dyDescent="0.3">
      <c r="A2159">
        <v>2004</v>
      </c>
      <c r="B2159" t="s">
        <v>34</v>
      </c>
      <c r="C2159">
        <v>8</v>
      </c>
      <c r="D2159">
        <v>3550</v>
      </c>
      <c r="E2159">
        <v>27.2</v>
      </c>
      <c r="F2159" t="s">
        <v>62</v>
      </c>
      <c r="G2159" t="s">
        <v>26</v>
      </c>
      <c r="H2159">
        <v>4904</v>
      </c>
      <c r="I2159">
        <v>50</v>
      </c>
      <c r="J2159" t="s">
        <v>40</v>
      </c>
      <c r="K2159">
        <v>45186</v>
      </c>
      <c r="L2159" t="s">
        <v>22</v>
      </c>
    </row>
    <row r="2160" spans="1:12" x14ac:dyDescent="0.3">
      <c r="A2160">
        <v>2004</v>
      </c>
      <c r="B2160" t="s">
        <v>34</v>
      </c>
      <c r="C2160">
        <v>29</v>
      </c>
      <c r="D2160">
        <v>3654</v>
      </c>
      <c r="E2160">
        <v>27.1</v>
      </c>
      <c r="F2160" t="s">
        <v>62</v>
      </c>
      <c r="G2160" t="s">
        <v>26</v>
      </c>
      <c r="H2160">
        <v>2821</v>
      </c>
      <c r="I2160">
        <v>54</v>
      </c>
      <c r="J2160" t="s">
        <v>40</v>
      </c>
      <c r="K2160">
        <v>238542</v>
      </c>
      <c r="L2160" t="s">
        <v>22</v>
      </c>
    </row>
    <row r="2161" spans="1:12" x14ac:dyDescent="0.3">
      <c r="A2161">
        <v>2004</v>
      </c>
      <c r="B2161" t="s">
        <v>34</v>
      </c>
      <c r="C2161">
        <v>1</v>
      </c>
      <c r="D2161">
        <v>3654</v>
      </c>
      <c r="E2161">
        <v>27.1</v>
      </c>
      <c r="F2161" t="s">
        <v>62</v>
      </c>
      <c r="G2161" t="s">
        <v>26</v>
      </c>
      <c r="H2161">
        <v>3472</v>
      </c>
      <c r="I2161">
        <v>53</v>
      </c>
      <c r="J2161" t="s">
        <v>40</v>
      </c>
      <c r="K2161">
        <v>1516</v>
      </c>
      <c r="L2161" t="s">
        <v>22</v>
      </c>
    </row>
    <row r="2162" spans="1:12" x14ac:dyDescent="0.3">
      <c r="A2162">
        <v>2004</v>
      </c>
      <c r="B2162" t="s">
        <v>34</v>
      </c>
      <c r="C2162">
        <v>13736</v>
      </c>
      <c r="D2162">
        <v>3654</v>
      </c>
      <c r="E2162">
        <v>27.1</v>
      </c>
      <c r="F2162" t="s">
        <v>62</v>
      </c>
      <c r="G2162" t="s">
        <v>26</v>
      </c>
      <c r="H2162">
        <v>3647</v>
      </c>
      <c r="I2162">
        <v>52</v>
      </c>
      <c r="J2162" t="s">
        <v>40</v>
      </c>
      <c r="K2162">
        <v>57259</v>
      </c>
      <c r="L2162" t="s">
        <v>22</v>
      </c>
    </row>
    <row r="2163" spans="1:12" x14ac:dyDescent="0.3">
      <c r="A2163">
        <v>2004</v>
      </c>
      <c r="B2163" t="s">
        <v>34</v>
      </c>
      <c r="C2163">
        <v>14003</v>
      </c>
      <c r="D2163">
        <v>233</v>
      </c>
      <c r="E2163">
        <v>26.8</v>
      </c>
      <c r="F2163" t="s">
        <v>62</v>
      </c>
      <c r="G2163" t="s">
        <v>26</v>
      </c>
      <c r="H2163">
        <v>393</v>
      </c>
      <c r="I2163">
        <v>51</v>
      </c>
      <c r="J2163" t="s">
        <v>40</v>
      </c>
      <c r="K2163">
        <v>234779</v>
      </c>
      <c r="L2163" t="s">
        <v>22</v>
      </c>
    </row>
    <row r="2164" spans="1:12" x14ac:dyDescent="0.3">
      <c r="A2164">
        <v>2004</v>
      </c>
      <c r="B2164" t="s">
        <v>34</v>
      </c>
      <c r="C2164">
        <v>14179</v>
      </c>
      <c r="D2164">
        <v>233</v>
      </c>
      <c r="E2164">
        <v>26.8</v>
      </c>
      <c r="F2164" t="s">
        <v>62</v>
      </c>
      <c r="G2164" t="s">
        <v>26</v>
      </c>
      <c r="H2164">
        <v>167</v>
      </c>
      <c r="I2164">
        <v>57</v>
      </c>
      <c r="J2164" t="s">
        <v>40</v>
      </c>
      <c r="K2164">
        <v>1493</v>
      </c>
      <c r="L2164" t="s">
        <v>22</v>
      </c>
    </row>
    <row r="2165" spans="1:12" x14ac:dyDescent="0.3">
      <c r="A2165">
        <v>2004</v>
      </c>
      <c r="B2165" t="s">
        <v>34</v>
      </c>
      <c r="C2165">
        <v>14319</v>
      </c>
      <c r="D2165">
        <v>233</v>
      </c>
      <c r="E2165">
        <v>26.8</v>
      </c>
      <c r="F2165" t="s">
        <v>62</v>
      </c>
      <c r="G2165" t="s">
        <v>26</v>
      </c>
      <c r="H2165">
        <v>71</v>
      </c>
      <c r="I2165">
        <v>57</v>
      </c>
      <c r="J2165" t="s">
        <v>40</v>
      </c>
      <c r="K2165">
        <v>64409</v>
      </c>
      <c r="L2165" t="s">
        <v>22</v>
      </c>
    </row>
    <row r="2166" spans="1:12" x14ac:dyDescent="0.3">
      <c r="A2166">
        <v>2004</v>
      </c>
      <c r="B2166" t="s">
        <v>34</v>
      </c>
      <c r="C2166">
        <v>14464</v>
      </c>
      <c r="D2166">
        <v>234</v>
      </c>
      <c r="E2166">
        <v>37</v>
      </c>
      <c r="F2166" t="s">
        <v>62</v>
      </c>
      <c r="G2166" t="s">
        <v>26</v>
      </c>
      <c r="H2166">
        <v>52</v>
      </c>
      <c r="I2166">
        <v>60</v>
      </c>
      <c r="J2166" t="s">
        <v>40</v>
      </c>
      <c r="K2166">
        <v>249978</v>
      </c>
      <c r="L2166" t="s">
        <v>22</v>
      </c>
    </row>
    <row r="2167" spans="1:12" x14ac:dyDescent="0.3">
      <c r="A2167">
        <v>2004</v>
      </c>
      <c r="B2167" t="s">
        <v>34</v>
      </c>
      <c r="C2167">
        <v>14876</v>
      </c>
      <c r="D2167">
        <v>234</v>
      </c>
      <c r="E2167">
        <v>37</v>
      </c>
      <c r="F2167" t="s">
        <v>62</v>
      </c>
      <c r="G2167" t="s">
        <v>26</v>
      </c>
      <c r="H2167">
        <v>313547</v>
      </c>
      <c r="I2167">
        <v>57</v>
      </c>
      <c r="J2167" t="s">
        <v>42</v>
      </c>
      <c r="K2167">
        <v>637</v>
      </c>
      <c r="L2167" t="s">
        <v>22</v>
      </c>
    </row>
    <row r="2168" spans="1:12" x14ac:dyDescent="0.3">
      <c r="A2168">
        <v>2004</v>
      </c>
      <c r="B2168" t="s">
        <v>34</v>
      </c>
      <c r="C2168">
        <v>14976</v>
      </c>
      <c r="D2168">
        <v>234</v>
      </c>
      <c r="E2168">
        <v>37</v>
      </c>
      <c r="F2168" t="s">
        <v>62</v>
      </c>
      <c r="G2168" t="s">
        <v>26</v>
      </c>
      <c r="H2168">
        <v>2783</v>
      </c>
      <c r="I2168">
        <v>57</v>
      </c>
      <c r="J2168" t="s">
        <v>42</v>
      </c>
      <c r="K2168">
        <v>43311</v>
      </c>
      <c r="L2168" t="s">
        <v>22</v>
      </c>
    </row>
    <row r="2169" spans="1:12" x14ac:dyDescent="0.3">
      <c r="A2169">
        <v>2004</v>
      </c>
      <c r="B2169" t="s">
        <v>34</v>
      </c>
      <c r="C2169">
        <v>15009</v>
      </c>
      <c r="D2169">
        <v>3105</v>
      </c>
      <c r="E2169">
        <v>38</v>
      </c>
      <c r="F2169" t="s">
        <v>62</v>
      </c>
      <c r="G2169" t="s">
        <v>26</v>
      </c>
      <c r="H2169">
        <v>1533</v>
      </c>
      <c r="I2169">
        <v>54</v>
      </c>
      <c r="J2169" t="s">
        <v>42</v>
      </c>
      <c r="K2169">
        <v>24848</v>
      </c>
      <c r="L2169" t="s">
        <v>22</v>
      </c>
    </row>
    <row r="2170" spans="1:12" x14ac:dyDescent="0.3">
      <c r="A2170">
        <v>2004</v>
      </c>
      <c r="B2170" t="s">
        <v>34</v>
      </c>
      <c r="C2170">
        <v>15114</v>
      </c>
      <c r="D2170">
        <v>3105</v>
      </c>
      <c r="E2170">
        <v>38</v>
      </c>
      <c r="F2170" t="s">
        <v>62</v>
      </c>
      <c r="G2170" t="s">
        <v>26</v>
      </c>
      <c r="H2170">
        <v>1647</v>
      </c>
      <c r="I2170">
        <v>54.5</v>
      </c>
      <c r="J2170" t="s">
        <v>42</v>
      </c>
      <c r="K2170">
        <v>761</v>
      </c>
      <c r="L2170" t="s">
        <v>22</v>
      </c>
    </row>
    <row r="2171" spans="1:12" x14ac:dyDescent="0.3">
      <c r="A2171">
        <v>2004</v>
      </c>
      <c r="B2171" t="s">
        <v>34</v>
      </c>
      <c r="C2171">
        <v>16224</v>
      </c>
      <c r="D2171">
        <v>3105</v>
      </c>
      <c r="E2171">
        <v>38</v>
      </c>
      <c r="F2171" t="s">
        <v>62</v>
      </c>
      <c r="G2171" t="s">
        <v>26</v>
      </c>
      <c r="H2171">
        <v>975</v>
      </c>
      <c r="I2171">
        <v>56.6</v>
      </c>
      <c r="J2171" t="s">
        <v>42</v>
      </c>
      <c r="K2171">
        <v>45608</v>
      </c>
      <c r="L2171" t="s">
        <v>22</v>
      </c>
    </row>
    <row r="2172" spans="1:12" x14ac:dyDescent="0.3">
      <c r="A2172">
        <v>2004</v>
      </c>
      <c r="B2172" t="s">
        <v>34</v>
      </c>
      <c r="C2172">
        <v>17095</v>
      </c>
      <c r="D2172">
        <v>236</v>
      </c>
      <c r="E2172">
        <v>39</v>
      </c>
      <c r="F2172" t="s">
        <v>62</v>
      </c>
      <c r="G2172" t="s">
        <v>14</v>
      </c>
      <c r="H2172">
        <v>2</v>
      </c>
      <c r="I2172">
        <v>55.5</v>
      </c>
      <c r="J2172" t="s">
        <v>42</v>
      </c>
      <c r="K2172">
        <v>234581</v>
      </c>
      <c r="L2172" t="s">
        <v>22</v>
      </c>
    </row>
    <row r="2173" spans="1:12" x14ac:dyDescent="0.3">
      <c r="A2173">
        <v>2004</v>
      </c>
      <c r="B2173" t="s">
        <v>34</v>
      </c>
      <c r="C2173">
        <v>17512</v>
      </c>
      <c r="D2173">
        <v>2903.1</v>
      </c>
      <c r="E2173">
        <v>39</v>
      </c>
      <c r="F2173" t="s">
        <v>62</v>
      </c>
      <c r="G2173" t="s">
        <v>14</v>
      </c>
      <c r="H2173">
        <v>836</v>
      </c>
      <c r="I2173">
        <v>58.5</v>
      </c>
      <c r="J2173" t="s">
        <v>42</v>
      </c>
      <c r="K2173">
        <v>646</v>
      </c>
      <c r="L2173" t="s">
        <v>22</v>
      </c>
    </row>
    <row r="2174" spans="1:12" x14ac:dyDescent="0.3">
      <c r="A2174">
        <v>2004</v>
      </c>
      <c r="B2174" t="s">
        <v>34</v>
      </c>
      <c r="C2174">
        <v>17587</v>
      </c>
      <c r="D2174">
        <v>2903.1</v>
      </c>
      <c r="E2174">
        <v>39</v>
      </c>
      <c r="F2174" t="s">
        <v>62</v>
      </c>
      <c r="G2174" t="s">
        <v>14</v>
      </c>
      <c r="H2174">
        <v>806</v>
      </c>
      <c r="I2174">
        <v>59.5</v>
      </c>
      <c r="J2174" t="s">
        <v>42</v>
      </c>
      <c r="K2174">
        <v>43562</v>
      </c>
      <c r="L2174" t="s">
        <v>22</v>
      </c>
    </row>
    <row r="2175" spans="1:12" x14ac:dyDescent="0.3">
      <c r="A2175">
        <v>2004</v>
      </c>
      <c r="B2175" t="s">
        <v>34</v>
      </c>
      <c r="C2175">
        <v>17771</v>
      </c>
      <c r="D2175">
        <v>2903.1</v>
      </c>
      <c r="E2175">
        <v>40</v>
      </c>
      <c r="F2175" t="s">
        <v>62</v>
      </c>
      <c r="G2175" t="s">
        <v>14</v>
      </c>
      <c r="H2175">
        <v>880</v>
      </c>
      <c r="I2175">
        <v>55</v>
      </c>
      <c r="J2175" t="s">
        <v>42</v>
      </c>
      <c r="K2175">
        <v>200000</v>
      </c>
      <c r="L2175" t="s">
        <v>22</v>
      </c>
    </row>
    <row r="2176" spans="1:12" x14ac:dyDescent="0.3">
      <c r="A2176">
        <v>2004</v>
      </c>
      <c r="B2176" t="s">
        <v>34</v>
      </c>
      <c r="C2176">
        <v>17825</v>
      </c>
      <c r="D2176">
        <v>2996.6</v>
      </c>
      <c r="E2176">
        <v>40</v>
      </c>
      <c r="F2176" t="s">
        <v>62</v>
      </c>
      <c r="G2176" t="s">
        <v>14</v>
      </c>
      <c r="H2176">
        <v>770</v>
      </c>
      <c r="I2176">
        <v>53</v>
      </c>
      <c r="J2176" t="s">
        <v>42</v>
      </c>
      <c r="K2176">
        <v>4847</v>
      </c>
      <c r="L2176" t="s">
        <v>22</v>
      </c>
    </row>
    <row r="2177" spans="1:12" x14ac:dyDescent="0.3">
      <c r="A2177">
        <v>2004</v>
      </c>
      <c r="B2177" t="s">
        <v>34</v>
      </c>
      <c r="C2177">
        <v>3147</v>
      </c>
      <c r="D2177">
        <v>2996.6</v>
      </c>
      <c r="E2177">
        <v>40</v>
      </c>
      <c r="F2177" t="s">
        <v>62</v>
      </c>
      <c r="G2177" t="s">
        <v>14</v>
      </c>
      <c r="H2177">
        <v>395</v>
      </c>
      <c r="I2177">
        <v>53.5</v>
      </c>
      <c r="J2177" t="s">
        <v>42</v>
      </c>
      <c r="K2177">
        <v>51239</v>
      </c>
      <c r="L2177" t="s">
        <v>22</v>
      </c>
    </row>
    <row r="2178" spans="1:12" x14ac:dyDescent="0.3">
      <c r="A2178">
        <v>2004</v>
      </c>
      <c r="B2178" t="s">
        <v>34</v>
      </c>
      <c r="C2178">
        <v>2578</v>
      </c>
      <c r="D2178">
        <v>2996.6</v>
      </c>
      <c r="E2178">
        <v>41</v>
      </c>
      <c r="F2178" t="s">
        <v>62</v>
      </c>
      <c r="G2178" t="s">
        <v>14</v>
      </c>
      <c r="H2178">
        <v>187</v>
      </c>
      <c r="I2178">
        <v>52.5</v>
      </c>
      <c r="J2178" t="s">
        <v>42</v>
      </c>
      <c r="K2178">
        <v>216396</v>
      </c>
      <c r="L2178" t="s">
        <v>22</v>
      </c>
    </row>
    <row r="2179" spans="1:12" x14ac:dyDescent="0.3">
      <c r="A2179">
        <v>2004</v>
      </c>
      <c r="B2179" t="s">
        <v>34</v>
      </c>
      <c r="C2179">
        <v>1591</v>
      </c>
      <c r="D2179">
        <v>3522.8</v>
      </c>
      <c r="E2179">
        <v>41</v>
      </c>
      <c r="F2179" t="s">
        <v>62</v>
      </c>
      <c r="G2179" t="s">
        <v>14</v>
      </c>
      <c r="H2179">
        <v>187</v>
      </c>
      <c r="I2179">
        <v>56</v>
      </c>
      <c r="J2179" t="s">
        <v>42</v>
      </c>
      <c r="K2179">
        <v>2644</v>
      </c>
      <c r="L2179" t="s">
        <v>22</v>
      </c>
    </row>
    <row r="2180" spans="1:12" x14ac:dyDescent="0.3">
      <c r="A2180">
        <v>2004</v>
      </c>
      <c r="B2180" t="s">
        <v>34</v>
      </c>
      <c r="C2180">
        <v>1298</v>
      </c>
      <c r="D2180">
        <v>3522.8</v>
      </c>
      <c r="E2180">
        <v>41</v>
      </c>
      <c r="F2180" t="s">
        <v>62</v>
      </c>
      <c r="G2180" t="s">
        <v>14</v>
      </c>
      <c r="H2180">
        <v>121</v>
      </c>
      <c r="I2180">
        <v>59.5</v>
      </c>
      <c r="J2180" t="s">
        <v>42</v>
      </c>
      <c r="K2180">
        <v>44235</v>
      </c>
      <c r="L2180" t="s">
        <v>22</v>
      </c>
    </row>
    <row r="2181" spans="1:12" x14ac:dyDescent="0.3">
      <c r="A2181">
        <v>2004</v>
      </c>
      <c r="B2181" t="s">
        <v>34</v>
      </c>
      <c r="C2181">
        <v>4</v>
      </c>
      <c r="D2181">
        <v>3522.8</v>
      </c>
      <c r="E2181">
        <v>42</v>
      </c>
      <c r="F2181" t="s">
        <v>62</v>
      </c>
      <c r="G2181" t="s">
        <v>14</v>
      </c>
      <c r="H2181">
        <v>103</v>
      </c>
      <c r="I2181">
        <v>55</v>
      </c>
      <c r="J2181" t="s">
        <v>42</v>
      </c>
      <c r="K2181">
        <v>203317</v>
      </c>
      <c r="L2181" t="s">
        <v>22</v>
      </c>
    </row>
    <row r="2182" spans="1:12" x14ac:dyDescent="0.3">
      <c r="A2182">
        <v>2004</v>
      </c>
      <c r="B2182" t="s">
        <v>34</v>
      </c>
      <c r="C2182">
        <v>1122</v>
      </c>
      <c r="D2182">
        <v>3729.8</v>
      </c>
      <c r="E2182">
        <v>42</v>
      </c>
      <c r="F2182" t="s">
        <v>62</v>
      </c>
      <c r="G2182" t="s">
        <v>14</v>
      </c>
      <c r="H2182">
        <v>71</v>
      </c>
      <c r="I2182">
        <v>53</v>
      </c>
      <c r="J2182" t="s">
        <v>43</v>
      </c>
      <c r="K2182">
        <v>2134</v>
      </c>
      <c r="L2182" t="s">
        <v>22</v>
      </c>
    </row>
    <row r="2183" spans="1:12" x14ac:dyDescent="0.3">
      <c r="A2183">
        <v>2004</v>
      </c>
      <c r="B2183" t="s">
        <v>34</v>
      </c>
      <c r="C2183">
        <v>917</v>
      </c>
      <c r="D2183">
        <v>3729.8</v>
      </c>
      <c r="E2183">
        <v>42</v>
      </c>
      <c r="F2183" t="s">
        <v>62</v>
      </c>
      <c r="G2183" t="s">
        <v>14</v>
      </c>
      <c r="H2183">
        <v>3961</v>
      </c>
      <c r="I2183">
        <v>53.5</v>
      </c>
      <c r="J2183" t="s">
        <v>43</v>
      </c>
      <c r="K2183">
        <v>45186</v>
      </c>
      <c r="L2183" t="s">
        <v>22</v>
      </c>
    </row>
    <row r="2184" spans="1:12" x14ac:dyDescent="0.3">
      <c r="A2184">
        <v>2004</v>
      </c>
      <c r="B2184" t="s">
        <v>34</v>
      </c>
      <c r="C2184">
        <v>819</v>
      </c>
      <c r="D2184">
        <v>3729.8</v>
      </c>
      <c r="E2184">
        <v>43</v>
      </c>
      <c r="F2184" t="s">
        <v>62</v>
      </c>
      <c r="G2184" t="s">
        <v>14</v>
      </c>
      <c r="H2184">
        <v>4247</v>
      </c>
      <c r="I2184">
        <v>52.5</v>
      </c>
      <c r="J2184" t="s">
        <v>43</v>
      </c>
      <c r="K2184">
        <v>238542</v>
      </c>
      <c r="L2184" t="s">
        <v>22</v>
      </c>
    </row>
    <row r="2185" spans="1:12" x14ac:dyDescent="0.3">
      <c r="A2185">
        <v>2004</v>
      </c>
      <c r="B2185" t="s">
        <v>34</v>
      </c>
      <c r="C2185">
        <v>619</v>
      </c>
      <c r="D2185">
        <v>2746.2</v>
      </c>
      <c r="E2185">
        <v>43</v>
      </c>
      <c r="F2185" t="s">
        <v>62</v>
      </c>
      <c r="G2185" t="s">
        <v>14</v>
      </c>
      <c r="H2185">
        <v>3290</v>
      </c>
      <c r="I2185">
        <v>56</v>
      </c>
      <c r="J2185" t="s">
        <v>43</v>
      </c>
      <c r="K2185">
        <v>1516</v>
      </c>
      <c r="L2185" t="s">
        <v>22</v>
      </c>
    </row>
    <row r="2186" spans="1:12" x14ac:dyDescent="0.3">
      <c r="A2186">
        <v>2004</v>
      </c>
      <c r="B2186" t="s">
        <v>12</v>
      </c>
      <c r="C2186">
        <v>391</v>
      </c>
      <c r="D2186">
        <v>2746.2</v>
      </c>
      <c r="E2186">
        <v>27</v>
      </c>
      <c r="F2186" t="s">
        <v>62</v>
      </c>
      <c r="G2186" t="s">
        <v>14</v>
      </c>
      <c r="H2186">
        <v>3138</v>
      </c>
      <c r="I2186">
        <v>57</v>
      </c>
      <c r="J2186" t="s">
        <v>43</v>
      </c>
      <c r="K2186">
        <v>57259</v>
      </c>
      <c r="L2186" t="s">
        <v>22</v>
      </c>
    </row>
    <row r="2187" spans="1:12" x14ac:dyDescent="0.3">
      <c r="A2187">
        <v>2004</v>
      </c>
      <c r="B2187" t="s">
        <v>12</v>
      </c>
      <c r="C2187">
        <v>211</v>
      </c>
      <c r="D2187">
        <v>2746.2</v>
      </c>
      <c r="E2187">
        <v>27</v>
      </c>
      <c r="F2187" t="s">
        <v>62</v>
      </c>
      <c r="G2187" t="s">
        <v>14</v>
      </c>
      <c r="H2187">
        <v>3423</v>
      </c>
      <c r="I2187">
        <v>57.5</v>
      </c>
      <c r="J2187" t="s">
        <v>43</v>
      </c>
      <c r="K2187">
        <v>234779</v>
      </c>
      <c r="L2187" t="s">
        <v>22</v>
      </c>
    </row>
    <row r="2188" spans="1:12" x14ac:dyDescent="0.3">
      <c r="A2188">
        <v>2004</v>
      </c>
      <c r="B2188" t="s">
        <v>12</v>
      </c>
      <c r="C2188">
        <v>153</v>
      </c>
      <c r="D2188">
        <v>3360</v>
      </c>
      <c r="E2188">
        <v>27</v>
      </c>
      <c r="F2188" t="s">
        <v>62</v>
      </c>
      <c r="G2188" t="s">
        <v>14</v>
      </c>
      <c r="H2188">
        <v>3899</v>
      </c>
      <c r="I2188">
        <v>57</v>
      </c>
      <c r="J2188" t="s">
        <v>43</v>
      </c>
      <c r="K2188">
        <v>1493</v>
      </c>
      <c r="L2188" t="s">
        <v>22</v>
      </c>
    </row>
    <row r="2189" spans="1:12" x14ac:dyDescent="0.3">
      <c r="A2189">
        <v>2004</v>
      </c>
      <c r="B2189" t="s">
        <v>12</v>
      </c>
      <c r="C2189">
        <v>111</v>
      </c>
      <c r="D2189">
        <v>3360</v>
      </c>
      <c r="E2189">
        <v>27</v>
      </c>
      <c r="F2189" t="s">
        <v>62</v>
      </c>
      <c r="G2189" t="s">
        <v>14</v>
      </c>
      <c r="H2189">
        <v>4015</v>
      </c>
      <c r="I2189">
        <v>55</v>
      </c>
      <c r="J2189" t="s">
        <v>43</v>
      </c>
      <c r="K2189">
        <v>64409</v>
      </c>
      <c r="L2189" t="s">
        <v>22</v>
      </c>
    </row>
    <row r="2190" spans="1:12" x14ac:dyDescent="0.3">
      <c r="A2190">
        <v>2004</v>
      </c>
      <c r="B2190" t="s">
        <v>12</v>
      </c>
      <c r="C2190">
        <v>76</v>
      </c>
      <c r="D2190">
        <v>3360</v>
      </c>
      <c r="E2190">
        <v>27</v>
      </c>
      <c r="F2190" t="s">
        <v>62</v>
      </c>
      <c r="G2190" t="s">
        <v>14</v>
      </c>
      <c r="H2190">
        <v>4279</v>
      </c>
      <c r="I2190">
        <v>56</v>
      </c>
      <c r="J2190" t="s">
        <v>43</v>
      </c>
      <c r="K2190">
        <v>249978</v>
      </c>
      <c r="L2190" t="s">
        <v>22</v>
      </c>
    </row>
    <row r="2191" spans="1:12" x14ac:dyDescent="0.3">
      <c r="A2191">
        <v>2004</v>
      </c>
      <c r="B2191" t="s">
        <v>12</v>
      </c>
      <c r="C2191">
        <v>53</v>
      </c>
      <c r="D2191">
        <v>3605.4</v>
      </c>
      <c r="E2191">
        <v>27</v>
      </c>
      <c r="F2191" t="s">
        <v>62</v>
      </c>
      <c r="G2191" t="s">
        <v>14</v>
      </c>
      <c r="H2191">
        <v>4167</v>
      </c>
      <c r="I2191">
        <v>54</v>
      </c>
      <c r="J2191" t="s">
        <v>43</v>
      </c>
      <c r="K2191">
        <v>637</v>
      </c>
      <c r="L2191" t="s">
        <v>22</v>
      </c>
    </row>
    <row r="2192" spans="1:12" x14ac:dyDescent="0.3">
      <c r="A2192">
        <v>2004</v>
      </c>
      <c r="B2192" t="s">
        <v>12</v>
      </c>
      <c r="C2192">
        <v>2688</v>
      </c>
      <c r="D2192">
        <v>3605.4</v>
      </c>
      <c r="E2192">
        <v>27.2</v>
      </c>
      <c r="F2192" t="s">
        <v>62</v>
      </c>
      <c r="G2192" t="s">
        <v>14</v>
      </c>
      <c r="H2192">
        <v>4479</v>
      </c>
      <c r="I2192">
        <v>58</v>
      </c>
      <c r="J2192" t="s">
        <v>43</v>
      </c>
      <c r="K2192">
        <v>43311</v>
      </c>
      <c r="L2192" t="s">
        <v>22</v>
      </c>
    </row>
    <row r="2193" spans="1:12" x14ac:dyDescent="0.3">
      <c r="A2193">
        <v>2004</v>
      </c>
      <c r="B2193" t="s">
        <v>12</v>
      </c>
      <c r="C2193">
        <v>2311</v>
      </c>
      <c r="D2193">
        <v>3605.4</v>
      </c>
      <c r="E2193">
        <v>27.2</v>
      </c>
      <c r="F2193" t="s">
        <v>62</v>
      </c>
      <c r="G2193" t="s">
        <v>14</v>
      </c>
      <c r="H2193">
        <v>3699</v>
      </c>
      <c r="I2193">
        <v>58</v>
      </c>
      <c r="J2193" t="s">
        <v>43</v>
      </c>
      <c r="K2193">
        <v>24848</v>
      </c>
      <c r="L2193" t="s">
        <v>22</v>
      </c>
    </row>
    <row r="2194" spans="1:12" x14ac:dyDescent="0.3">
      <c r="A2194">
        <v>2004</v>
      </c>
      <c r="B2194" t="s">
        <v>12</v>
      </c>
      <c r="C2194">
        <v>2188</v>
      </c>
      <c r="D2194">
        <v>3512.4</v>
      </c>
      <c r="E2194">
        <v>27.2</v>
      </c>
      <c r="F2194" t="s">
        <v>62</v>
      </c>
      <c r="G2194" t="s">
        <v>14</v>
      </c>
      <c r="H2194">
        <v>4904</v>
      </c>
      <c r="I2194">
        <v>59</v>
      </c>
      <c r="J2194" t="s">
        <v>43</v>
      </c>
      <c r="K2194">
        <v>761</v>
      </c>
      <c r="L2194" t="s">
        <v>22</v>
      </c>
    </row>
    <row r="2195" spans="1:12" x14ac:dyDescent="0.3">
      <c r="A2195">
        <v>2004</v>
      </c>
      <c r="B2195" t="s">
        <v>12</v>
      </c>
      <c r="C2195">
        <v>1998</v>
      </c>
      <c r="D2195">
        <v>3512.4</v>
      </c>
      <c r="E2195">
        <v>27</v>
      </c>
      <c r="F2195" t="s">
        <v>62</v>
      </c>
      <c r="G2195" t="s">
        <v>14</v>
      </c>
      <c r="H2195">
        <v>2821</v>
      </c>
      <c r="I2195">
        <v>50</v>
      </c>
      <c r="J2195" t="s">
        <v>43</v>
      </c>
      <c r="K2195">
        <v>45608</v>
      </c>
      <c r="L2195" t="s">
        <v>22</v>
      </c>
    </row>
    <row r="2196" spans="1:12" x14ac:dyDescent="0.3">
      <c r="A2196">
        <v>2004</v>
      </c>
      <c r="B2196" t="s">
        <v>12</v>
      </c>
      <c r="C2196">
        <v>2006</v>
      </c>
      <c r="D2196">
        <v>3512.4</v>
      </c>
      <c r="E2196">
        <v>27</v>
      </c>
      <c r="F2196" t="s">
        <v>62</v>
      </c>
      <c r="G2196" t="s">
        <v>14</v>
      </c>
      <c r="H2196">
        <v>3472</v>
      </c>
      <c r="I2196">
        <v>54</v>
      </c>
      <c r="J2196" t="s">
        <v>43</v>
      </c>
      <c r="K2196">
        <v>234581</v>
      </c>
      <c r="L2196" t="s">
        <v>22</v>
      </c>
    </row>
    <row r="2197" spans="1:12" x14ac:dyDescent="0.3">
      <c r="A2197">
        <v>2004</v>
      </c>
      <c r="B2197" t="s">
        <v>12</v>
      </c>
      <c r="C2197">
        <v>2034</v>
      </c>
      <c r="D2197">
        <v>3296</v>
      </c>
      <c r="E2197">
        <v>27</v>
      </c>
      <c r="F2197" t="s">
        <v>62</v>
      </c>
      <c r="G2197" t="s">
        <v>14</v>
      </c>
      <c r="H2197">
        <v>3647</v>
      </c>
      <c r="I2197">
        <v>53</v>
      </c>
      <c r="J2197" t="s">
        <v>15</v>
      </c>
      <c r="K2197">
        <v>646</v>
      </c>
      <c r="L2197" t="s">
        <v>22</v>
      </c>
    </row>
    <row r="2198" spans="1:12" x14ac:dyDescent="0.3">
      <c r="A2198">
        <v>2004</v>
      </c>
      <c r="B2198" t="s">
        <v>12</v>
      </c>
      <c r="C2198">
        <v>2035</v>
      </c>
      <c r="D2198">
        <v>3296</v>
      </c>
      <c r="E2198">
        <v>27</v>
      </c>
      <c r="F2198" t="s">
        <v>62</v>
      </c>
      <c r="G2198" t="s">
        <v>14</v>
      </c>
      <c r="H2198">
        <v>393</v>
      </c>
      <c r="I2198">
        <v>59.5</v>
      </c>
      <c r="J2198" t="s">
        <v>15</v>
      </c>
      <c r="K2198">
        <v>43562</v>
      </c>
      <c r="L2198" t="s">
        <v>22</v>
      </c>
    </row>
    <row r="2199" spans="1:12" x14ac:dyDescent="0.3">
      <c r="A2199">
        <v>2004</v>
      </c>
      <c r="B2199" t="s">
        <v>12</v>
      </c>
      <c r="C2199">
        <v>2074</v>
      </c>
      <c r="D2199">
        <v>3296</v>
      </c>
      <c r="E2199">
        <v>27</v>
      </c>
      <c r="F2199" t="s">
        <v>62</v>
      </c>
      <c r="G2199" t="s">
        <v>14</v>
      </c>
      <c r="H2199">
        <v>167</v>
      </c>
      <c r="I2199">
        <v>55</v>
      </c>
      <c r="J2199" t="s">
        <v>15</v>
      </c>
      <c r="K2199">
        <v>200000</v>
      </c>
      <c r="L2199" t="s">
        <v>22</v>
      </c>
    </row>
    <row r="2200" spans="1:12" x14ac:dyDescent="0.3">
      <c r="A2200">
        <v>2004</v>
      </c>
      <c r="B2200" t="s">
        <v>17</v>
      </c>
      <c r="C2200">
        <v>2127</v>
      </c>
      <c r="D2200">
        <v>3550</v>
      </c>
      <c r="E2200">
        <v>27</v>
      </c>
      <c r="F2200" t="s">
        <v>62</v>
      </c>
      <c r="G2200" t="s">
        <v>14</v>
      </c>
      <c r="H2200">
        <v>71</v>
      </c>
      <c r="I2200">
        <v>53</v>
      </c>
      <c r="J2200" t="s">
        <v>15</v>
      </c>
      <c r="K2200">
        <v>4847</v>
      </c>
      <c r="L2200" t="s">
        <v>22</v>
      </c>
    </row>
    <row r="2201" spans="1:12" x14ac:dyDescent="0.3">
      <c r="A2201">
        <v>2004</v>
      </c>
      <c r="B2201" t="s">
        <v>17</v>
      </c>
      <c r="C2201">
        <v>2090</v>
      </c>
      <c r="D2201">
        <v>3550</v>
      </c>
      <c r="E2201">
        <v>27.2</v>
      </c>
      <c r="F2201" t="s">
        <v>62</v>
      </c>
      <c r="G2201" t="s">
        <v>14</v>
      </c>
      <c r="H2201">
        <v>52</v>
      </c>
      <c r="I2201">
        <v>53.5</v>
      </c>
      <c r="J2201" t="s">
        <v>15</v>
      </c>
      <c r="K2201">
        <v>51239</v>
      </c>
      <c r="L2201" t="s">
        <v>22</v>
      </c>
    </row>
    <row r="2202" spans="1:12" x14ac:dyDescent="0.3">
      <c r="A2202">
        <v>2004</v>
      </c>
      <c r="B2202" t="s">
        <v>17</v>
      </c>
      <c r="C2202">
        <v>2059</v>
      </c>
      <c r="D2202">
        <v>3550</v>
      </c>
      <c r="E2202">
        <v>27.2</v>
      </c>
      <c r="F2202" t="s">
        <v>63</v>
      </c>
      <c r="G2202" t="s">
        <v>14</v>
      </c>
      <c r="H2202">
        <v>2570</v>
      </c>
      <c r="I2202">
        <v>52.5</v>
      </c>
      <c r="J2202" t="s">
        <v>15</v>
      </c>
      <c r="K2202">
        <v>216396</v>
      </c>
      <c r="L2202" t="s">
        <v>22</v>
      </c>
    </row>
    <row r="2203" spans="1:12" x14ac:dyDescent="0.3">
      <c r="A2203">
        <v>2004</v>
      </c>
      <c r="B2203" t="s">
        <v>17</v>
      </c>
      <c r="C2203">
        <v>2050</v>
      </c>
      <c r="D2203">
        <v>3654</v>
      </c>
      <c r="E2203">
        <v>27.2</v>
      </c>
      <c r="F2203" t="s">
        <v>63</v>
      </c>
      <c r="G2203" t="s">
        <v>14</v>
      </c>
      <c r="H2203">
        <v>27170</v>
      </c>
      <c r="I2203">
        <v>56</v>
      </c>
      <c r="J2203" t="s">
        <v>15</v>
      </c>
      <c r="K2203">
        <v>2644</v>
      </c>
      <c r="L2203" t="s">
        <v>22</v>
      </c>
    </row>
    <row r="2204" spans="1:12" x14ac:dyDescent="0.3">
      <c r="A2204">
        <v>2004</v>
      </c>
      <c r="B2204" t="s">
        <v>17</v>
      </c>
      <c r="C2204">
        <v>1865</v>
      </c>
      <c r="D2204">
        <v>3654</v>
      </c>
      <c r="E2204">
        <v>27.1</v>
      </c>
      <c r="F2204" t="s">
        <v>63</v>
      </c>
      <c r="G2204" t="s">
        <v>14</v>
      </c>
      <c r="H2204">
        <v>114744</v>
      </c>
      <c r="I2204">
        <v>57</v>
      </c>
      <c r="J2204" t="s">
        <v>15</v>
      </c>
      <c r="K2204">
        <v>44235</v>
      </c>
      <c r="L2204" t="s">
        <v>22</v>
      </c>
    </row>
    <row r="2205" spans="1:12" x14ac:dyDescent="0.3">
      <c r="A2205">
        <v>2004</v>
      </c>
      <c r="B2205" t="s">
        <v>17</v>
      </c>
      <c r="C2205">
        <v>1841</v>
      </c>
      <c r="D2205">
        <v>3654</v>
      </c>
      <c r="E2205">
        <v>27.1</v>
      </c>
      <c r="F2205" t="s">
        <v>63</v>
      </c>
      <c r="G2205" t="s">
        <v>14</v>
      </c>
      <c r="H2205">
        <v>1402</v>
      </c>
      <c r="I2205">
        <v>57.5</v>
      </c>
      <c r="J2205" t="s">
        <v>15</v>
      </c>
      <c r="K2205">
        <v>203317</v>
      </c>
      <c r="L2205" t="s">
        <v>22</v>
      </c>
    </row>
    <row r="2206" spans="1:12" x14ac:dyDescent="0.3">
      <c r="A2206">
        <v>2004</v>
      </c>
      <c r="B2206" t="s">
        <v>17</v>
      </c>
      <c r="C2206">
        <v>1799</v>
      </c>
      <c r="D2206">
        <v>233</v>
      </c>
      <c r="E2206">
        <v>27.1</v>
      </c>
      <c r="F2206" t="s">
        <v>63</v>
      </c>
      <c r="G2206" t="s">
        <v>14</v>
      </c>
      <c r="H2206">
        <v>23456</v>
      </c>
      <c r="I2206">
        <v>57</v>
      </c>
      <c r="J2206" t="s">
        <v>15</v>
      </c>
      <c r="K2206">
        <v>2134</v>
      </c>
      <c r="L2206" t="s">
        <v>22</v>
      </c>
    </row>
    <row r="2207" spans="1:12" x14ac:dyDescent="0.3">
      <c r="A2207">
        <v>2004</v>
      </c>
      <c r="B2207" t="s">
        <v>17</v>
      </c>
      <c r="C2207">
        <v>1468</v>
      </c>
      <c r="D2207">
        <v>233</v>
      </c>
      <c r="E2207">
        <v>26.8</v>
      </c>
      <c r="F2207" t="s">
        <v>63</v>
      </c>
      <c r="G2207" t="s">
        <v>14</v>
      </c>
      <c r="H2207">
        <v>107809</v>
      </c>
      <c r="I2207">
        <v>55</v>
      </c>
      <c r="J2207" t="s">
        <v>15</v>
      </c>
      <c r="K2207">
        <v>45186</v>
      </c>
      <c r="L2207" t="s">
        <v>22</v>
      </c>
    </row>
    <row r="2208" spans="1:12" x14ac:dyDescent="0.3">
      <c r="A2208">
        <v>2004</v>
      </c>
      <c r="B2208" t="s">
        <v>17</v>
      </c>
      <c r="C2208">
        <v>568</v>
      </c>
      <c r="D2208">
        <v>233</v>
      </c>
      <c r="E2208">
        <v>26.8</v>
      </c>
      <c r="F2208" t="s">
        <v>63</v>
      </c>
      <c r="G2208" t="s">
        <v>14</v>
      </c>
      <c r="H2208">
        <v>1132</v>
      </c>
      <c r="I2208">
        <v>56</v>
      </c>
      <c r="J2208" t="s">
        <v>15</v>
      </c>
      <c r="K2208">
        <v>238542</v>
      </c>
      <c r="L2208" t="s">
        <v>22</v>
      </c>
    </row>
    <row r="2209" spans="1:12" x14ac:dyDescent="0.3">
      <c r="A2209">
        <v>2004</v>
      </c>
      <c r="B2209" t="s">
        <v>17</v>
      </c>
      <c r="C2209">
        <v>407</v>
      </c>
      <c r="D2209">
        <v>234</v>
      </c>
      <c r="E2209">
        <v>26.8</v>
      </c>
      <c r="F2209" t="s">
        <v>63</v>
      </c>
      <c r="G2209" t="s">
        <v>14</v>
      </c>
      <c r="H2209">
        <v>23960</v>
      </c>
      <c r="I2209">
        <v>54</v>
      </c>
      <c r="J2209" t="s">
        <v>15</v>
      </c>
      <c r="K2209">
        <v>1516</v>
      </c>
      <c r="L2209" t="s">
        <v>22</v>
      </c>
    </row>
    <row r="2210" spans="1:12" x14ac:dyDescent="0.3">
      <c r="A2210">
        <v>2004</v>
      </c>
      <c r="B2210" t="s">
        <v>17</v>
      </c>
      <c r="C2210">
        <v>177</v>
      </c>
      <c r="D2210">
        <v>234</v>
      </c>
      <c r="E2210">
        <v>37</v>
      </c>
      <c r="F2210" t="s">
        <v>63</v>
      </c>
      <c r="G2210" t="s">
        <v>14</v>
      </c>
      <c r="H2210">
        <v>126487</v>
      </c>
      <c r="I2210">
        <v>58</v>
      </c>
      <c r="J2210" t="s">
        <v>15</v>
      </c>
      <c r="K2210">
        <v>200000</v>
      </c>
      <c r="L2210" t="s">
        <v>22</v>
      </c>
    </row>
    <row r="2211" spans="1:12" x14ac:dyDescent="0.3">
      <c r="A2211">
        <v>2004</v>
      </c>
      <c r="B2211" t="s">
        <v>17</v>
      </c>
      <c r="C2211">
        <v>51</v>
      </c>
      <c r="D2211">
        <v>234</v>
      </c>
      <c r="E2211">
        <v>37</v>
      </c>
      <c r="F2211" t="s">
        <v>63</v>
      </c>
      <c r="G2211" t="s">
        <v>14</v>
      </c>
      <c r="H2211">
        <v>804</v>
      </c>
      <c r="I2211">
        <v>58</v>
      </c>
      <c r="J2211" t="s">
        <v>15</v>
      </c>
      <c r="K2211">
        <v>4847</v>
      </c>
      <c r="L2211" t="s">
        <v>22</v>
      </c>
    </row>
    <row r="2212" spans="1:12" x14ac:dyDescent="0.3">
      <c r="A2212">
        <v>2004</v>
      </c>
      <c r="B2212" t="s">
        <v>17</v>
      </c>
      <c r="C2212">
        <v>173</v>
      </c>
      <c r="D2212">
        <v>3105</v>
      </c>
      <c r="E2212">
        <v>37</v>
      </c>
      <c r="F2212" t="s">
        <v>63</v>
      </c>
      <c r="G2212" t="s">
        <v>14</v>
      </c>
      <c r="H2212">
        <v>30362</v>
      </c>
      <c r="I2212">
        <v>59</v>
      </c>
      <c r="J2212" t="s">
        <v>15</v>
      </c>
      <c r="K2212">
        <v>51239</v>
      </c>
      <c r="L2212" t="s">
        <v>22</v>
      </c>
    </row>
    <row r="2213" spans="1:12" x14ac:dyDescent="0.3">
      <c r="A2213">
        <v>2004</v>
      </c>
      <c r="B2213" t="s">
        <v>18</v>
      </c>
      <c r="C2213">
        <v>201</v>
      </c>
      <c r="D2213">
        <v>3105</v>
      </c>
      <c r="E2213">
        <v>38</v>
      </c>
      <c r="F2213" t="s">
        <v>63</v>
      </c>
      <c r="G2213" t="s">
        <v>14</v>
      </c>
      <c r="H2213">
        <v>124492</v>
      </c>
      <c r="I2213">
        <v>50</v>
      </c>
      <c r="J2213" t="s">
        <v>35</v>
      </c>
      <c r="K2213">
        <v>216396</v>
      </c>
      <c r="L2213" t="s">
        <v>22</v>
      </c>
    </row>
    <row r="2214" spans="1:12" x14ac:dyDescent="0.3">
      <c r="A2214">
        <v>2004</v>
      </c>
      <c r="B2214" t="s">
        <v>18</v>
      </c>
      <c r="C2214">
        <v>206</v>
      </c>
      <c r="D2214">
        <v>3105</v>
      </c>
      <c r="E2214">
        <v>38</v>
      </c>
      <c r="F2214" t="s">
        <v>63</v>
      </c>
      <c r="G2214" t="s">
        <v>14</v>
      </c>
      <c r="H2214">
        <v>792</v>
      </c>
      <c r="I2214">
        <v>54</v>
      </c>
      <c r="J2214" t="s">
        <v>35</v>
      </c>
      <c r="K2214">
        <v>2644</v>
      </c>
      <c r="L2214" t="s">
        <v>22</v>
      </c>
    </row>
    <row r="2215" spans="1:12" x14ac:dyDescent="0.3">
      <c r="A2215">
        <v>2004</v>
      </c>
      <c r="B2215" t="s">
        <v>18</v>
      </c>
      <c r="C2215">
        <v>243</v>
      </c>
      <c r="D2215">
        <v>236</v>
      </c>
      <c r="E2215">
        <v>38</v>
      </c>
      <c r="F2215" t="s">
        <v>63</v>
      </c>
      <c r="G2215" t="s">
        <v>14</v>
      </c>
      <c r="H2215">
        <v>34153</v>
      </c>
      <c r="I2215">
        <v>53</v>
      </c>
      <c r="J2215" t="s">
        <v>35</v>
      </c>
      <c r="K2215">
        <v>44235</v>
      </c>
      <c r="L2215" t="s">
        <v>22</v>
      </c>
    </row>
    <row r="2216" spans="1:12" x14ac:dyDescent="0.3">
      <c r="A2216">
        <v>2004</v>
      </c>
      <c r="B2216" t="s">
        <v>18</v>
      </c>
      <c r="C2216">
        <v>123</v>
      </c>
      <c r="D2216">
        <v>236</v>
      </c>
      <c r="E2216">
        <v>39</v>
      </c>
      <c r="F2216" t="s">
        <v>63</v>
      </c>
      <c r="G2216" t="s">
        <v>21</v>
      </c>
      <c r="H2216">
        <v>2570</v>
      </c>
      <c r="I2216">
        <v>59.5</v>
      </c>
      <c r="J2216" t="s">
        <v>35</v>
      </c>
      <c r="K2216">
        <v>203317</v>
      </c>
      <c r="L2216" t="s">
        <v>22</v>
      </c>
    </row>
    <row r="2217" spans="1:12" x14ac:dyDescent="0.3">
      <c r="A2217">
        <v>2004</v>
      </c>
      <c r="B2217" t="s">
        <v>18</v>
      </c>
      <c r="C2217">
        <v>82</v>
      </c>
      <c r="D2217">
        <v>321</v>
      </c>
      <c r="E2217">
        <v>39</v>
      </c>
      <c r="F2217" t="s">
        <v>63</v>
      </c>
      <c r="G2217" t="s">
        <v>21</v>
      </c>
      <c r="H2217">
        <v>27170</v>
      </c>
      <c r="I2217">
        <v>55</v>
      </c>
      <c r="J2217" t="s">
        <v>35</v>
      </c>
      <c r="K2217">
        <v>2134</v>
      </c>
      <c r="L2217" t="s">
        <v>22</v>
      </c>
    </row>
    <row r="2218" spans="1:12" x14ac:dyDescent="0.3">
      <c r="A2218">
        <v>2004</v>
      </c>
      <c r="B2218" t="s">
        <v>18</v>
      </c>
      <c r="C2218">
        <v>74</v>
      </c>
      <c r="D2218">
        <v>3654</v>
      </c>
      <c r="E2218">
        <v>39</v>
      </c>
      <c r="F2218" t="s">
        <v>63</v>
      </c>
      <c r="G2218" t="s">
        <v>21</v>
      </c>
      <c r="H2218">
        <v>114744</v>
      </c>
      <c r="I2218">
        <v>53</v>
      </c>
      <c r="J2218" t="s">
        <v>35</v>
      </c>
      <c r="K2218">
        <v>45186</v>
      </c>
      <c r="L2218" t="s">
        <v>22</v>
      </c>
    </row>
    <row r="2219" spans="1:12" x14ac:dyDescent="0.3">
      <c r="A2219">
        <v>2004</v>
      </c>
      <c r="B2219" t="s">
        <v>18</v>
      </c>
      <c r="C2219">
        <v>18</v>
      </c>
      <c r="D2219">
        <v>323</v>
      </c>
      <c r="E2219">
        <v>41</v>
      </c>
      <c r="F2219" t="s">
        <v>63</v>
      </c>
      <c r="G2219" t="s">
        <v>21</v>
      </c>
      <c r="H2219">
        <v>1402</v>
      </c>
      <c r="I2219">
        <v>53.5</v>
      </c>
      <c r="J2219" t="s">
        <v>35</v>
      </c>
      <c r="K2219">
        <v>238542</v>
      </c>
      <c r="L2219" t="s">
        <v>22</v>
      </c>
    </row>
    <row r="2220" spans="1:12" x14ac:dyDescent="0.3">
      <c r="A2220">
        <v>2004</v>
      </c>
      <c r="B2220" t="s">
        <v>18</v>
      </c>
      <c r="C2220">
        <v>37</v>
      </c>
      <c r="D2220">
        <v>324</v>
      </c>
      <c r="E2220">
        <v>42</v>
      </c>
      <c r="F2220" t="s">
        <v>63</v>
      </c>
      <c r="G2220" t="s">
        <v>21</v>
      </c>
      <c r="H2220">
        <v>23456</v>
      </c>
      <c r="I2220">
        <v>52.5</v>
      </c>
      <c r="J2220" t="s">
        <v>35</v>
      </c>
      <c r="K2220">
        <v>1516</v>
      </c>
      <c r="L2220" t="s">
        <v>22</v>
      </c>
    </row>
    <row r="2221" spans="1:12" x14ac:dyDescent="0.3">
      <c r="A2221">
        <v>2004</v>
      </c>
      <c r="B2221" t="s">
        <v>18</v>
      </c>
      <c r="C2221">
        <v>35</v>
      </c>
      <c r="D2221">
        <v>3105</v>
      </c>
      <c r="E2221">
        <v>42</v>
      </c>
      <c r="F2221" t="s">
        <v>63</v>
      </c>
      <c r="G2221" t="s">
        <v>21</v>
      </c>
      <c r="H2221">
        <v>107809</v>
      </c>
      <c r="I2221">
        <v>56</v>
      </c>
      <c r="J2221" t="s">
        <v>35</v>
      </c>
      <c r="K2221">
        <v>57259</v>
      </c>
      <c r="L2221" t="s">
        <v>22</v>
      </c>
    </row>
    <row r="2222" spans="1:12" x14ac:dyDescent="0.3">
      <c r="A2222">
        <v>2004</v>
      </c>
      <c r="B2222" t="s">
        <v>18</v>
      </c>
      <c r="C2222">
        <v>5974</v>
      </c>
      <c r="D2222">
        <v>326</v>
      </c>
      <c r="E2222">
        <v>42</v>
      </c>
      <c r="F2222" t="s">
        <v>63</v>
      </c>
      <c r="G2222" t="s">
        <v>21</v>
      </c>
      <c r="H2222">
        <v>1132</v>
      </c>
      <c r="I2222">
        <v>57</v>
      </c>
      <c r="J2222" t="s">
        <v>35</v>
      </c>
      <c r="K2222">
        <v>234779</v>
      </c>
      <c r="L2222" t="s">
        <v>22</v>
      </c>
    </row>
    <row r="2223" spans="1:12" x14ac:dyDescent="0.3">
      <c r="A2223">
        <v>2004</v>
      </c>
      <c r="B2223" t="s">
        <v>18</v>
      </c>
      <c r="C2223">
        <v>6631</v>
      </c>
      <c r="D2223">
        <v>327</v>
      </c>
      <c r="E2223">
        <v>43</v>
      </c>
      <c r="F2223" t="s">
        <v>63</v>
      </c>
      <c r="G2223" t="s">
        <v>21</v>
      </c>
      <c r="H2223">
        <v>23960</v>
      </c>
      <c r="I2223">
        <v>57.5</v>
      </c>
      <c r="J2223" t="s">
        <v>35</v>
      </c>
      <c r="K2223">
        <v>1493</v>
      </c>
      <c r="L2223" t="s">
        <v>22</v>
      </c>
    </row>
    <row r="2224" spans="1:12" x14ac:dyDescent="0.3">
      <c r="A2224">
        <v>2004</v>
      </c>
      <c r="B2224" t="s">
        <v>18</v>
      </c>
      <c r="C2224">
        <v>6705</v>
      </c>
      <c r="D2224">
        <v>328</v>
      </c>
      <c r="E2224">
        <v>43</v>
      </c>
      <c r="F2224" t="s">
        <v>63</v>
      </c>
      <c r="G2224" t="s">
        <v>21</v>
      </c>
      <c r="H2224">
        <v>126487</v>
      </c>
      <c r="I2224">
        <v>57</v>
      </c>
      <c r="J2224" t="s">
        <v>35</v>
      </c>
      <c r="K2224">
        <v>64409</v>
      </c>
      <c r="L2224" t="s">
        <v>22</v>
      </c>
    </row>
    <row r="2225" spans="1:12" x14ac:dyDescent="0.3">
      <c r="A2225">
        <v>2004</v>
      </c>
      <c r="B2225" t="s">
        <v>18</v>
      </c>
      <c r="C2225">
        <v>5876</v>
      </c>
      <c r="D2225">
        <v>2903.1</v>
      </c>
      <c r="E2225">
        <v>128</v>
      </c>
      <c r="F2225" t="s">
        <v>63</v>
      </c>
      <c r="G2225" t="s">
        <v>21</v>
      </c>
      <c r="H2225">
        <v>804</v>
      </c>
      <c r="I2225">
        <v>55</v>
      </c>
      <c r="J2225" t="s">
        <v>35</v>
      </c>
      <c r="K2225">
        <v>249978</v>
      </c>
      <c r="L2225" t="s">
        <v>22</v>
      </c>
    </row>
    <row r="2226" spans="1:12" x14ac:dyDescent="0.3">
      <c r="A2226">
        <v>2004</v>
      </c>
      <c r="B2226" t="s">
        <v>18</v>
      </c>
      <c r="C2226">
        <v>326</v>
      </c>
      <c r="D2226">
        <v>2903.1</v>
      </c>
      <c r="E2226">
        <v>129</v>
      </c>
      <c r="F2226" t="s">
        <v>63</v>
      </c>
      <c r="G2226" t="s">
        <v>21</v>
      </c>
      <c r="H2226">
        <v>30362</v>
      </c>
      <c r="I2226">
        <v>56</v>
      </c>
      <c r="J2226" t="s">
        <v>35</v>
      </c>
      <c r="K2226">
        <v>637</v>
      </c>
      <c r="L2226" t="s">
        <v>22</v>
      </c>
    </row>
    <row r="2227" spans="1:12" x14ac:dyDescent="0.3">
      <c r="A2227">
        <v>2004</v>
      </c>
      <c r="B2227" t="s">
        <v>18</v>
      </c>
      <c r="C2227">
        <v>6470</v>
      </c>
      <c r="D2227">
        <v>2903.1</v>
      </c>
      <c r="E2227">
        <v>130</v>
      </c>
      <c r="F2227" t="s">
        <v>63</v>
      </c>
      <c r="G2227" t="s">
        <v>21</v>
      </c>
      <c r="H2227">
        <v>124492</v>
      </c>
      <c r="I2227">
        <v>54</v>
      </c>
      <c r="J2227" t="s">
        <v>35</v>
      </c>
      <c r="K2227">
        <v>43311</v>
      </c>
      <c r="L2227" t="s">
        <v>22</v>
      </c>
    </row>
    <row r="2228" spans="1:12" x14ac:dyDescent="0.3">
      <c r="A2228">
        <v>2004</v>
      </c>
      <c r="B2228" t="s">
        <v>20</v>
      </c>
      <c r="C2228">
        <v>6709</v>
      </c>
      <c r="D2228">
        <v>2996.6</v>
      </c>
      <c r="E2228">
        <v>131</v>
      </c>
      <c r="F2228" t="s">
        <v>63</v>
      </c>
      <c r="G2228" t="s">
        <v>14</v>
      </c>
      <c r="H2228">
        <v>792</v>
      </c>
      <c r="I2228">
        <v>57</v>
      </c>
      <c r="J2228" t="s">
        <v>15</v>
      </c>
      <c r="K2228">
        <v>200000</v>
      </c>
      <c r="L2228" t="s">
        <v>22</v>
      </c>
    </row>
    <row r="2229" spans="1:12" x14ac:dyDescent="0.3">
      <c r="A2229">
        <v>2004</v>
      </c>
      <c r="B2229" t="s">
        <v>20</v>
      </c>
      <c r="C2229">
        <v>6186</v>
      </c>
      <c r="D2229">
        <v>2996.6</v>
      </c>
      <c r="E2229">
        <v>132</v>
      </c>
      <c r="F2229" t="s">
        <v>63</v>
      </c>
      <c r="G2229" t="s">
        <v>14</v>
      </c>
      <c r="H2229">
        <v>34153</v>
      </c>
      <c r="I2229">
        <v>57.5</v>
      </c>
      <c r="J2229" t="s">
        <v>15</v>
      </c>
      <c r="K2229">
        <v>4847</v>
      </c>
      <c r="L2229" t="s">
        <v>22</v>
      </c>
    </row>
    <row r="2230" spans="1:12" x14ac:dyDescent="0.3">
      <c r="A2230">
        <v>2004</v>
      </c>
      <c r="B2230" t="s">
        <v>20</v>
      </c>
      <c r="C2230">
        <v>6503</v>
      </c>
      <c r="D2230">
        <v>2996.6</v>
      </c>
      <c r="E2230">
        <v>133</v>
      </c>
      <c r="F2230" t="s">
        <v>63</v>
      </c>
      <c r="G2230" t="s">
        <v>14</v>
      </c>
      <c r="H2230">
        <v>132551</v>
      </c>
      <c r="I2230">
        <v>57</v>
      </c>
      <c r="J2230" t="s">
        <v>15</v>
      </c>
      <c r="K2230">
        <v>51239</v>
      </c>
      <c r="L2230" t="s">
        <v>22</v>
      </c>
    </row>
    <row r="2231" spans="1:12" x14ac:dyDescent="0.3">
      <c r="A2231">
        <v>2004</v>
      </c>
      <c r="B2231" t="s">
        <v>20</v>
      </c>
      <c r="C2231">
        <v>5220</v>
      </c>
      <c r="D2231">
        <v>3522.8</v>
      </c>
      <c r="E2231">
        <v>134</v>
      </c>
      <c r="F2231" t="s">
        <v>63</v>
      </c>
      <c r="G2231" t="s">
        <v>14</v>
      </c>
      <c r="H2231">
        <v>338</v>
      </c>
      <c r="I2231">
        <v>55</v>
      </c>
      <c r="J2231" t="s">
        <v>15</v>
      </c>
      <c r="K2231">
        <v>216396</v>
      </c>
      <c r="L2231" t="s">
        <v>22</v>
      </c>
    </row>
    <row r="2232" spans="1:12" x14ac:dyDescent="0.3">
      <c r="A2232">
        <v>2004</v>
      </c>
      <c r="B2232" t="s">
        <v>20</v>
      </c>
      <c r="C2232">
        <v>4677</v>
      </c>
      <c r="D2232">
        <v>3522.8</v>
      </c>
      <c r="E2232">
        <v>135</v>
      </c>
      <c r="F2232" t="s">
        <v>63</v>
      </c>
      <c r="G2232" t="s">
        <v>14</v>
      </c>
      <c r="H2232">
        <v>22966</v>
      </c>
      <c r="I2232">
        <v>56</v>
      </c>
      <c r="J2232" t="s">
        <v>15</v>
      </c>
      <c r="K2232">
        <v>2644</v>
      </c>
      <c r="L2232" t="s">
        <v>22</v>
      </c>
    </row>
    <row r="2233" spans="1:12" x14ac:dyDescent="0.3">
      <c r="A2233">
        <v>2004</v>
      </c>
      <c r="B2233" t="s">
        <v>20</v>
      </c>
      <c r="C2233">
        <v>4803</v>
      </c>
      <c r="D2233">
        <v>3522.8</v>
      </c>
      <c r="E2233">
        <v>136</v>
      </c>
      <c r="F2233" t="s">
        <v>13</v>
      </c>
      <c r="G2233" t="s">
        <v>14</v>
      </c>
      <c r="H2233">
        <v>131763</v>
      </c>
      <c r="I2233">
        <v>54</v>
      </c>
      <c r="J2233" t="s">
        <v>15</v>
      </c>
      <c r="K2233">
        <v>44235</v>
      </c>
      <c r="L2233" t="s">
        <v>22</v>
      </c>
    </row>
    <row r="2234" spans="1:12" x14ac:dyDescent="0.3">
      <c r="A2234">
        <v>2004</v>
      </c>
      <c r="B2234" t="s">
        <v>20</v>
      </c>
      <c r="C2234">
        <v>3739</v>
      </c>
      <c r="D2234">
        <v>3729.8</v>
      </c>
      <c r="E2234">
        <v>137</v>
      </c>
      <c r="F2234" t="s">
        <v>13</v>
      </c>
      <c r="G2234" t="s">
        <v>14</v>
      </c>
      <c r="H2234">
        <v>404</v>
      </c>
      <c r="I2234">
        <v>58</v>
      </c>
      <c r="J2234" t="s">
        <v>15</v>
      </c>
      <c r="K2234">
        <v>203317</v>
      </c>
      <c r="L2234" t="s">
        <v>22</v>
      </c>
    </row>
    <row r="2235" spans="1:12" x14ac:dyDescent="0.3">
      <c r="A2235">
        <v>2004</v>
      </c>
      <c r="B2235" t="s">
        <v>20</v>
      </c>
      <c r="C2235">
        <v>3529</v>
      </c>
      <c r="D2235">
        <v>3729.8</v>
      </c>
      <c r="E2235">
        <v>138</v>
      </c>
      <c r="F2235" t="s">
        <v>13</v>
      </c>
      <c r="G2235" t="s">
        <v>14</v>
      </c>
      <c r="H2235">
        <v>24184</v>
      </c>
      <c r="I2235">
        <v>58</v>
      </c>
      <c r="J2235" t="s">
        <v>15</v>
      </c>
      <c r="K2235">
        <v>2134</v>
      </c>
      <c r="L2235" t="s">
        <v>22</v>
      </c>
    </row>
    <row r="2236" spans="1:12" x14ac:dyDescent="0.3">
      <c r="A2236">
        <v>2004</v>
      </c>
      <c r="B2236" t="s">
        <v>20</v>
      </c>
      <c r="C2236">
        <v>3649</v>
      </c>
      <c r="D2236">
        <v>3729.8</v>
      </c>
      <c r="E2236">
        <v>139</v>
      </c>
      <c r="F2236" t="s">
        <v>13</v>
      </c>
      <c r="G2236" t="s">
        <v>14</v>
      </c>
      <c r="H2236">
        <v>124387</v>
      </c>
      <c r="I2236">
        <v>59</v>
      </c>
      <c r="J2236" t="s">
        <v>15</v>
      </c>
      <c r="K2236">
        <v>45186</v>
      </c>
      <c r="L2236" t="s">
        <v>22</v>
      </c>
    </row>
    <row r="2237" spans="1:12" x14ac:dyDescent="0.3">
      <c r="A2237">
        <v>2013</v>
      </c>
      <c r="B2237" t="s">
        <v>20</v>
      </c>
      <c r="C2237">
        <v>1374</v>
      </c>
      <c r="D2237">
        <v>2746.2</v>
      </c>
      <c r="E2237">
        <v>140</v>
      </c>
      <c r="F2237" t="s">
        <v>13</v>
      </c>
      <c r="G2237" t="s">
        <v>14</v>
      </c>
      <c r="H2237">
        <v>343</v>
      </c>
      <c r="I2237">
        <v>50</v>
      </c>
      <c r="J2237" t="s">
        <v>15</v>
      </c>
      <c r="K2237">
        <v>238542</v>
      </c>
      <c r="L2237" t="s">
        <v>22</v>
      </c>
    </row>
    <row r="2238" spans="1:12" x14ac:dyDescent="0.3">
      <c r="A2238">
        <v>2014</v>
      </c>
      <c r="B2238" t="s">
        <v>20</v>
      </c>
      <c r="C2238">
        <v>933</v>
      </c>
      <c r="D2238">
        <v>2746.2</v>
      </c>
      <c r="E2238">
        <v>141</v>
      </c>
      <c r="F2238" t="s">
        <v>13</v>
      </c>
      <c r="G2238" t="s">
        <v>14</v>
      </c>
      <c r="H2238">
        <v>23099</v>
      </c>
      <c r="I2238">
        <v>54</v>
      </c>
      <c r="J2238" t="s">
        <v>15</v>
      </c>
      <c r="K2238">
        <v>1516</v>
      </c>
      <c r="L2238" t="s">
        <v>22</v>
      </c>
    </row>
    <row r="2239" spans="1:12" x14ac:dyDescent="0.3">
      <c r="A2239">
        <v>2015</v>
      </c>
      <c r="B2239" t="s">
        <v>20</v>
      </c>
      <c r="C2239">
        <v>345</v>
      </c>
      <c r="D2239">
        <v>2746.2</v>
      </c>
      <c r="E2239">
        <v>142</v>
      </c>
      <c r="F2239" t="s">
        <v>13</v>
      </c>
      <c r="G2239" t="s">
        <v>14</v>
      </c>
      <c r="H2239">
        <v>117825.84</v>
      </c>
      <c r="I2239">
        <v>53</v>
      </c>
      <c r="J2239" t="s">
        <v>15</v>
      </c>
      <c r="K2239">
        <v>57259</v>
      </c>
      <c r="L2239" t="s">
        <v>22</v>
      </c>
    </row>
    <row r="2240" spans="1:12" x14ac:dyDescent="0.3">
      <c r="A2240">
        <v>2016</v>
      </c>
      <c r="B2240" t="s">
        <v>20</v>
      </c>
      <c r="C2240">
        <v>29</v>
      </c>
      <c r="D2240">
        <v>3360</v>
      </c>
      <c r="E2240">
        <v>143</v>
      </c>
      <c r="F2240" t="s">
        <v>13</v>
      </c>
      <c r="G2240" t="s">
        <v>14</v>
      </c>
      <c r="H2240">
        <v>336</v>
      </c>
      <c r="I2240">
        <v>52</v>
      </c>
      <c r="J2240" t="s">
        <v>15</v>
      </c>
      <c r="K2240">
        <v>234779</v>
      </c>
      <c r="L2240" t="s">
        <v>22</v>
      </c>
    </row>
    <row r="2241" spans="1:12" x14ac:dyDescent="0.3">
      <c r="A2241">
        <v>2017</v>
      </c>
      <c r="B2241" t="s">
        <v>20</v>
      </c>
      <c r="C2241">
        <v>11</v>
      </c>
      <c r="D2241">
        <v>3360</v>
      </c>
      <c r="E2241">
        <v>144</v>
      </c>
      <c r="F2241" t="s">
        <v>13</v>
      </c>
      <c r="G2241" t="s">
        <v>14</v>
      </c>
      <c r="H2241">
        <v>22594</v>
      </c>
      <c r="I2241">
        <v>51</v>
      </c>
      <c r="J2241" t="s">
        <v>15</v>
      </c>
      <c r="K2241">
        <v>1493</v>
      </c>
      <c r="L2241" t="s">
        <v>22</v>
      </c>
    </row>
    <row r="2242" spans="1:12" x14ac:dyDescent="0.3">
      <c r="A2242">
        <v>2018</v>
      </c>
      <c r="B2242" t="s">
        <v>20</v>
      </c>
      <c r="C2242">
        <v>10</v>
      </c>
      <c r="D2242">
        <v>3360</v>
      </c>
      <c r="E2242">
        <v>145</v>
      </c>
      <c r="F2242" t="s">
        <v>13</v>
      </c>
      <c r="G2242" t="s">
        <v>14</v>
      </c>
      <c r="H2242">
        <v>116481.07</v>
      </c>
      <c r="I2242">
        <v>57</v>
      </c>
      <c r="J2242" t="s">
        <v>15</v>
      </c>
      <c r="K2242">
        <v>64409</v>
      </c>
      <c r="L2242" t="s">
        <v>22</v>
      </c>
    </row>
    <row r="2243" spans="1:12" x14ac:dyDescent="0.3">
      <c r="A2243">
        <v>2004</v>
      </c>
      <c r="B2243" t="s">
        <v>20</v>
      </c>
      <c r="C2243">
        <v>7</v>
      </c>
      <c r="D2243">
        <v>3605.4</v>
      </c>
      <c r="E2243">
        <v>146</v>
      </c>
      <c r="F2243" t="s">
        <v>13</v>
      </c>
      <c r="G2243" t="s">
        <v>14</v>
      </c>
      <c r="H2243">
        <v>316</v>
      </c>
      <c r="I2243">
        <v>57</v>
      </c>
      <c r="J2243" t="s">
        <v>15</v>
      </c>
      <c r="K2243">
        <v>249978</v>
      </c>
      <c r="L2243" t="s">
        <v>22</v>
      </c>
    </row>
    <row r="2244" spans="1:12" x14ac:dyDescent="0.3">
      <c r="A2244">
        <v>2005</v>
      </c>
      <c r="B2244" t="s">
        <v>20</v>
      </c>
      <c r="C2244">
        <v>10</v>
      </c>
      <c r="D2244">
        <v>3605.4</v>
      </c>
      <c r="E2244">
        <v>147</v>
      </c>
      <c r="F2244" t="s">
        <v>13</v>
      </c>
      <c r="G2244" t="s">
        <v>14</v>
      </c>
      <c r="H2244">
        <v>21400</v>
      </c>
      <c r="I2244">
        <v>60</v>
      </c>
      <c r="J2244" t="s">
        <v>15</v>
      </c>
      <c r="K2244">
        <v>637</v>
      </c>
      <c r="L2244" t="s">
        <v>22</v>
      </c>
    </row>
    <row r="2245" spans="1:12" x14ac:dyDescent="0.3">
      <c r="A2245">
        <v>2006</v>
      </c>
      <c r="B2245" t="s">
        <v>20</v>
      </c>
      <c r="C2245">
        <v>56</v>
      </c>
      <c r="D2245">
        <v>3605.4</v>
      </c>
      <c r="E2245">
        <v>148</v>
      </c>
      <c r="F2245" t="s">
        <v>13</v>
      </c>
      <c r="G2245" t="s">
        <v>14</v>
      </c>
      <c r="H2245">
        <v>122102</v>
      </c>
      <c r="I2245">
        <v>57</v>
      </c>
      <c r="J2245" t="s">
        <v>15</v>
      </c>
      <c r="K2245">
        <v>43311</v>
      </c>
      <c r="L2245" t="s">
        <v>22</v>
      </c>
    </row>
    <row r="2246" spans="1:12" x14ac:dyDescent="0.3">
      <c r="A2246">
        <v>2007</v>
      </c>
      <c r="B2246" t="s">
        <v>20</v>
      </c>
      <c r="C2246">
        <v>68</v>
      </c>
      <c r="D2246">
        <v>3512.4</v>
      </c>
      <c r="E2246">
        <v>149</v>
      </c>
      <c r="F2246" t="s">
        <v>13</v>
      </c>
      <c r="G2246" t="s">
        <v>14</v>
      </c>
      <c r="H2246">
        <v>382</v>
      </c>
      <c r="I2246">
        <v>57</v>
      </c>
      <c r="J2246" t="s">
        <v>15</v>
      </c>
      <c r="K2246">
        <v>24848</v>
      </c>
      <c r="L2246" t="s">
        <v>22</v>
      </c>
    </row>
    <row r="2247" spans="1:12" x14ac:dyDescent="0.3">
      <c r="A2247">
        <v>2008</v>
      </c>
      <c r="B2247" t="s">
        <v>20</v>
      </c>
      <c r="C2247">
        <v>56</v>
      </c>
      <c r="D2247">
        <v>3512.4</v>
      </c>
      <c r="E2247">
        <v>150</v>
      </c>
      <c r="F2247" t="s">
        <v>13</v>
      </c>
      <c r="G2247" t="s">
        <v>14</v>
      </c>
      <c r="H2247">
        <v>19578</v>
      </c>
      <c r="I2247">
        <v>54</v>
      </c>
      <c r="J2247" t="s">
        <v>15</v>
      </c>
      <c r="K2247">
        <v>761</v>
      </c>
      <c r="L2247" t="s">
        <v>22</v>
      </c>
    </row>
    <row r="2248" spans="1:12" x14ac:dyDescent="0.3">
      <c r="A2248">
        <v>2009</v>
      </c>
      <c r="B2248" t="s">
        <v>23</v>
      </c>
      <c r="C2248">
        <v>66</v>
      </c>
      <c r="D2248">
        <v>3512.4</v>
      </c>
      <c r="E2248">
        <v>151</v>
      </c>
      <c r="F2248" t="s">
        <v>13</v>
      </c>
      <c r="G2248" t="s">
        <v>14</v>
      </c>
      <c r="H2248">
        <v>121037</v>
      </c>
      <c r="I2248">
        <v>54.5</v>
      </c>
      <c r="J2248" t="s">
        <v>15</v>
      </c>
      <c r="K2248">
        <v>45608</v>
      </c>
      <c r="L2248" t="s">
        <v>22</v>
      </c>
    </row>
    <row r="2249" spans="1:12" x14ac:dyDescent="0.3">
      <c r="A2249">
        <v>2010</v>
      </c>
      <c r="B2249" t="s">
        <v>23</v>
      </c>
      <c r="C2249">
        <v>55</v>
      </c>
      <c r="D2249">
        <v>3296</v>
      </c>
      <c r="E2249">
        <v>152</v>
      </c>
      <c r="F2249" t="s">
        <v>13</v>
      </c>
      <c r="G2249" t="s">
        <v>14</v>
      </c>
      <c r="H2249">
        <v>231</v>
      </c>
      <c r="I2249">
        <v>56.6</v>
      </c>
      <c r="J2249" t="s">
        <v>15</v>
      </c>
      <c r="K2249">
        <v>234581</v>
      </c>
      <c r="L2249" t="s">
        <v>22</v>
      </c>
    </row>
    <row r="2250" spans="1:12" x14ac:dyDescent="0.3">
      <c r="A2250">
        <v>2011</v>
      </c>
      <c r="B2250" t="s">
        <v>23</v>
      </c>
      <c r="C2250">
        <v>42</v>
      </c>
      <c r="D2250">
        <v>3296</v>
      </c>
      <c r="E2250">
        <v>153</v>
      </c>
      <c r="F2250" t="s">
        <v>13</v>
      </c>
      <c r="G2250" t="s">
        <v>14</v>
      </c>
      <c r="H2250">
        <v>18951</v>
      </c>
      <c r="I2250">
        <v>55.5</v>
      </c>
      <c r="J2250" t="s">
        <v>15</v>
      </c>
      <c r="K2250">
        <v>646</v>
      </c>
      <c r="L2250" t="s">
        <v>22</v>
      </c>
    </row>
    <row r="2251" spans="1:12" x14ac:dyDescent="0.3">
      <c r="A2251">
        <v>2012</v>
      </c>
      <c r="B2251" t="s">
        <v>23</v>
      </c>
      <c r="C2251">
        <v>51179</v>
      </c>
      <c r="D2251">
        <v>3296</v>
      </c>
      <c r="E2251">
        <v>154</v>
      </c>
      <c r="F2251" t="s">
        <v>13</v>
      </c>
      <c r="G2251" t="s">
        <v>14</v>
      </c>
      <c r="H2251">
        <v>110579</v>
      </c>
      <c r="I2251">
        <v>58.5</v>
      </c>
      <c r="J2251" t="s">
        <v>15</v>
      </c>
      <c r="K2251">
        <v>43562</v>
      </c>
      <c r="L2251" t="s">
        <v>22</v>
      </c>
    </row>
    <row r="2252" spans="1:12" x14ac:dyDescent="0.3">
      <c r="A2252">
        <v>2013</v>
      </c>
      <c r="B2252" t="s">
        <v>23</v>
      </c>
      <c r="C2252">
        <v>468</v>
      </c>
      <c r="D2252">
        <v>3550</v>
      </c>
      <c r="E2252">
        <v>155</v>
      </c>
      <c r="F2252" t="s">
        <v>13</v>
      </c>
      <c r="G2252" t="s">
        <v>14</v>
      </c>
      <c r="H2252">
        <v>221</v>
      </c>
      <c r="I2252">
        <v>59.5</v>
      </c>
      <c r="J2252" t="s">
        <v>15</v>
      </c>
      <c r="K2252">
        <v>200000</v>
      </c>
      <c r="L2252" t="s">
        <v>22</v>
      </c>
    </row>
    <row r="2253" spans="1:12" x14ac:dyDescent="0.3">
      <c r="A2253">
        <v>2014</v>
      </c>
      <c r="B2253" t="s">
        <v>23</v>
      </c>
      <c r="C2253">
        <v>11841</v>
      </c>
      <c r="D2253">
        <v>3550</v>
      </c>
      <c r="E2253">
        <v>156</v>
      </c>
      <c r="F2253" t="s">
        <v>13</v>
      </c>
      <c r="G2253" t="s">
        <v>14</v>
      </c>
      <c r="H2253">
        <v>15362</v>
      </c>
      <c r="I2253">
        <v>55</v>
      </c>
      <c r="J2253" t="s">
        <v>15</v>
      </c>
      <c r="K2253">
        <v>4847</v>
      </c>
      <c r="L2253" t="s">
        <v>22</v>
      </c>
    </row>
    <row r="2254" spans="1:12" x14ac:dyDescent="0.3">
      <c r="A2254">
        <v>2015</v>
      </c>
      <c r="B2254" t="s">
        <v>23</v>
      </c>
      <c r="C2254">
        <v>50975</v>
      </c>
      <c r="D2254">
        <v>3550</v>
      </c>
      <c r="E2254">
        <v>157</v>
      </c>
      <c r="F2254" t="s">
        <v>13</v>
      </c>
      <c r="G2254" t="s">
        <v>14</v>
      </c>
      <c r="H2254">
        <v>120373</v>
      </c>
      <c r="I2254">
        <v>53</v>
      </c>
      <c r="J2254" t="s">
        <v>15</v>
      </c>
      <c r="K2254">
        <v>51239</v>
      </c>
      <c r="L2254" t="s">
        <v>22</v>
      </c>
    </row>
    <row r="2255" spans="1:12" x14ac:dyDescent="0.3">
      <c r="A2255">
        <v>2016</v>
      </c>
      <c r="B2255" t="s">
        <v>23</v>
      </c>
      <c r="C2255">
        <v>206</v>
      </c>
      <c r="D2255">
        <v>3654</v>
      </c>
      <c r="E2255">
        <v>158</v>
      </c>
      <c r="F2255" t="s">
        <v>13</v>
      </c>
      <c r="G2255" t="s">
        <v>14</v>
      </c>
      <c r="H2255">
        <v>291</v>
      </c>
      <c r="I2255">
        <v>53.5</v>
      </c>
      <c r="J2255" t="s">
        <v>15</v>
      </c>
      <c r="K2255">
        <v>216396</v>
      </c>
      <c r="L2255" t="s">
        <v>22</v>
      </c>
    </row>
    <row r="2256" spans="1:12" x14ac:dyDescent="0.3">
      <c r="A2256">
        <v>2017</v>
      </c>
      <c r="B2256" t="s">
        <v>23</v>
      </c>
      <c r="C2256">
        <v>10922</v>
      </c>
      <c r="D2256">
        <v>3654</v>
      </c>
      <c r="E2256">
        <v>159</v>
      </c>
      <c r="F2256" t="s">
        <v>13</v>
      </c>
      <c r="G2256" t="s">
        <v>14</v>
      </c>
      <c r="H2256">
        <v>17231</v>
      </c>
      <c r="I2256">
        <v>52.5</v>
      </c>
      <c r="J2256" t="s">
        <v>15</v>
      </c>
      <c r="K2256">
        <v>2644</v>
      </c>
      <c r="L2256" t="s">
        <v>22</v>
      </c>
    </row>
    <row r="2257" spans="1:12" x14ac:dyDescent="0.3">
      <c r="A2257">
        <v>2018</v>
      </c>
      <c r="B2257" t="s">
        <v>23</v>
      </c>
      <c r="C2257">
        <v>51390</v>
      </c>
      <c r="D2257">
        <v>3654</v>
      </c>
      <c r="E2257">
        <v>160</v>
      </c>
      <c r="F2257" t="s">
        <v>13</v>
      </c>
      <c r="G2257" t="s">
        <v>14</v>
      </c>
      <c r="H2257">
        <v>119359</v>
      </c>
      <c r="I2257">
        <v>56</v>
      </c>
      <c r="J2257" t="s">
        <v>15</v>
      </c>
      <c r="K2257">
        <v>44235</v>
      </c>
      <c r="L2257" t="s">
        <v>22</v>
      </c>
    </row>
    <row r="2258" spans="1:12" x14ac:dyDescent="0.3">
      <c r="A2258">
        <v>2004</v>
      </c>
      <c r="B2258" t="s">
        <v>23</v>
      </c>
      <c r="C2258">
        <v>177</v>
      </c>
      <c r="D2258">
        <v>233</v>
      </c>
      <c r="E2258">
        <v>161</v>
      </c>
      <c r="F2258" t="s">
        <v>13</v>
      </c>
      <c r="G2258" t="s">
        <v>14</v>
      </c>
      <c r="H2258">
        <v>283</v>
      </c>
      <c r="I2258">
        <v>57</v>
      </c>
      <c r="J2258" t="s">
        <v>15</v>
      </c>
      <c r="K2258">
        <v>203317</v>
      </c>
      <c r="L2258" t="s">
        <v>22</v>
      </c>
    </row>
    <row r="2259" spans="1:12" x14ac:dyDescent="0.3">
      <c r="A2259">
        <v>2005</v>
      </c>
      <c r="B2259" t="s">
        <v>23</v>
      </c>
      <c r="C2259">
        <v>10723</v>
      </c>
      <c r="D2259">
        <v>233</v>
      </c>
      <c r="E2259">
        <v>162</v>
      </c>
      <c r="F2259" t="s">
        <v>13</v>
      </c>
      <c r="G2259" t="s">
        <v>14</v>
      </c>
      <c r="H2259">
        <v>17690</v>
      </c>
      <c r="I2259">
        <v>57.5</v>
      </c>
      <c r="J2259" t="s">
        <v>15</v>
      </c>
      <c r="K2259">
        <v>2134</v>
      </c>
      <c r="L2259" t="s">
        <v>22</v>
      </c>
    </row>
    <row r="2260" spans="1:12" x14ac:dyDescent="0.3">
      <c r="A2260">
        <v>2006</v>
      </c>
      <c r="B2260" t="s">
        <v>23</v>
      </c>
      <c r="C2260">
        <v>51709</v>
      </c>
      <c r="D2260">
        <v>233</v>
      </c>
      <c r="E2260">
        <v>163</v>
      </c>
      <c r="F2260" t="s">
        <v>13</v>
      </c>
      <c r="G2260" t="s">
        <v>14</v>
      </c>
      <c r="H2260">
        <v>7157</v>
      </c>
      <c r="I2260">
        <v>57</v>
      </c>
      <c r="J2260" t="s">
        <v>15</v>
      </c>
      <c r="K2260">
        <v>45186</v>
      </c>
      <c r="L2260" t="s">
        <v>22</v>
      </c>
    </row>
    <row r="2261" spans="1:12" x14ac:dyDescent="0.3">
      <c r="A2261">
        <v>2007</v>
      </c>
      <c r="B2261" t="s">
        <v>23</v>
      </c>
      <c r="C2261">
        <v>146</v>
      </c>
      <c r="D2261">
        <v>234</v>
      </c>
      <c r="E2261">
        <v>164</v>
      </c>
      <c r="F2261" t="s">
        <v>13</v>
      </c>
      <c r="G2261" t="s">
        <v>14</v>
      </c>
      <c r="H2261">
        <v>8700</v>
      </c>
      <c r="I2261">
        <v>55</v>
      </c>
      <c r="J2261" t="s">
        <v>15</v>
      </c>
      <c r="K2261">
        <v>238542</v>
      </c>
      <c r="L2261" t="s">
        <v>22</v>
      </c>
    </row>
    <row r="2262" spans="1:12" x14ac:dyDescent="0.3">
      <c r="A2262">
        <v>2008</v>
      </c>
      <c r="B2262" t="s">
        <v>23</v>
      </c>
      <c r="C2262">
        <v>10910</v>
      </c>
      <c r="D2262">
        <v>234</v>
      </c>
      <c r="E2262">
        <v>165</v>
      </c>
      <c r="F2262" t="s">
        <v>13</v>
      </c>
      <c r="G2262" t="s">
        <v>14</v>
      </c>
      <c r="H2262">
        <v>41266</v>
      </c>
      <c r="I2262">
        <v>56</v>
      </c>
      <c r="J2262" t="s">
        <v>15</v>
      </c>
      <c r="K2262">
        <v>1516</v>
      </c>
      <c r="L2262" t="s">
        <v>22</v>
      </c>
    </row>
    <row r="2263" spans="1:12" x14ac:dyDescent="0.3">
      <c r="A2263">
        <v>2009</v>
      </c>
      <c r="B2263" t="s">
        <v>23</v>
      </c>
      <c r="C2263">
        <v>51355</v>
      </c>
      <c r="D2263">
        <v>234</v>
      </c>
      <c r="E2263">
        <v>166</v>
      </c>
      <c r="F2263" t="s">
        <v>13</v>
      </c>
      <c r="G2263" t="s">
        <v>14</v>
      </c>
      <c r="H2263">
        <v>8838</v>
      </c>
      <c r="I2263">
        <v>54</v>
      </c>
      <c r="J2263" t="s">
        <v>15</v>
      </c>
      <c r="K2263">
        <v>57259</v>
      </c>
      <c r="L2263" t="s">
        <v>22</v>
      </c>
    </row>
    <row r="2264" spans="1:12" x14ac:dyDescent="0.3">
      <c r="A2264">
        <v>2010</v>
      </c>
      <c r="B2264" t="s">
        <v>23</v>
      </c>
      <c r="C2264">
        <v>160</v>
      </c>
      <c r="D2264">
        <v>3105</v>
      </c>
      <c r="E2264">
        <v>167</v>
      </c>
      <c r="F2264" t="s">
        <v>13</v>
      </c>
      <c r="G2264" t="s">
        <v>14</v>
      </c>
      <c r="H2264">
        <v>8954</v>
      </c>
      <c r="I2264">
        <v>58</v>
      </c>
      <c r="J2264" t="s">
        <v>15</v>
      </c>
      <c r="K2264">
        <v>234779</v>
      </c>
      <c r="L2264" t="s">
        <v>22</v>
      </c>
    </row>
    <row r="2265" spans="1:12" x14ac:dyDescent="0.3">
      <c r="A2265">
        <v>2011</v>
      </c>
      <c r="B2265" t="s">
        <v>23</v>
      </c>
      <c r="C2265">
        <v>10912</v>
      </c>
      <c r="D2265">
        <v>3105</v>
      </c>
      <c r="E2265">
        <v>168</v>
      </c>
      <c r="F2265" t="s">
        <v>13</v>
      </c>
      <c r="G2265" t="s">
        <v>14</v>
      </c>
      <c r="H2265">
        <v>42915</v>
      </c>
      <c r="I2265">
        <v>58</v>
      </c>
      <c r="J2265" t="s">
        <v>15</v>
      </c>
      <c r="K2265">
        <v>1493</v>
      </c>
      <c r="L2265" t="s">
        <v>22</v>
      </c>
    </row>
    <row r="2266" spans="1:12" x14ac:dyDescent="0.3">
      <c r="A2266">
        <v>2012</v>
      </c>
      <c r="B2266" t="s">
        <v>23</v>
      </c>
      <c r="C2266">
        <v>51353</v>
      </c>
      <c r="D2266">
        <v>3105</v>
      </c>
      <c r="E2266">
        <v>169</v>
      </c>
      <c r="F2266" t="s">
        <v>45</v>
      </c>
      <c r="G2266" t="s">
        <v>14</v>
      </c>
      <c r="H2266">
        <v>9230</v>
      </c>
      <c r="I2266">
        <v>59</v>
      </c>
      <c r="J2266" t="s">
        <v>15</v>
      </c>
      <c r="K2266">
        <v>64409</v>
      </c>
      <c r="L2266" t="s">
        <v>22</v>
      </c>
    </row>
    <row r="2267" spans="1:12" x14ac:dyDescent="0.3">
      <c r="A2267">
        <v>2013</v>
      </c>
      <c r="B2267" t="s">
        <v>23</v>
      </c>
      <c r="C2267">
        <v>142</v>
      </c>
      <c r="D2267">
        <v>236</v>
      </c>
      <c r="E2267">
        <v>170</v>
      </c>
      <c r="F2267" t="s">
        <v>45</v>
      </c>
      <c r="G2267" t="s">
        <v>14</v>
      </c>
      <c r="H2267">
        <v>44313</v>
      </c>
      <c r="I2267">
        <v>50</v>
      </c>
      <c r="J2267" t="s">
        <v>15</v>
      </c>
      <c r="K2267">
        <v>249978</v>
      </c>
      <c r="L2267" t="s">
        <v>22</v>
      </c>
    </row>
    <row r="2268" spans="1:12" x14ac:dyDescent="0.3">
      <c r="A2268">
        <v>2014</v>
      </c>
      <c r="B2268" t="s">
        <v>23</v>
      </c>
      <c r="C2268">
        <v>10505</v>
      </c>
      <c r="D2268">
        <v>236</v>
      </c>
      <c r="E2268">
        <v>171</v>
      </c>
      <c r="F2268" t="s">
        <v>45</v>
      </c>
      <c r="G2268" t="s">
        <v>14</v>
      </c>
      <c r="H2268">
        <v>45820</v>
      </c>
      <c r="I2268">
        <v>54</v>
      </c>
      <c r="J2268" t="s">
        <v>15</v>
      </c>
      <c r="K2268">
        <v>637</v>
      </c>
      <c r="L2268" t="s">
        <v>22</v>
      </c>
    </row>
    <row r="2269" spans="1:12" x14ac:dyDescent="0.3">
      <c r="A2269">
        <v>2015</v>
      </c>
      <c r="B2269" t="s">
        <v>23</v>
      </c>
      <c r="C2269">
        <v>51040</v>
      </c>
      <c r="D2269">
        <v>2903.1</v>
      </c>
      <c r="E2269">
        <v>172</v>
      </c>
      <c r="F2269" t="s">
        <v>45</v>
      </c>
      <c r="G2269" t="s">
        <v>14</v>
      </c>
      <c r="H2269">
        <v>49084</v>
      </c>
      <c r="I2269">
        <v>53</v>
      </c>
      <c r="J2269" t="s">
        <v>15</v>
      </c>
      <c r="K2269">
        <v>43311</v>
      </c>
      <c r="L2269" t="s">
        <v>22</v>
      </c>
    </row>
    <row r="2270" spans="1:12" x14ac:dyDescent="0.3">
      <c r="A2270">
        <v>2016</v>
      </c>
      <c r="B2270" t="s">
        <v>23</v>
      </c>
      <c r="C2270">
        <v>154</v>
      </c>
      <c r="D2270">
        <v>2903.1</v>
      </c>
      <c r="E2270">
        <v>173</v>
      </c>
      <c r="F2270" t="s">
        <v>45</v>
      </c>
      <c r="G2270" t="s">
        <v>14</v>
      </c>
      <c r="H2270">
        <v>86311</v>
      </c>
      <c r="I2270">
        <v>52</v>
      </c>
      <c r="J2270" t="s">
        <v>15</v>
      </c>
      <c r="K2270">
        <v>24848</v>
      </c>
      <c r="L2270" t="s">
        <v>22</v>
      </c>
    </row>
    <row r="2271" spans="1:12" x14ac:dyDescent="0.3">
      <c r="A2271">
        <v>2017</v>
      </c>
      <c r="B2271" t="s">
        <v>23</v>
      </c>
      <c r="C2271">
        <v>10318</v>
      </c>
      <c r="D2271">
        <v>2903.1</v>
      </c>
      <c r="E2271">
        <v>174</v>
      </c>
      <c r="F2271" t="s">
        <v>45</v>
      </c>
      <c r="G2271" t="s">
        <v>14</v>
      </c>
      <c r="H2271">
        <v>57642</v>
      </c>
      <c r="I2271">
        <v>51</v>
      </c>
      <c r="J2271" t="s">
        <v>15</v>
      </c>
      <c r="K2271">
        <v>761</v>
      </c>
      <c r="L2271" t="s">
        <v>22</v>
      </c>
    </row>
    <row r="2272" spans="1:12" x14ac:dyDescent="0.3">
      <c r="A2272">
        <v>2018</v>
      </c>
      <c r="B2272" t="s">
        <v>23</v>
      </c>
      <c r="C2272">
        <v>48083</v>
      </c>
      <c r="D2272">
        <v>2996.6</v>
      </c>
      <c r="E2272">
        <v>175</v>
      </c>
      <c r="F2272" t="s">
        <v>45</v>
      </c>
      <c r="G2272" t="s">
        <v>21</v>
      </c>
      <c r="H2272">
        <v>58405</v>
      </c>
      <c r="I2272">
        <v>57</v>
      </c>
      <c r="J2272" t="s">
        <v>15</v>
      </c>
      <c r="K2272">
        <v>45608</v>
      </c>
      <c r="L2272" t="s">
        <v>22</v>
      </c>
    </row>
    <row r="2273" spans="1:12" x14ac:dyDescent="0.3">
      <c r="A2273">
        <v>2004</v>
      </c>
      <c r="B2273" t="s">
        <v>23</v>
      </c>
      <c r="C2273">
        <v>143</v>
      </c>
      <c r="D2273">
        <v>2996.6</v>
      </c>
      <c r="E2273">
        <v>176</v>
      </c>
      <c r="F2273" t="s">
        <v>45</v>
      </c>
      <c r="G2273" t="s">
        <v>21</v>
      </c>
      <c r="H2273">
        <v>60751</v>
      </c>
      <c r="I2273">
        <v>57</v>
      </c>
      <c r="J2273" t="s">
        <v>15</v>
      </c>
      <c r="K2273">
        <v>234581</v>
      </c>
      <c r="L2273" t="s">
        <v>22</v>
      </c>
    </row>
    <row r="2274" spans="1:12" x14ac:dyDescent="0.3">
      <c r="A2274">
        <v>2005</v>
      </c>
      <c r="B2274" t="s">
        <v>23</v>
      </c>
      <c r="C2274">
        <v>9283</v>
      </c>
      <c r="D2274">
        <v>2996.6</v>
      </c>
      <c r="E2274">
        <v>177</v>
      </c>
      <c r="F2274" t="s">
        <v>45</v>
      </c>
      <c r="G2274" t="s">
        <v>21</v>
      </c>
      <c r="H2274">
        <v>109506</v>
      </c>
      <c r="I2274">
        <v>60</v>
      </c>
      <c r="J2274" t="s">
        <v>15</v>
      </c>
      <c r="K2274">
        <v>646</v>
      </c>
      <c r="L2274" t="s">
        <v>22</v>
      </c>
    </row>
    <row r="2275" spans="1:12" x14ac:dyDescent="0.3">
      <c r="A2275">
        <v>2006</v>
      </c>
      <c r="B2275" t="s">
        <v>23</v>
      </c>
      <c r="C2275">
        <v>47200</v>
      </c>
      <c r="D2275">
        <v>3522.8</v>
      </c>
      <c r="E2275">
        <v>178</v>
      </c>
      <c r="F2275" t="s">
        <v>45</v>
      </c>
      <c r="G2275" t="s">
        <v>21</v>
      </c>
      <c r="H2275">
        <v>114</v>
      </c>
      <c r="I2275">
        <v>57</v>
      </c>
      <c r="J2275" t="s">
        <v>15</v>
      </c>
      <c r="K2275">
        <v>43562</v>
      </c>
      <c r="L2275" t="s">
        <v>22</v>
      </c>
    </row>
    <row r="2276" spans="1:12" x14ac:dyDescent="0.3">
      <c r="A2276">
        <v>2007</v>
      </c>
      <c r="B2276" t="s">
        <v>23</v>
      </c>
      <c r="C2276">
        <v>158</v>
      </c>
      <c r="D2276">
        <v>3522.8</v>
      </c>
      <c r="E2276">
        <v>179</v>
      </c>
      <c r="F2276" t="s">
        <v>45</v>
      </c>
      <c r="G2276" t="s">
        <v>21</v>
      </c>
      <c r="H2276">
        <v>3</v>
      </c>
      <c r="I2276">
        <v>57</v>
      </c>
      <c r="J2276" t="s">
        <v>15</v>
      </c>
      <c r="K2276">
        <v>200000</v>
      </c>
      <c r="L2276" t="s">
        <v>22</v>
      </c>
    </row>
    <row r="2277" spans="1:12" x14ac:dyDescent="0.3">
      <c r="A2277">
        <v>2008</v>
      </c>
      <c r="B2277" t="s">
        <v>23</v>
      </c>
      <c r="C2277">
        <v>8982</v>
      </c>
      <c r="D2277">
        <v>3522.8</v>
      </c>
      <c r="E2277">
        <v>180</v>
      </c>
      <c r="F2277" t="s">
        <v>45</v>
      </c>
      <c r="G2277" t="s">
        <v>21</v>
      </c>
      <c r="H2277">
        <v>95</v>
      </c>
      <c r="I2277">
        <v>54</v>
      </c>
      <c r="J2277" t="s">
        <v>15</v>
      </c>
      <c r="K2277">
        <v>4847</v>
      </c>
      <c r="L2277" t="s">
        <v>22</v>
      </c>
    </row>
    <row r="2278" spans="1:12" x14ac:dyDescent="0.3">
      <c r="A2278">
        <v>2009</v>
      </c>
      <c r="B2278" t="s">
        <v>23</v>
      </c>
      <c r="C2278">
        <v>46990</v>
      </c>
      <c r="D2278">
        <v>2903.1</v>
      </c>
      <c r="E2278">
        <v>181</v>
      </c>
      <c r="F2278" t="s">
        <v>45</v>
      </c>
      <c r="G2278" t="s">
        <v>21</v>
      </c>
      <c r="H2278">
        <v>19</v>
      </c>
      <c r="I2278">
        <v>54.5</v>
      </c>
      <c r="J2278" t="s">
        <v>15</v>
      </c>
      <c r="K2278">
        <v>51239</v>
      </c>
      <c r="L2278" t="s">
        <v>22</v>
      </c>
    </row>
    <row r="2279" spans="1:12" x14ac:dyDescent="0.3">
      <c r="A2279">
        <v>2010</v>
      </c>
      <c r="B2279" t="s">
        <v>23</v>
      </c>
      <c r="C2279">
        <v>103</v>
      </c>
      <c r="D2279">
        <v>2903.1</v>
      </c>
      <c r="E2279">
        <v>182</v>
      </c>
      <c r="F2279" t="s">
        <v>45</v>
      </c>
      <c r="G2279" t="s">
        <v>21</v>
      </c>
      <c r="H2279">
        <v>54</v>
      </c>
      <c r="I2279">
        <v>56.6</v>
      </c>
      <c r="J2279" t="s">
        <v>15</v>
      </c>
      <c r="K2279">
        <v>216396</v>
      </c>
      <c r="L2279" t="s">
        <v>22</v>
      </c>
    </row>
    <row r="2280" spans="1:12" x14ac:dyDescent="0.3">
      <c r="A2280">
        <v>2011</v>
      </c>
      <c r="B2280" t="s">
        <v>23</v>
      </c>
      <c r="C2280">
        <v>8239</v>
      </c>
      <c r="D2280">
        <v>2903.1</v>
      </c>
      <c r="E2280">
        <v>183</v>
      </c>
      <c r="F2280" t="s">
        <v>45</v>
      </c>
      <c r="G2280" t="s">
        <v>21</v>
      </c>
      <c r="H2280">
        <v>13</v>
      </c>
      <c r="I2280">
        <v>55.5</v>
      </c>
      <c r="J2280" t="s">
        <v>15</v>
      </c>
      <c r="K2280">
        <v>2644</v>
      </c>
      <c r="L2280" t="s">
        <v>22</v>
      </c>
    </row>
    <row r="2281" spans="1:12" x14ac:dyDescent="0.3">
      <c r="A2281">
        <v>2012</v>
      </c>
      <c r="B2281" t="s">
        <v>23</v>
      </c>
      <c r="C2281">
        <v>44563</v>
      </c>
      <c r="D2281">
        <v>2996.6</v>
      </c>
      <c r="E2281">
        <v>184</v>
      </c>
      <c r="F2281" t="s">
        <v>45</v>
      </c>
      <c r="G2281" t="s">
        <v>21</v>
      </c>
      <c r="H2281">
        <v>123</v>
      </c>
      <c r="I2281">
        <v>58.5</v>
      </c>
      <c r="J2281" t="s">
        <v>15</v>
      </c>
      <c r="K2281">
        <v>44235</v>
      </c>
      <c r="L2281" t="s">
        <v>22</v>
      </c>
    </row>
    <row r="2282" spans="1:12" x14ac:dyDescent="0.3">
      <c r="A2282">
        <v>2013</v>
      </c>
      <c r="B2282" t="s">
        <v>23</v>
      </c>
      <c r="C2282">
        <v>96</v>
      </c>
      <c r="D2282">
        <v>2996.6</v>
      </c>
      <c r="E2282">
        <v>185</v>
      </c>
      <c r="F2282" t="s">
        <v>45</v>
      </c>
      <c r="G2282" t="s">
        <v>21</v>
      </c>
      <c r="H2282">
        <v>19</v>
      </c>
      <c r="I2282">
        <v>59.5</v>
      </c>
      <c r="J2282" t="s">
        <v>15</v>
      </c>
      <c r="K2282">
        <v>203317</v>
      </c>
      <c r="L2282" t="s">
        <v>22</v>
      </c>
    </row>
    <row r="2283" spans="1:12" x14ac:dyDescent="0.3">
      <c r="A2283">
        <v>2014</v>
      </c>
      <c r="B2283" t="s">
        <v>23</v>
      </c>
      <c r="C2283">
        <v>6949</v>
      </c>
      <c r="D2283">
        <v>2996.6</v>
      </c>
      <c r="E2283">
        <v>186</v>
      </c>
      <c r="F2283" t="s">
        <v>45</v>
      </c>
      <c r="G2283" t="s">
        <v>21</v>
      </c>
      <c r="H2283">
        <v>32</v>
      </c>
      <c r="I2283">
        <v>55</v>
      </c>
      <c r="J2283" t="s">
        <v>15</v>
      </c>
      <c r="K2283">
        <v>2134</v>
      </c>
      <c r="L2283" t="s">
        <v>22</v>
      </c>
    </row>
    <row r="2284" spans="1:12" x14ac:dyDescent="0.3">
      <c r="A2284">
        <v>2015</v>
      </c>
      <c r="B2284" t="s">
        <v>23</v>
      </c>
      <c r="C2284">
        <v>44663</v>
      </c>
      <c r="D2284">
        <v>3522.8</v>
      </c>
      <c r="E2284">
        <v>187</v>
      </c>
      <c r="F2284" t="s">
        <v>45</v>
      </c>
      <c r="G2284" t="s">
        <v>21</v>
      </c>
      <c r="H2284">
        <v>8</v>
      </c>
      <c r="I2284">
        <v>53</v>
      </c>
      <c r="J2284" t="s">
        <v>15</v>
      </c>
      <c r="K2284">
        <v>45186</v>
      </c>
      <c r="L2284" t="s">
        <v>22</v>
      </c>
    </row>
    <row r="2285" spans="1:12" x14ac:dyDescent="0.3">
      <c r="A2285">
        <v>2016</v>
      </c>
      <c r="B2285" t="s">
        <v>23</v>
      </c>
      <c r="C2285">
        <v>110</v>
      </c>
      <c r="D2285">
        <v>3522.8</v>
      </c>
      <c r="E2285">
        <v>188</v>
      </c>
      <c r="F2285" t="s">
        <v>45</v>
      </c>
      <c r="G2285" t="s">
        <v>21</v>
      </c>
      <c r="H2285">
        <v>50</v>
      </c>
      <c r="I2285">
        <v>53.5</v>
      </c>
      <c r="J2285" t="s">
        <v>15</v>
      </c>
      <c r="K2285">
        <v>238542</v>
      </c>
      <c r="L2285" t="s">
        <v>22</v>
      </c>
    </row>
    <row r="2286" spans="1:12" x14ac:dyDescent="0.3">
      <c r="A2286">
        <v>2017</v>
      </c>
      <c r="B2286" t="s">
        <v>23</v>
      </c>
      <c r="C2286">
        <v>6824</v>
      </c>
      <c r="D2286">
        <v>3522.8</v>
      </c>
      <c r="E2286">
        <v>189</v>
      </c>
      <c r="F2286" t="s">
        <v>45</v>
      </c>
      <c r="G2286" t="s">
        <v>21</v>
      </c>
      <c r="H2286">
        <v>10</v>
      </c>
      <c r="I2286">
        <v>52.5</v>
      </c>
      <c r="J2286" t="s">
        <v>15</v>
      </c>
      <c r="K2286">
        <v>1516</v>
      </c>
      <c r="L2286" t="s">
        <v>22</v>
      </c>
    </row>
    <row r="2287" spans="1:12" x14ac:dyDescent="0.3">
      <c r="A2287">
        <v>2018</v>
      </c>
      <c r="B2287" t="s">
        <v>23</v>
      </c>
      <c r="C2287">
        <v>43013</v>
      </c>
      <c r="D2287">
        <v>3729.8</v>
      </c>
      <c r="E2287">
        <v>190</v>
      </c>
      <c r="F2287" t="s">
        <v>45</v>
      </c>
      <c r="G2287" t="s">
        <v>21</v>
      </c>
      <c r="H2287">
        <v>29</v>
      </c>
      <c r="I2287">
        <v>56</v>
      </c>
      <c r="J2287" t="s">
        <v>15</v>
      </c>
      <c r="K2287">
        <v>57259</v>
      </c>
      <c r="L2287" t="s">
        <v>22</v>
      </c>
    </row>
    <row r="2288" spans="1:12" x14ac:dyDescent="0.3">
      <c r="A2288">
        <v>2004</v>
      </c>
      <c r="B2288" t="s">
        <v>23</v>
      </c>
      <c r="C2288">
        <v>95</v>
      </c>
      <c r="D2288">
        <v>3729.8</v>
      </c>
      <c r="E2288">
        <v>191</v>
      </c>
      <c r="F2288" t="s">
        <v>45</v>
      </c>
      <c r="G2288" t="s">
        <v>21</v>
      </c>
      <c r="H2288">
        <v>44</v>
      </c>
      <c r="I2288">
        <v>57</v>
      </c>
      <c r="J2288" t="s">
        <v>15</v>
      </c>
      <c r="K2288">
        <v>234779</v>
      </c>
      <c r="L2288" t="s">
        <v>22</v>
      </c>
    </row>
    <row r="2289" spans="1:12" x14ac:dyDescent="0.3">
      <c r="A2289">
        <v>2005</v>
      </c>
      <c r="B2289" t="s">
        <v>23</v>
      </c>
      <c r="C2289">
        <v>6441</v>
      </c>
      <c r="D2289">
        <v>3729.8</v>
      </c>
      <c r="E2289">
        <v>192</v>
      </c>
      <c r="F2289" t="s">
        <v>45</v>
      </c>
      <c r="G2289" t="s">
        <v>21</v>
      </c>
      <c r="H2289">
        <v>33</v>
      </c>
      <c r="I2289">
        <v>57.5</v>
      </c>
      <c r="J2289" t="s">
        <v>15</v>
      </c>
      <c r="K2289">
        <v>1493</v>
      </c>
      <c r="L2289" t="s">
        <v>22</v>
      </c>
    </row>
    <row r="2290" spans="1:12" x14ac:dyDescent="0.3">
      <c r="A2290">
        <v>2006</v>
      </c>
      <c r="B2290" t="s">
        <v>23</v>
      </c>
      <c r="C2290">
        <v>4012</v>
      </c>
      <c r="D2290">
        <v>2746.2</v>
      </c>
      <c r="E2290">
        <v>193</v>
      </c>
      <c r="F2290" t="s">
        <v>45</v>
      </c>
      <c r="G2290" t="s">
        <v>21</v>
      </c>
      <c r="H2290">
        <v>14</v>
      </c>
      <c r="I2290">
        <v>57</v>
      </c>
      <c r="J2290" t="s">
        <v>15</v>
      </c>
      <c r="K2290">
        <v>64409</v>
      </c>
      <c r="L2290" t="s">
        <v>22</v>
      </c>
    </row>
    <row r="2291" spans="1:12" x14ac:dyDescent="0.3">
      <c r="A2291">
        <v>2007</v>
      </c>
      <c r="B2291" t="s">
        <v>23</v>
      </c>
      <c r="C2291">
        <v>4877</v>
      </c>
      <c r="D2291">
        <v>2746.2</v>
      </c>
      <c r="E2291">
        <v>194</v>
      </c>
      <c r="F2291" t="s">
        <v>45</v>
      </c>
      <c r="G2291" t="s">
        <v>21</v>
      </c>
      <c r="H2291">
        <v>56</v>
      </c>
      <c r="I2291">
        <v>55</v>
      </c>
      <c r="J2291" t="s">
        <v>15</v>
      </c>
      <c r="K2291">
        <v>249978</v>
      </c>
      <c r="L2291" t="s">
        <v>22</v>
      </c>
    </row>
    <row r="2292" spans="1:12" x14ac:dyDescent="0.3">
      <c r="A2292">
        <v>2008</v>
      </c>
      <c r="B2292" t="s">
        <v>23</v>
      </c>
      <c r="C2292">
        <v>4930</v>
      </c>
      <c r="D2292">
        <v>2746.2</v>
      </c>
      <c r="E2292">
        <v>195</v>
      </c>
      <c r="F2292" t="s">
        <v>45</v>
      </c>
      <c r="G2292" t="s">
        <v>21</v>
      </c>
      <c r="H2292">
        <v>26</v>
      </c>
      <c r="I2292">
        <v>56</v>
      </c>
      <c r="J2292" t="s">
        <v>15</v>
      </c>
      <c r="K2292">
        <v>200000</v>
      </c>
      <c r="L2292" t="s">
        <v>22</v>
      </c>
    </row>
    <row r="2293" spans="1:12" x14ac:dyDescent="0.3">
      <c r="A2293">
        <v>2009</v>
      </c>
      <c r="B2293" t="s">
        <v>23</v>
      </c>
      <c r="C2293">
        <v>4954</v>
      </c>
      <c r="D2293">
        <v>3360</v>
      </c>
      <c r="E2293">
        <v>196</v>
      </c>
      <c r="F2293" t="s">
        <v>45</v>
      </c>
      <c r="G2293" t="s">
        <v>21</v>
      </c>
      <c r="H2293">
        <v>98</v>
      </c>
      <c r="I2293">
        <v>54</v>
      </c>
      <c r="J2293" t="s">
        <v>15</v>
      </c>
      <c r="K2293">
        <v>4847</v>
      </c>
      <c r="L2293" t="s">
        <v>22</v>
      </c>
    </row>
    <row r="2294" spans="1:12" x14ac:dyDescent="0.3">
      <c r="A2294">
        <v>2010</v>
      </c>
      <c r="B2294" t="s">
        <v>23</v>
      </c>
      <c r="C2294">
        <v>5019</v>
      </c>
      <c r="D2294">
        <v>3360</v>
      </c>
      <c r="E2294">
        <v>197</v>
      </c>
      <c r="F2294" t="s">
        <v>45</v>
      </c>
      <c r="G2294" t="s">
        <v>21</v>
      </c>
      <c r="H2294">
        <v>3</v>
      </c>
      <c r="I2294">
        <v>58</v>
      </c>
      <c r="J2294" t="s">
        <v>15</v>
      </c>
      <c r="K2294">
        <v>51239</v>
      </c>
      <c r="L2294" t="s">
        <v>22</v>
      </c>
    </row>
    <row r="2295" spans="1:12" x14ac:dyDescent="0.3">
      <c r="A2295">
        <v>2011</v>
      </c>
      <c r="B2295" t="s">
        <v>23</v>
      </c>
      <c r="C2295">
        <v>5127</v>
      </c>
      <c r="D2295">
        <v>3360</v>
      </c>
      <c r="E2295">
        <v>198</v>
      </c>
      <c r="F2295" t="s">
        <v>45</v>
      </c>
      <c r="G2295" t="s">
        <v>21</v>
      </c>
      <c r="H2295">
        <v>58637</v>
      </c>
      <c r="I2295">
        <v>58</v>
      </c>
      <c r="J2295" t="s">
        <v>15</v>
      </c>
      <c r="K2295">
        <v>216396</v>
      </c>
      <c r="L2295" t="s">
        <v>22</v>
      </c>
    </row>
    <row r="2296" spans="1:12" x14ac:dyDescent="0.3">
      <c r="A2296">
        <v>2012</v>
      </c>
      <c r="B2296" t="s">
        <v>23</v>
      </c>
      <c r="C2296">
        <v>5174</v>
      </c>
      <c r="D2296">
        <v>3605.4</v>
      </c>
      <c r="E2296">
        <v>199</v>
      </c>
      <c r="F2296" t="s">
        <v>24</v>
      </c>
      <c r="G2296" t="s">
        <v>21</v>
      </c>
      <c r="H2296">
        <v>59777</v>
      </c>
      <c r="I2296">
        <v>59</v>
      </c>
      <c r="J2296" t="s">
        <v>15</v>
      </c>
      <c r="K2296">
        <v>2644</v>
      </c>
      <c r="L2296" t="s">
        <v>22</v>
      </c>
    </row>
    <row r="2297" spans="1:12" x14ac:dyDescent="0.3">
      <c r="A2297">
        <v>2013</v>
      </c>
      <c r="B2297" t="s">
        <v>23</v>
      </c>
      <c r="C2297">
        <v>5294</v>
      </c>
      <c r="D2297">
        <v>3605.4</v>
      </c>
      <c r="E2297">
        <v>200</v>
      </c>
      <c r="F2297" t="s">
        <v>24</v>
      </c>
      <c r="G2297" t="s">
        <v>21</v>
      </c>
      <c r="H2297">
        <v>60528</v>
      </c>
      <c r="I2297">
        <v>50</v>
      </c>
      <c r="J2297" t="s">
        <v>15</v>
      </c>
      <c r="K2297">
        <v>44235</v>
      </c>
      <c r="L2297" t="s">
        <v>22</v>
      </c>
    </row>
    <row r="2298" spans="1:12" x14ac:dyDescent="0.3">
      <c r="A2298">
        <v>2014</v>
      </c>
      <c r="B2298" t="s">
        <v>23</v>
      </c>
      <c r="C2298">
        <v>5474</v>
      </c>
      <c r="D2298">
        <v>3605.4</v>
      </c>
      <c r="E2298">
        <v>201</v>
      </c>
      <c r="F2298" t="s">
        <v>24</v>
      </c>
      <c r="G2298" t="s">
        <v>21</v>
      </c>
      <c r="H2298">
        <v>61126</v>
      </c>
      <c r="I2298">
        <v>54</v>
      </c>
      <c r="J2298" t="s">
        <v>15</v>
      </c>
      <c r="K2298">
        <v>203317</v>
      </c>
      <c r="L2298" t="s">
        <v>22</v>
      </c>
    </row>
    <row r="2299" spans="1:12" x14ac:dyDescent="0.3">
      <c r="A2299">
        <v>2015</v>
      </c>
      <c r="B2299" t="s">
        <v>23</v>
      </c>
      <c r="C2299">
        <v>5864</v>
      </c>
      <c r="D2299">
        <v>3512.4</v>
      </c>
      <c r="E2299">
        <v>202</v>
      </c>
      <c r="F2299" t="s">
        <v>24</v>
      </c>
      <c r="G2299" t="s">
        <v>21</v>
      </c>
      <c r="H2299">
        <v>623687</v>
      </c>
      <c r="I2299">
        <v>53</v>
      </c>
      <c r="J2299" t="s">
        <v>15</v>
      </c>
      <c r="K2299">
        <v>2134</v>
      </c>
      <c r="L2299" t="s">
        <v>22</v>
      </c>
    </row>
    <row r="2300" spans="1:12" x14ac:dyDescent="0.3">
      <c r="A2300">
        <v>2016</v>
      </c>
      <c r="B2300" t="s">
        <v>23</v>
      </c>
      <c r="C2300">
        <v>7028</v>
      </c>
      <c r="D2300">
        <v>3512.4</v>
      </c>
      <c r="E2300">
        <v>203</v>
      </c>
      <c r="F2300" t="s">
        <v>24</v>
      </c>
      <c r="G2300" t="s">
        <v>21</v>
      </c>
      <c r="H2300">
        <v>63504</v>
      </c>
      <c r="I2300">
        <v>52</v>
      </c>
      <c r="J2300" t="s">
        <v>15</v>
      </c>
      <c r="K2300">
        <v>45186</v>
      </c>
      <c r="L2300" t="s">
        <v>22</v>
      </c>
    </row>
    <row r="2301" spans="1:12" x14ac:dyDescent="0.3">
      <c r="A2301">
        <v>2017</v>
      </c>
      <c r="B2301" t="s">
        <v>23</v>
      </c>
      <c r="C2301">
        <v>7403</v>
      </c>
      <c r="D2301">
        <v>3512.4</v>
      </c>
      <c r="E2301">
        <v>204</v>
      </c>
      <c r="F2301" t="s">
        <v>24</v>
      </c>
      <c r="G2301" t="s">
        <v>21</v>
      </c>
      <c r="H2301">
        <v>63931</v>
      </c>
      <c r="I2301">
        <v>51</v>
      </c>
      <c r="J2301" t="s">
        <v>15</v>
      </c>
      <c r="K2301">
        <v>238542</v>
      </c>
      <c r="L2301" t="s">
        <v>22</v>
      </c>
    </row>
    <row r="2302" spans="1:12" x14ac:dyDescent="0.3">
      <c r="A2302">
        <v>2018</v>
      </c>
      <c r="B2302" t="s">
        <v>23</v>
      </c>
      <c r="C2302">
        <v>7501</v>
      </c>
      <c r="D2302">
        <v>3296</v>
      </c>
      <c r="E2302">
        <v>205</v>
      </c>
      <c r="F2302" t="s">
        <v>59</v>
      </c>
      <c r="G2302" t="s">
        <v>21</v>
      </c>
      <c r="H2302">
        <v>73730</v>
      </c>
      <c r="I2302">
        <v>57</v>
      </c>
      <c r="J2302" t="s">
        <v>15</v>
      </c>
      <c r="K2302">
        <v>1516</v>
      </c>
      <c r="L2302" t="s">
        <v>22</v>
      </c>
    </row>
    <row r="2303" spans="1:12" x14ac:dyDescent="0.3">
      <c r="A2303">
        <v>2004</v>
      </c>
      <c r="B2303" t="s">
        <v>23</v>
      </c>
      <c r="C2303">
        <v>7714</v>
      </c>
      <c r="D2303">
        <v>3296</v>
      </c>
      <c r="E2303">
        <v>206</v>
      </c>
      <c r="F2303" t="s">
        <v>59</v>
      </c>
      <c r="G2303" t="s">
        <v>21</v>
      </c>
      <c r="H2303">
        <v>118416</v>
      </c>
      <c r="I2303">
        <v>57</v>
      </c>
      <c r="J2303" t="s">
        <v>15</v>
      </c>
      <c r="K2303">
        <v>57259</v>
      </c>
      <c r="L2303" t="s">
        <v>22</v>
      </c>
    </row>
    <row r="2304" spans="1:12" x14ac:dyDescent="0.3">
      <c r="A2304">
        <v>2005</v>
      </c>
      <c r="B2304" t="s">
        <v>23</v>
      </c>
      <c r="C2304">
        <v>7856</v>
      </c>
      <c r="D2304">
        <v>3296</v>
      </c>
      <c r="E2304">
        <v>207</v>
      </c>
      <c r="F2304" t="s">
        <v>59</v>
      </c>
      <c r="G2304" t="s">
        <v>21</v>
      </c>
      <c r="H2304">
        <v>130132</v>
      </c>
      <c r="I2304">
        <v>60</v>
      </c>
      <c r="J2304" t="s">
        <v>15</v>
      </c>
      <c r="K2304">
        <v>234779</v>
      </c>
      <c r="L2304" t="s">
        <v>22</v>
      </c>
    </row>
    <row r="2305" spans="1:12" x14ac:dyDescent="0.3">
      <c r="A2305">
        <v>2006</v>
      </c>
      <c r="B2305" t="s">
        <v>23</v>
      </c>
      <c r="C2305">
        <v>32</v>
      </c>
      <c r="D2305">
        <v>3550</v>
      </c>
      <c r="E2305">
        <v>208</v>
      </c>
      <c r="F2305" t="s">
        <v>59</v>
      </c>
      <c r="G2305" t="s">
        <v>21</v>
      </c>
      <c r="H2305">
        <v>154889</v>
      </c>
      <c r="I2305">
        <v>57</v>
      </c>
      <c r="J2305" t="s">
        <v>15</v>
      </c>
      <c r="K2305">
        <v>1493</v>
      </c>
      <c r="L2305" t="s">
        <v>22</v>
      </c>
    </row>
    <row r="2306" spans="1:12" x14ac:dyDescent="0.3">
      <c r="A2306">
        <v>2007</v>
      </c>
      <c r="B2306" t="s">
        <v>23</v>
      </c>
      <c r="C2306">
        <v>1</v>
      </c>
      <c r="D2306">
        <v>3550</v>
      </c>
      <c r="E2306">
        <v>209</v>
      </c>
      <c r="F2306" t="s">
        <v>59</v>
      </c>
      <c r="G2306" t="s">
        <v>21</v>
      </c>
      <c r="H2306">
        <v>171739</v>
      </c>
      <c r="I2306">
        <v>57</v>
      </c>
      <c r="J2306" t="s">
        <v>15</v>
      </c>
      <c r="K2306">
        <v>64409</v>
      </c>
      <c r="L2306" t="s">
        <v>22</v>
      </c>
    </row>
    <row r="2307" spans="1:12" x14ac:dyDescent="0.3">
      <c r="A2307">
        <v>2008</v>
      </c>
      <c r="B2307" t="s">
        <v>23</v>
      </c>
      <c r="C2307">
        <v>30</v>
      </c>
      <c r="D2307">
        <v>3550</v>
      </c>
      <c r="E2307">
        <v>210</v>
      </c>
      <c r="F2307" t="s">
        <v>59</v>
      </c>
      <c r="G2307" t="s">
        <v>21</v>
      </c>
      <c r="H2307">
        <v>172475</v>
      </c>
      <c r="I2307">
        <v>54</v>
      </c>
      <c r="J2307" t="s">
        <v>15</v>
      </c>
      <c r="K2307">
        <v>249978</v>
      </c>
      <c r="L2307" t="s">
        <v>22</v>
      </c>
    </row>
    <row r="2308" spans="1:12" x14ac:dyDescent="0.3">
      <c r="A2308">
        <v>2009</v>
      </c>
      <c r="B2308" t="s">
        <v>23</v>
      </c>
      <c r="C2308">
        <v>6</v>
      </c>
      <c r="D2308">
        <v>3654</v>
      </c>
      <c r="E2308">
        <v>211</v>
      </c>
      <c r="F2308" t="s">
        <v>59</v>
      </c>
      <c r="G2308" t="s">
        <v>21</v>
      </c>
      <c r="H2308">
        <v>177939</v>
      </c>
      <c r="I2308">
        <v>54.5</v>
      </c>
      <c r="J2308" t="s">
        <v>15</v>
      </c>
      <c r="K2308">
        <v>637</v>
      </c>
      <c r="L2308" t="s">
        <v>22</v>
      </c>
    </row>
    <row r="2309" spans="1:12" x14ac:dyDescent="0.3">
      <c r="A2309">
        <v>2010</v>
      </c>
      <c r="B2309" t="s">
        <v>23</v>
      </c>
      <c r="C2309">
        <v>15</v>
      </c>
      <c r="D2309">
        <v>3654</v>
      </c>
      <c r="E2309">
        <v>212</v>
      </c>
      <c r="F2309" t="s">
        <v>59</v>
      </c>
      <c r="G2309" t="s">
        <v>21</v>
      </c>
      <c r="H2309">
        <v>313547</v>
      </c>
      <c r="I2309">
        <v>56.6</v>
      </c>
      <c r="J2309" t="s">
        <v>15</v>
      </c>
      <c r="K2309">
        <v>43311</v>
      </c>
      <c r="L2309" t="s">
        <v>22</v>
      </c>
    </row>
    <row r="2310" spans="1:12" x14ac:dyDescent="0.3">
      <c r="A2310">
        <v>2011</v>
      </c>
      <c r="B2310" t="s">
        <v>23</v>
      </c>
      <c r="C2310">
        <v>4</v>
      </c>
      <c r="D2310">
        <v>3654</v>
      </c>
      <c r="E2310">
        <v>213</v>
      </c>
      <c r="F2310" t="s">
        <v>59</v>
      </c>
      <c r="G2310" t="s">
        <v>21</v>
      </c>
      <c r="H2310">
        <v>2783</v>
      </c>
      <c r="I2310">
        <v>55.5</v>
      </c>
      <c r="J2310" t="s">
        <v>15</v>
      </c>
      <c r="K2310">
        <v>24848</v>
      </c>
      <c r="L2310" t="s">
        <v>22</v>
      </c>
    </row>
    <row r="2311" spans="1:12" x14ac:dyDescent="0.3">
      <c r="A2311">
        <v>2012</v>
      </c>
      <c r="B2311" t="s">
        <v>23</v>
      </c>
      <c r="C2311">
        <v>39</v>
      </c>
      <c r="D2311">
        <v>233</v>
      </c>
      <c r="E2311">
        <v>214</v>
      </c>
      <c r="F2311" t="s">
        <v>59</v>
      </c>
      <c r="G2311" t="s">
        <v>21</v>
      </c>
      <c r="H2311">
        <v>1533</v>
      </c>
      <c r="I2311">
        <v>58.5</v>
      </c>
      <c r="J2311" t="s">
        <v>15</v>
      </c>
      <c r="K2311">
        <v>761</v>
      </c>
      <c r="L2311" t="s">
        <v>22</v>
      </c>
    </row>
    <row r="2312" spans="1:12" x14ac:dyDescent="0.3">
      <c r="A2312">
        <v>2013</v>
      </c>
      <c r="B2312" t="s">
        <v>23</v>
      </c>
      <c r="C2312">
        <v>6</v>
      </c>
      <c r="D2312">
        <v>233</v>
      </c>
      <c r="E2312">
        <v>215</v>
      </c>
      <c r="F2312" t="s">
        <v>59</v>
      </c>
      <c r="G2312" t="s">
        <v>21</v>
      </c>
      <c r="H2312">
        <v>1647</v>
      </c>
      <c r="I2312">
        <v>59.5</v>
      </c>
      <c r="J2312" t="s">
        <v>15</v>
      </c>
      <c r="K2312">
        <v>45608</v>
      </c>
      <c r="L2312" t="s">
        <v>22</v>
      </c>
    </row>
    <row r="2313" spans="1:12" x14ac:dyDescent="0.3">
      <c r="A2313">
        <v>2014</v>
      </c>
      <c r="B2313" t="s">
        <v>23</v>
      </c>
      <c r="C2313">
        <v>12</v>
      </c>
      <c r="D2313">
        <v>233</v>
      </c>
      <c r="E2313">
        <v>216</v>
      </c>
      <c r="F2313" t="s">
        <v>59</v>
      </c>
      <c r="G2313" t="s">
        <v>21</v>
      </c>
      <c r="H2313">
        <v>975</v>
      </c>
      <c r="I2313">
        <v>55</v>
      </c>
      <c r="J2313" t="s">
        <v>15</v>
      </c>
      <c r="K2313">
        <v>234581</v>
      </c>
      <c r="L2313" t="s">
        <v>22</v>
      </c>
    </row>
    <row r="2314" spans="1:12" x14ac:dyDescent="0.3">
      <c r="A2314">
        <v>2015</v>
      </c>
      <c r="B2314" t="s">
        <v>23</v>
      </c>
      <c r="C2314">
        <v>3</v>
      </c>
      <c r="D2314">
        <v>234</v>
      </c>
      <c r="E2314">
        <v>217</v>
      </c>
      <c r="F2314" t="s">
        <v>59</v>
      </c>
      <c r="G2314" t="s">
        <v>21</v>
      </c>
      <c r="H2314">
        <v>2</v>
      </c>
      <c r="I2314">
        <v>53</v>
      </c>
      <c r="J2314" t="s">
        <v>15</v>
      </c>
      <c r="K2314">
        <v>646</v>
      </c>
      <c r="L2314" t="s">
        <v>22</v>
      </c>
    </row>
    <row r="2315" spans="1:12" x14ac:dyDescent="0.3">
      <c r="A2315">
        <v>2016</v>
      </c>
      <c r="B2315" t="s">
        <v>23</v>
      </c>
      <c r="C2315">
        <v>17</v>
      </c>
      <c r="D2315">
        <v>234</v>
      </c>
      <c r="E2315">
        <v>218</v>
      </c>
      <c r="F2315" t="s">
        <v>59</v>
      </c>
      <c r="G2315" t="s">
        <v>26</v>
      </c>
      <c r="H2315">
        <v>836</v>
      </c>
      <c r="I2315">
        <v>53.5</v>
      </c>
      <c r="J2315" t="s">
        <v>15</v>
      </c>
      <c r="K2315">
        <v>43562</v>
      </c>
      <c r="L2315" t="s">
        <v>22</v>
      </c>
    </row>
    <row r="2316" spans="1:12" x14ac:dyDescent="0.3">
      <c r="A2316">
        <v>2017</v>
      </c>
      <c r="B2316" t="s">
        <v>23</v>
      </c>
      <c r="C2316">
        <v>3</v>
      </c>
      <c r="D2316">
        <v>234</v>
      </c>
      <c r="E2316">
        <v>219</v>
      </c>
      <c r="F2316" t="s">
        <v>59</v>
      </c>
      <c r="G2316" t="s">
        <v>26</v>
      </c>
      <c r="H2316">
        <v>806</v>
      </c>
      <c r="I2316">
        <v>52.5</v>
      </c>
      <c r="J2316" t="s">
        <v>15</v>
      </c>
      <c r="K2316">
        <v>200000</v>
      </c>
      <c r="L2316" t="s">
        <v>22</v>
      </c>
    </row>
    <row r="2317" spans="1:12" x14ac:dyDescent="0.3">
      <c r="A2317">
        <v>2018</v>
      </c>
      <c r="B2317" t="s">
        <v>23</v>
      </c>
      <c r="C2317">
        <v>9</v>
      </c>
      <c r="D2317">
        <v>3105</v>
      </c>
      <c r="E2317">
        <v>220</v>
      </c>
      <c r="F2317" t="s">
        <v>59</v>
      </c>
      <c r="G2317" t="s">
        <v>26</v>
      </c>
      <c r="H2317">
        <v>880</v>
      </c>
      <c r="I2317">
        <v>56</v>
      </c>
      <c r="J2317" t="s">
        <v>15</v>
      </c>
      <c r="K2317">
        <v>4847</v>
      </c>
      <c r="L2317" t="s">
        <v>22</v>
      </c>
    </row>
    <row r="2318" spans="1:12" x14ac:dyDescent="0.3">
      <c r="A2318">
        <v>2004</v>
      </c>
      <c r="B2318" t="s">
        <v>23</v>
      </c>
      <c r="C2318">
        <v>21</v>
      </c>
      <c r="D2318">
        <v>3105</v>
      </c>
      <c r="E2318">
        <v>221</v>
      </c>
      <c r="F2318" t="s">
        <v>59</v>
      </c>
      <c r="G2318" t="s">
        <v>26</v>
      </c>
      <c r="H2318">
        <v>770</v>
      </c>
      <c r="I2318">
        <v>57</v>
      </c>
      <c r="J2318" t="s">
        <v>15</v>
      </c>
      <c r="K2318">
        <v>51239</v>
      </c>
      <c r="L2318" t="s">
        <v>22</v>
      </c>
    </row>
    <row r="2319" spans="1:12" x14ac:dyDescent="0.3">
      <c r="A2319">
        <v>2005</v>
      </c>
      <c r="B2319" t="s">
        <v>23</v>
      </c>
      <c r="C2319">
        <v>11</v>
      </c>
      <c r="D2319">
        <v>3105</v>
      </c>
      <c r="E2319">
        <v>222</v>
      </c>
      <c r="F2319" t="s">
        <v>59</v>
      </c>
      <c r="G2319" t="s">
        <v>26</v>
      </c>
      <c r="H2319">
        <v>395</v>
      </c>
      <c r="I2319">
        <v>57.5</v>
      </c>
      <c r="J2319" t="s">
        <v>15</v>
      </c>
      <c r="K2319">
        <v>216396</v>
      </c>
      <c r="L2319" t="s">
        <v>22</v>
      </c>
    </row>
    <row r="2320" spans="1:12" x14ac:dyDescent="0.3">
      <c r="A2320">
        <v>2006</v>
      </c>
      <c r="B2320" t="s">
        <v>23</v>
      </c>
      <c r="C2320">
        <v>4</v>
      </c>
      <c r="D2320">
        <v>236</v>
      </c>
      <c r="E2320">
        <v>27</v>
      </c>
      <c r="F2320" t="s">
        <v>59</v>
      </c>
      <c r="G2320" t="s">
        <v>26</v>
      </c>
      <c r="H2320">
        <v>187</v>
      </c>
      <c r="I2320">
        <v>57</v>
      </c>
      <c r="J2320" t="s">
        <v>15</v>
      </c>
      <c r="K2320">
        <v>2644</v>
      </c>
      <c r="L2320" t="s">
        <v>22</v>
      </c>
    </row>
    <row r="2321" spans="1:12" x14ac:dyDescent="0.3">
      <c r="A2321">
        <v>2007</v>
      </c>
      <c r="B2321" t="s">
        <v>23</v>
      </c>
      <c r="C2321">
        <v>15</v>
      </c>
      <c r="D2321">
        <v>236</v>
      </c>
      <c r="E2321">
        <v>27</v>
      </c>
      <c r="F2321" t="s">
        <v>59</v>
      </c>
      <c r="G2321" t="s">
        <v>26</v>
      </c>
      <c r="H2321">
        <v>187</v>
      </c>
      <c r="I2321">
        <v>55</v>
      </c>
      <c r="J2321" t="s">
        <v>15</v>
      </c>
      <c r="K2321">
        <v>44235</v>
      </c>
      <c r="L2321" t="s">
        <v>22</v>
      </c>
    </row>
    <row r="2322" spans="1:12" x14ac:dyDescent="0.3">
      <c r="A2322">
        <v>2008</v>
      </c>
      <c r="B2322" t="s">
        <v>23</v>
      </c>
      <c r="C2322">
        <v>8</v>
      </c>
      <c r="D2322">
        <v>2903.1</v>
      </c>
      <c r="E2322">
        <v>27</v>
      </c>
      <c r="F2322" t="s">
        <v>59</v>
      </c>
      <c r="G2322" t="s">
        <v>26</v>
      </c>
      <c r="H2322">
        <v>121</v>
      </c>
      <c r="I2322">
        <v>56</v>
      </c>
      <c r="J2322" t="s">
        <v>15</v>
      </c>
      <c r="K2322">
        <v>203317</v>
      </c>
      <c r="L2322" t="s">
        <v>22</v>
      </c>
    </row>
    <row r="2323" spans="1:12" x14ac:dyDescent="0.3">
      <c r="A2323">
        <v>2009</v>
      </c>
      <c r="B2323" t="s">
        <v>23</v>
      </c>
      <c r="C2323">
        <v>29</v>
      </c>
      <c r="D2323">
        <v>2903.1</v>
      </c>
      <c r="E2323">
        <v>27</v>
      </c>
      <c r="F2323" t="s">
        <v>59</v>
      </c>
      <c r="G2323" t="s">
        <v>26</v>
      </c>
      <c r="H2323">
        <v>103</v>
      </c>
      <c r="I2323">
        <v>54</v>
      </c>
      <c r="J2323" t="s">
        <v>15</v>
      </c>
      <c r="K2323">
        <v>2134</v>
      </c>
      <c r="L2323" t="s">
        <v>22</v>
      </c>
    </row>
    <row r="2324" spans="1:12" x14ac:dyDescent="0.3">
      <c r="A2324">
        <v>2010</v>
      </c>
      <c r="B2324" t="s">
        <v>23</v>
      </c>
      <c r="C2324">
        <v>1</v>
      </c>
      <c r="D2324">
        <v>2903.1</v>
      </c>
      <c r="E2324">
        <v>27</v>
      </c>
      <c r="F2324" t="s">
        <v>59</v>
      </c>
      <c r="G2324" t="s">
        <v>26</v>
      </c>
      <c r="H2324">
        <v>71</v>
      </c>
      <c r="I2324">
        <v>58</v>
      </c>
      <c r="J2324" t="s">
        <v>15</v>
      </c>
      <c r="K2324">
        <v>45186</v>
      </c>
      <c r="L2324" t="s">
        <v>22</v>
      </c>
    </row>
    <row r="2325" spans="1:12" x14ac:dyDescent="0.3">
      <c r="A2325">
        <v>2011</v>
      </c>
      <c r="B2325" t="s">
        <v>23</v>
      </c>
      <c r="C2325">
        <v>13736</v>
      </c>
      <c r="D2325">
        <v>2996.6</v>
      </c>
      <c r="E2325">
        <v>27.2</v>
      </c>
      <c r="F2325" t="s">
        <v>59</v>
      </c>
      <c r="G2325" t="s">
        <v>26</v>
      </c>
      <c r="H2325">
        <v>3961</v>
      </c>
      <c r="I2325">
        <v>58</v>
      </c>
      <c r="J2325" t="s">
        <v>15</v>
      </c>
      <c r="K2325">
        <v>238542</v>
      </c>
      <c r="L2325" t="s">
        <v>22</v>
      </c>
    </row>
    <row r="2326" spans="1:12" x14ac:dyDescent="0.3">
      <c r="A2326">
        <v>2012</v>
      </c>
      <c r="B2326" t="s">
        <v>23</v>
      </c>
      <c r="C2326">
        <v>14003</v>
      </c>
      <c r="D2326">
        <v>2996.6</v>
      </c>
      <c r="E2326">
        <v>27.2</v>
      </c>
      <c r="F2326" t="s">
        <v>59</v>
      </c>
      <c r="G2326" t="s">
        <v>26</v>
      </c>
      <c r="H2326">
        <v>4247</v>
      </c>
      <c r="I2326">
        <v>59</v>
      </c>
      <c r="J2326" t="s">
        <v>15</v>
      </c>
      <c r="K2326">
        <v>1516</v>
      </c>
      <c r="L2326" t="s">
        <v>22</v>
      </c>
    </row>
    <row r="2327" spans="1:12" x14ac:dyDescent="0.3">
      <c r="A2327">
        <v>2013</v>
      </c>
      <c r="B2327" t="s">
        <v>23</v>
      </c>
      <c r="C2327">
        <v>14179</v>
      </c>
      <c r="D2327">
        <v>2996.6</v>
      </c>
      <c r="E2327">
        <v>27.2</v>
      </c>
      <c r="F2327" t="s">
        <v>59</v>
      </c>
      <c r="G2327" t="s">
        <v>26</v>
      </c>
      <c r="H2327">
        <v>3290</v>
      </c>
      <c r="I2327">
        <v>50</v>
      </c>
      <c r="J2327" t="s">
        <v>15</v>
      </c>
      <c r="K2327">
        <v>57259</v>
      </c>
      <c r="L2327" t="s">
        <v>22</v>
      </c>
    </row>
    <row r="2328" spans="1:12" x14ac:dyDescent="0.3">
      <c r="A2328">
        <v>2014</v>
      </c>
      <c r="B2328" t="s">
        <v>23</v>
      </c>
      <c r="C2328">
        <v>14319</v>
      </c>
      <c r="D2328">
        <v>3522.8</v>
      </c>
      <c r="E2328">
        <v>27</v>
      </c>
      <c r="F2328" t="s">
        <v>59</v>
      </c>
      <c r="G2328" t="s">
        <v>26</v>
      </c>
      <c r="H2328">
        <v>3138</v>
      </c>
      <c r="I2328">
        <v>54</v>
      </c>
      <c r="J2328" t="s">
        <v>15</v>
      </c>
      <c r="K2328">
        <v>234779</v>
      </c>
      <c r="L2328" t="s">
        <v>22</v>
      </c>
    </row>
    <row r="2329" spans="1:12" x14ac:dyDescent="0.3">
      <c r="A2329">
        <v>2015</v>
      </c>
      <c r="B2329" t="s">
        <v>23</v>
      </c>
      <c r="C2329">
        <v>14464</v>
      </c>
      <c r="D2329">
        <v>3522.8</v>
      </c>
      <c r="E2329">
        <v>27</v>
      </c>
      <c r="F2329" t="s">
        <v>59</v>
      </c>
      <c r="G2329" t="s">
        <v>26</v>
      </c>
      <c r="H2329">
        <v>3423</v>
      </c>
      <c r="I2329">
        <v>53</v>
      </c>
      <c r="J2329" t="s">
        <v>15</v>
      </c>
      <c r="K2329">
        <v>1493</v>
      </c>
      <c r="L2329" t="s">
        <v>22</v>
      </c>
    </row>
    <row r="2330" spans="1:12" x14ac:dyDescent="0.3">
      <c r="A2330">
        <v>2016</v>
      </c>
      <c r="B2330" t="s">
        <v>23</v>
      </c>
      <c r="C2330">
        <v>14876</v>
      </c>
      <c r="D2330">
        <v>3522.8</v>
      </c>
      <c r="E2330">
        <v>27</v>
      </c>
      <c r="F2330" t="s">
        <v>59</v>
      </c>
      <c r="G2330" t="s">
        <v>26</v>
      </c>
      <c r="H2330">
        <v>3899</v>
      </c>
      <c r="I2330">
        <v>52</v>
      </c>
      <c r="J2330" t="s">
        <v>15</v>
      </c>
      <c r="K2330">
        <v>64409</v>
      </c>
      <c r="L2330" t="s">
        <v>22</v>
      </c>
    </row>
    <row r="2331" spans="1:12" x14ac:dyDescent="0.3">
      <c r="A2331">
        <v>2017</v>
      </c>
      <c r="B2331" t="s">
        <v>23</v>
      </c>
      <c r="C2331">
        <v>14976</v>
      </c>
      <c r="D2331">
        <v>2903.1</v>
      </c>
      <c r="E2331">
        <v>27</v>
      </c>
      <c r="F2331" t="s">
        <v>59</v>
      </c>
      <c r="G2331" t="s">
        <v>26</v>
      </c>
      <c r="H2331">
        <v>4015</v>
      </c>
      <c r="I2331">
        <v>51</v>
      </c>
      <c r="J2331" t="s">
        <v>15</v>
      </c>
      <c r="K2331">
        <v>249978</v>
      </c>
      <c r="L2331" t="s">
        <v>22</v>
      </c>
    </row>
    <row r="2332" spans="1:12" x14ac:dyDescent="0.3">
      <c r="A2332">
        <v>2018</v>
      </c>
      <c r="B2332" t="s">
        <v>23</v>
      </c>
      <c r="C2332">
        <v>15009</v>
      </c>
      <c r="D2332">
        <v>2903.1</v>
      </c>
      <c r="E2332">
        <v>27</v>
      </c>
      <c r="F2332" t="s">
        <v>59</v>
      </c>
      <c r="G2332" t="s">
        <v>26</v>
      </c>
      <c r="H2332">
        <v>4279</v>
      </c>
      <c r="I2332">
        <v>57</v>
      </c>
      <c r="J2332" t="s">
        <v>15</v>
      </c>
      <c r="K2332">
        <v>637</v>
      </c>
      <c r="L2332" t="s">
        <v>22</v>
      </c>
    </row>
    <row r="2333" spans="1:12" x14ac:dyDescent="0.3">
      <c r="A2333">
        <v>2004</v>
      </c>
      <c r="B2333" t="s">
        <v>23</v>
      </c>
      <c r="C2333">
        <v>15114</v>
      </c>
      <c r="D2333">
        <v>2903.1</v>
      </c>
      <c r="E2333">
        <v>27</v>
      </c>
      <c r="F2333" t="s">
        <v>59</v>
      </c>
      <c r="G2333" t="s">
        <v>26</v>
      </c>
      <c r="H2333">
        <v>4167</v>
      </c>
      <c r="I2333">
        <v>57</v>
      </c>
      <c r="J2333" t="s">
        <v>15</v>
      </c>
      <c r="K2333">
        <v>43311</v>
      </c>
      <c r="L2333" t="s">
        <v>22</v>
      </c>
    </row>
    <row r="2334" spans="1:12" x14ac:dyDescent="0.3">
      <c r="A2334">
        <v>2005</v>
      </c>
      <c r="B2334" t="s">
        <v>23</v>
      </c>
      <c r="C2334">
        <v>16224</v>
      </c>
      <c r="D2334">
        <v>2996.6</v>
      </c>
      <c r="E2334">
        <v>27.2</v>
      </c>
      <c r="F2334" t="s">
        <v>59</v>
      </c>
      <c r="G2334" t="s">
        <v>26</v>
      </c>
      <c r="H2334">
        <v>4479</v>
      </c>
      <c r="I2334">
        <v>60</v>
      </c>
      <c r="J2334" t="s">
        <v>15</v>
      </c>
      <c r="K2334">
        <v>24848</v>
      </c>
      <c r="L2334" t="s">
        <v>22</v>
      </c>
    </row>
    <row r="2335" spans="1:12" x14ac:dyDescent="0.3">
      <c r="A2335">
        <v>2006</v>
      </c>
      <c r="B2335" t="s">
        <v>23</v>
      </c>
      <c r="C2335">
        <v>17095</v>
      </c>
      <c r="D2335">
        <v>2996.6</v>
      </c>
      <c r="E2335">
        <v>27.2</v>
      </c>
      <c r="F2335" t="s">
        <v>59</v>
      </c>
      <c r="G2335" t="s">
        <v>26</v>
      </c>
      <c r="H2335">
        <v>3699</v>
      </c>
      <c r="I2335">
        <v>57</v>
      </c>
      <c r="J2335" t="s">
        <v>15</v>
      </c>
      <c r="K2335">
        <v>761</v>
      </c>
      <c r="L2335" t="s">
        <v>22</v>
      </c>
    </row>
    <row r="2336" spans="1:12" x14ac:dyDescent="0.3">
      <c r="A2336">
        <v>2007</v>
      </c>
      <c r="B2336" t="s">
        <v>23</v>
      </c>
      <c r="C2336">
        <v>17512</v>
      </c>
      <c r="D2336">
        <v>2996.6</v>
      </c>
      <c r="E2336">
        <v>27.2</v>
      </c>
      <c r="F2336" t="s">
        <v>59</v>
      </c>
      <c r="G2336" t="s">
        <v>26</v>
      </c>
      <c r="H2336">
        <v>4904</v>
      </c>
      <c r="I2336">
        <v>57</v>
      </c>
      <c r="J2336" t="s">
        <v>15</v>
      </c>
      <c r="K2336">
        <v>45608</v>
      </c>
      <c r="L2336" t="s">
        <v>22</v>
      </c>
    </row>
    <row r="2337" spans="1:12" x14ac:dyDescent="0.3">
      <c r="A2337">
        <v>2008</v>
      </c>
      <c r="B2337" t="s">
        <v>23</v>
      </c>
      <c r="C2337">
        <v>17587</v>
      </c>
      <c r="D2337">
        <v>3522.8</v>
      </c>
      <c r="E2337">
        <v>27.1</v>
      </c>
      <c r="F2337" t="s">
        <v>50</v>
      </c>
      <c r="G2337" t="s">
        <v>26</v>
      </c>
      <c r="H2337">
        <v>2821</v>
      </c>
      <c r="I2337">
        <v>54</v>
      </c>
      <c r="J2337" t="s">
        <v>15</v>
      </c>
      <c r="K2337">
        <v>234581</v>
      </c>
      <c r="L2337" t="s">
        <v>22</v>
      </c>
    </row>
    <row r="2338" spans="1:12" x14ac:dyDescent="0.3">
      <c r="A2338">
        <v>2009</v>
      </c>
      <c r="B2338" t="s">
        <v>23</v>
      </c>
      <c r="C2338">
        <v>17771</v>
      </c>
      <c r="D2338">
        <v>3522.8</v>
      </c>
      <c r="E2338">
        <v>27.1</v>
      </c>
      <c r="F2338" t="s">
        <v>63</v>
      </c>
      <c r="G2338" t="s">
        <v>26</v>
      </c>
      <c r="H2338">
        <v>3472</v>
      </c>
      <c r="I2338">
        <v>54.5</v>
      </c>
      <c r="J2338" t="s">
        <v>15</v>
      </c>
      <c r="K2338">
        <v>646</v>
      </c>
      <c r="L2338" t="s">
        <v>22</v>
      </c>
    </row>
    <row r="2339" spans="1:12" x14ac:dyDescent="0.3">
      <c r="A2339">
        <v>2010</v>
      </c>
      <c r="B2339" t="s">
        <v>23</v>
      </c>
      <c r="C2339">
        <v>17825</v>
      </c>
      <c r="D2339">
        <v>3522.8</v>
      </c>
      <c r="E2339">
        <v>27.1</v>
      </c>
      <c r="F2339" t="s">
        <v>63</v>
      </c>
      <c r="G2339" t="s">
        <v>26</v>
      </c>
      <c r="H2339">
        <v>3647</v>
      </c>
      <c r="I2339">
        <v>56.6</v>
      </c>
      <c r="J2339" t="s">
        <v>15</v>
      </c>
      <c r="K2339">
        <v>43562</v>
      </c>
      <c r="L2339" t="s">
        <v>22</v>
      </c>
    </row>
    <row r="2340" spans="1:12" x14ac:dyDescent="0.3">
      <c r="A2340">
        <v>2011</v>
      </c>
      <c r="B2340" t="s">
        <v>23</v>
      </c>
      <c r="C2340">
        <v>3147</v>
      </c>
      <c r="D2340">
        <v>3729.8</v>
      </c>
      <c r="E2340">
        <v>26.8</v>
      </c>
      <c r="F2340" t="s">
        <v>63</v>
      </c>
      <c r="G2340" t="s">
        <v>26</v>
      </c>
      <c r="H2340">
        <v>393</v>
      </c>
      <c r="I2340">
        <v>55.5</v>
      </c>
      <c r="J2340" t="s">
        <v>15</v>
      </c>
      <c r="K2340">
        <v>200000</v>
      </c>
      <c r="L2340" t="s">
        <v>22</v>
      </c>
    </row>
    <row r="2341" spans="1:12" x14ac:dyDescent="0.3">
      <c r="A2341">
        <v>2012</v>
      </c>
      <c r="B2341" t="s">
        <v>23</v>
      </c>
      <c r="C2341">
        <v>2578</v>
      </c>
      <c r="D2341">
        <v>3729.8</v>
      </c>
      <c r="E2341">
        <v>26.8</v>
      </c>
      <c r="F2341" t="s">
        <v>63</v>
      </c>
      <c r="G2341" t="s">
        <v>26</v>
      </c>
      <c r="H2341">
        <v>167</v>
      </c>
      <c r="I2341">
        <v>58.5</v>
      </c>
      <c r="J2341" t="s">
        <v>15</v>
      </c>
      <c r="K2341">
        <v>4847</v>
      </c>
      <c r="L2341" t="s">
        <v>22</v>
      </c>
    </row>
    <row r="2342" spans="1:12" x14ac:dyDescent="0.3">
      <c r="A2342">
        <v>2013</v>
      </c>
      <c r="B2342" t="s">
        <v>23</v>
      </c>
      <c r="C2342">
        <v>1591</v>
      </c>
      <c r="D2342">
        <v>3729.8</v>
      </c>
      <c r="E2342">
        <v>26.8</v>
      </c>
      <c r="F2342" t="s">
        <v>63</v>
      </c>
      <c r="G2342" t="s">
        <v>26</v>
      </c>
      <c r="H2342">
        <v>71</v>
      </c>
      <c r="I2342">
        <v>59.5</v>
      </c>
      <c r="J2342" t="s">
        <v>15</v>
      </c>
      <c r="K2342">
        <v>51239</v>
      </c>
      <c r="L2342" t="s">
        <v>22</v>
      </c>
    </row>
    <row r="2343" spans="1:12" x14ac:dyDescent="0.3">
      <c r="A2343">
        <v>2014</v>
      </c>
      <c r="B2343" t="s">
        <v>23</v>
      </c>
      <c r="C2343">
        <v>1298</v>
      </c>
      <c r="D2343">
        <v>2746.2</v>
      </c>
      <c r="E2343">
        <v>37</v>
      </c>
      <c r="F2343" t="s">
        <v>63</v>
      </c>
      <c r="G2343" t="s">
        <v>26</v>
      </c>
      <c r="H2343">
        <v>52</v>
      </c>
      <c r="I2343">
        <v>55</v>
      </c>
      <c r="J2343" t="s">
        <v>15</v>
      </c>
      <c r="K2343">
        <v>216396</v>
      </c>
      <c r="L2343" t="s">
        <v>22</v>
      </c>
    </row>
    <row r="2344" spans="1:12" x14ac:dyDescent="0.3">
      <c r="A2344">
        <v>2015</v>
      </c>
      <c r="B2344" t="s">
        <v>23</v>
      </c>
      <c r="C2344">
        <v>4</v>
      </c>
      <c r="D2344">
        <v>2746.2</v>
      </c>
      <c r="E2344">
        <v>37</v>
      </c>
      <c r="F2344" t="s">
        <v>63</v>
      </c>
      <c r="G2344" t="s">
        <v>26</v>
      </c>
      <c r="H2344">
        <v>12</v>
      </c>
      <c r="I2344">
        <v>53</v>
      </c>
      <c r="J2344" t="s">
        <v>15</v>
      </c>
      <c r="K2344">
        <v>2644</v>
      </c>
      <c r="L2344" t="s">
        <v>22</v>
      </c>
    </row>
    <row r="2345" spans="1:12" x14ac:dyDescent="0.3">
      <c r="A2345">
        <v>2016</v>
      </c>
      <c r="B2345" t="s">
        <v>23</v>
      </c>
      <c r="C2345">
        <v>1122</v>
      </c>
      <c r="D2345">
        <v>2746.2</v>
      </c>
      <c r="E2345">
        <v>37</v>
      </c>
      <c r="F2345" t="s">
        <v>63</v>
      </c>
      <c r="G2345" t="s">
        <v>26</v>
      </c>
      <c r="H2345">
        <v>51</v>
      </c>
      <c r="I2345">
        <v>53.5</v>
      </c>
      <c r="J2345" t="s">
        <v>15</v>
      </c>
      <c r="K2345">
        <v>44235</v>
      </c>
      <c r="L2345" t="s">
        <v>22</v>
      </c>
    </row>
    <row r="2346" spans="1:12" x14ac:dyDescent="0.3">
      <c r="A2346">
        <v>2017</v>
      </c>
      <c r="B2346" t="s">
        <v>23</v>
      </c>
      <c r="C2346">
        <v>917</v>
      </c>
      <c r="D2346">
        <v>3360</v>
      </c>
      <c r="E2346">
        <v>38</v>
      </c>
      <c r="F2346" t="s">
        <v>63</v>
      </c>
      <c r="G2346" t="s">
        <v>26</v>
      </c>
      <c r="H2346">
        <v>61</v>
      </c>
      <c r="I2346">
        <v>52.5</v>
      </c>
      <c r="J2346" t="s">
        <v>15</v>
      </c>
      <c r="K2346">
        <v>203317</v>
      </c>
      <c r="L2346" t="s">
        <v>22</v>
      </c>
    </row>
    <row r="2347" spans="1:12" x14ac:dyDescent="0.3">
      <c r="A2347">
        <v>2018</v>
      </c>
      <c r="B2347" t="s">
        <v>23</v>
      </c>
      <c r="C2347">
        <v>819</v>
      </c>
      <c r="D2347">
        <v>3360</v>
      </c>
      <c r="E2347">
        <v>38</v>
      </c>
      <c r="F2347" t="s">
        <v>63</v>
      </c>
      <c r="G2347" t="s">
        <v>26</v>
      </c>
      <c r="H2347">
        <v>67</v>
      </c>
      <c r="I2347">
        <v>56</v>
      </c>
      <c r="J2347" t="s">
        <v>15</v>
      </c>
      <c r="K2347">
        <v>2134</v>
      </c>
      <c r="L2347" t="s">
        <v>22</v>
      </c>
    </row>
    <row r="2348" spans="1:12" x14ac:dyDescent="0.3">
      <c r="A2348">
        <v>2004</v>
      </c>
      <c r="B2348" t="s">
        <v>23</v>
      </c>
      <c r="C2348">
        <v>619</v>
      </c>
      <c r="D2348">
        <v>3360</v>
      </c>
      <c r="E2348">
        <v>38</v>
      </c>
      <c r="F2348" t="s">
        <v>63</v>
      </c>
      <c r="G2348" t="s">
        <v>26</v>
      </c>
      <c r="H2348">
        <v>62</v>
      </c>
      <c r="I2348">
        <v>57</v>
      </c>
      <c r="J2348" t="s">
        <v>15</v>
      </c>
      <c r="K2348">
        <v>45186</v>
      </c>
      <c r="L2348" t="s">
        <v>22</v>
      </c>
    </row>
    <row r="2349" spans="1:12" x14ac:dyDescent="0.3">
      <c r="A2349">
        <v>2005</v>
      </c>
      <c r="B2349" t="s">
        <v>23</v>
      </c>
      <c r="C2349">
        <v>391</v>
      </c>
      <c r="D2349">
        <v>3605.4</v>
      </c>
      <c r="E2349">
        <v>39</v>
      </c>
      <c r="F2349" t="s">
        <v>63</v>
      </c>
      <c r="G2349" t="s">
        <v>26</v>
      </c>
      <c r="H2349">
        <v>32</v>
      </c>
      <c r="I2349">
        <v>57.5</v>
      </c>
      <c r="J2349" t="s">
        <v>15</v>
      </c>
      <c r="K2349">
        <v>238542</v>
      </c>
      <c r="L2349" t="s">
        <v>22</v>
      </c>
    </row>
    <row r="2350" spans="1:12" x14ac:dyDescent="0.3">
      <c r="A2350">
        <v>2006</v>
      </c>
      <c r="B2350" t="s">
        <v>23</v>
      </c>
      <c r="C2350">
        <v>211</v>
      </c>
      <c r="D2350">
        <v>3605.4</v>
      </c>
      <c r="E2350">
        <v>39</v>
      </c>
      <c r="F2350" t="s">
        <v>63</v>
      </c>
      <c r="G2350" t="s">
        <v>26</v>
      </c>
      <c r="H2350">
        <v>22</v>
      </c>
      <c r="I2350">
        <v>57</v>
      </c>
      <c r="J2350" t="s">
        <v>15</v>
      </c>
      <c r="K2350">
        <v>1516</v>
      </c>
      <c r="L2350" t="s">
        <v>22</v>
      </c>
    </row>
    <row r="2351" spans="1:12" x14ac:dyDescent="0.3">
      <c r="A2351">
        <v>2007</v>
      </c>
      <c r="B2351" t="s">
        <v>23</v>
      </c>
      <c r="C2351">
        <v>153</v>
      </c>
      <c r="D2351">
        <v>3605.4</v>
      </c>
      <c r="E2351">
        <v>39</v>
      </c>
      <c r="F2351" t="s">
        <v>63</v>
      </c>
      <c r="G2351" t="s">
        <v>26</v>
      </c>
      <c r="H2351">
        <v>25</v>
      </c>
      <c r="I2351">
        <v>55</v>
      </c>
      <c r="J2351" t="s">
        <v>15</v>
      </c>
      <c r="K2351">
        <v>200000</v>
      </c>
      <c r="L2351" t="s">
        <v>22</v>
      </c>
    </row>
    <row r="2352" spans="1:12" x14ac:dyDescent="0.3">
      <c r="A2352">
        <v>2008</v>
      </c>
      <c r="B2352" t="s">
        <v>23</v>
      </c>
      <c r="C2352">
        <v>111</v>
      </c>
      <c r="D2352">
        <v>3512.4</v>
      </c>
      <c r="E2352">
        <v>40</v>
      </c>
      <c r="F2352" t="s">
        <v>63</v>
      </c>
      <c r="G2352" t="s">
        <v>26</v>
      </c>
      <c r="H2352">
        <v>4</v>
      </c>
      <c r="I2352">
        <v>56</v>
      </c>
      <c r="J2352" t="s">
        <v>15</v>
      </c>
      <c r="K2352">
        <v>4847</v>
      </c>
      <c r="L2352" t="s">
        <v>22</v>
      </c>
    </row>
    <row r="2353" spans="1:12" x14ac:dyDescent="0.3">
      <c r="A2353">
        <v>2009</v>
      </c>
      <c r="B2353" t="s">
        <v>31</v>
      </c>
      <c r="C2353">
        <v>76</v>
      </c>
      <c r="D2353">
        <v>3512.4</v>
      </c>
      <c r="E2353">
        <v>40</v>
      </c>
      <c r="F2353" t="s">
        <v>63</v>
      </c>
      <c r="G2353" t="s">
        <v>26</v>
      </c>
      <c r="H2353">
        <v>9</v>
      </c>
      <c r="I2353">
        <v>54</v>
      </c>
      <c r="J2353" t="s">
        <v>15</v>
      </c>
      <c r="K2353">
        <v>51239</v>
      </c>
      <c r="L2353" t="s">
        <v>22</v>
      </c>
    </row>
    <row r="2354" spans="1:12" x14ac:dyDescent="0.3">
      <c r="A2354">
        <v>2010</v>
      </c>
      <c r="B2354" t="s">
        <v>31</v>
      </c>
      <c r="C2354">
        <v>53</v>
      </c>
      <c r="D2354">
        <v>3512.4</v>
      </c>
      <c r="E2354">
        <v>40</v>
      </c>
      <c r="F2354" t="s">
        <v>63</v>
      </c>
      <c r="G2354" t="s">
        <v>26</v>
      </c>
      <c r="H2354">
        <v>12</v>
      </c>
      <c r="I2354">
        <v>58</v>
      </c>
      <c r="J2354" t="s">
        <v>15</v>
      </c>
      <c r="K2354">
        <v>216396</v>
      </c>
      <c r="L2354" t="s">
        <v>22</v>
      </c>
    </row>
    <row r="2355" spans="1:12" x14ac:dyDescent="0.3">
      <c r="A2355">
        <v>2011</v>
      </c>
      <c r="B2355" t="s">
        <v>31</v>
      </c>
      <c r="C2355">
        <v>2688</v>
      </c>
      <c r="D2355">
        <v>3296</v>
      </c>
      <c r="E2355">
        <v>41</v>
      </c>
      <c r="F2355" t="s">
        <v>63</v>
      </c>
      <c r="G2355" t="s">
        <v>26</v>
      </c>
      <c r="H2355">
        <v>2089</v>
      </c>
      <c r="I2355">
        <v>58</v>
      </c>
      <c r="J2355" t="s">
        <v>15</v>
      </c>
      <c r="K2355">
        <v>2644</v>
      </c>
      <c r="L2355" t="s">
        <v>22</v>
      </c>
    </row>
    <row r="2356" spans="1:12" x14ac:dyDescent="0.3">
      <c r="A2356">
        <v>2012</v>
      </c>
      <c r="B2356" t="s">
        <v>31</v>
      </c>
      <c r="C2356">
        <v>2311</v>
      </c>
      <c r="D2356">
        <v>3296</v>
      </c>
      <c r="E2356">
        <v>41</v>
      </c>
      <c r="F2356" t="s">
        <v>63</v>
      </c>
      <c r="G2356" t="s">
        <v>26</v>
      </c>
      <c r="H2356">
        <v>2810</v>
      </c>
      <c r="I2356">
        <v>59</v>
      </c>
      <c r="J2356" t="s">
        <v>15</v>
      </c>
      <c r="K2356">
        <v>44235</v>
      </c>
      <c r="L2356" t="s">
        <v>22</v>
      </c>
    </row>
    <row r="2357" spans="1:12" x14ac:dyDescent="0.3">
      <c r="A2357">
        <v>2013</v>
      </c>
      <c r="B2357" t="s">
        <v>31</v>
      </c>
      <c r="C2357">
        <v>2188</v>
      </c>
      <c r="D2357">
        <v>3296</v>
      </c>
      <c r="E2357">
        <v>41</v>
      </c>
      <c r="F2357" t="s">
        <v>63</v>
      </c>
      <c r="G2357" t="s">
        <v>26</v>
      </c>
      <c r="H2357">
        <v>841</v>
      </c>
      <c r="I2357">
        <v>50</v>
      </c>
      <c r="J2357" t="s">
        <v>15</v>
      </c>
      <c r="K2357">
        <v>203317</v>
      </c>
      <c r="L2357" t="s">
        <v>22</v>
      </c>
    </row>
    <row r="2358" spans="1:12" x14ac:dyDescent="0.3">
      <c r="A2358">
        <v>2014</v>
      </c>
      <c r="B2358" t="s">
        <v>31</v>
      </c>
      <c r="C2358">
        <v>1998</v>
      </c>
      <c r="D2358">
        <v>3550</v>
      </c>
      <c r="E2358">
        <v>42</v>
      </c>
      <c r="F2358" t="s">
        <v>63</v>
      </c>
      <c r="G2358" t="s">
        <v>26</v>
      </c>
      <c r="H2358">
        <v>3550</v>
      </c>
      <c r="I2358">
        <v>54</v>
      </c>
      <c r="J2358" t="s">
        <v>15</v>
      </c>
      <c r="K2358">
        <v>2134</v>
      </c>
      <c r="L2358" t="s">
        <v>22</v>
      </c>
    </row>
    <row r="2359" spans="1:12" x14ac:dyDescent="0.3">
      <c r="A2359">
        <v>2015</v>
      </c>
      <c r="B2359" t="s">
        <v>31</v>
      </c>
      <c r="C2359">
        <v>2006</v>
      </c>
      <c r="D2359">
        <v>3550</v>
      </c>
      <c r="E2359">
        <v>42</v>
      </c>
      <c r="F2359" t="s">
        <v>63</v>
      </c>
      <c r="G2359" t="s">
        <v>14</v>
      </c>
      <c r="H2359">
        <v>109</v>
      </c>
      <c r="I2359">
        <v>53</v>
      </c>
      <c r="J2359" t="s">
        <v>28</v>
      </c>
      <c r="K2359">
        <v>45186</v>
      </c>
      <c r="L2359" t="s">
        <v>22</v>
      </c>
    </row>
    <row r="2360" spans="1:12" x14ac:dyDescent="0.3">
      <c r="A2360">
        <v>2016</v>
      </c>
      <c r="B2360" t="s">
        <v>31</v>
      </c>
      <c r="C2360">
        <v>2034</v>
      </c>
      <c r="D2360">
        <v>3550</v>
      </c>
      <c r="E2360">
        <v>42</v>
      </c>
      <c r="F2360" t="s">
        <v>63</v>
      </c>
      <c r="G2360" t="s">
        <v>14</v>
      </c>
      <c r="H2360">
        <v>3368</v>
      </c>
      <c r="I2360">
        <v>52</v>
      </c>
      <c r="J2360" t="s">
        <v>28</v>
      </c>
      <c r="K2360">
        <v>238542</v>
      </c>
      <c r="L2360" t="s">
        <v>22</v>
      </c>
    </row>
    <row r="2361" spans="1:12" x14ac:dyDescent="0.3">
      <c r="A2361">
        <v>2017</v>
      </c>
      <c r="B2361" t="s">
        <v>31</v>
      </c>
      <c r="C2361">
        <v>2035</v>
      </c>
      <c r="D2361">
        <v>3654</v>
      </c>
      <c r="E2361">
        <v>43</v>
      </c>
      <c r="F2361" t="s">
        <v>63</v>
      </c>
      <c r="G2361" t="s">
        <v>14</v>
      </c>
      <c r="H2361">
        <v>3671</v>
      </c>
      <c r="I2361">
        <v>51</v>
      </c>
      <c r="J2361" t="s">
        <v>28</v>
      </c>
      <c r="K2361">
        <v>1516</v>
      </c>
      <c r="L2361" t="s">
        <v>22</v>
      </c>
    </row>
    <row r="2362" spans="1:12" x14ac:dyDescent="0.3">
      <c r="A2362">
        <v>2018</v>
      </c>
      <c r="B2362" t="s">
        <v>31</v>
      </c>
      <c r="C2362">
        <v>2074</v>
      </c>
      <c r="D2362">
        <v>3654</v>
      </c>
      <c r="E2362">
        <v>43</v>
      </c>
      <c r="F2362" t="s">
        <v>63</v>
      </c>
      <c r="G2362" t="s">
        <v>14</v>
      </c>
      <c r="H2362">
        <v>2404</v>
      </c>
      <c r="I2362">
        <v>57</v>
      </c>
      <c r="J2362" t="s">
        <v>28</v>
      </c>
      <c r="K2362">
        <v>57259</v>
      </c>
      <c r="L2362" t="s">
        <v>22</v>
      </c>
    </row>
    <row r="2363" spans="1:12" x14ac:dyDescent="0.3">
      <c r="A2363">
        <v>2004</v>
      </c>
      <c r="B2363" t="s">
        <v>31</v>
      </c>
      <c r="C2363">
        <v>2127</v>
      </c>
      <c r="D2363">
        <v>3654</v>
      </c>
      <c r="E2363">
        <v>27</v>
      </c>
      <c r="F2363" t="s">
        <v>63</v>
      </c>
      <c r="G2363" t="s">
        <v>14</v>
      </c>
      <c r="H2363">
        <v>2805</v>
      </c>
      <c r="I2363">
        <v>57</v>
      </c>
      <c r="J2363" t="s">
        <v>28</v>
      </c>
      <c r="K2363">
        <v>234779</v>
      </c>
      <c r="L2363" t="s">
        <v>22</v>
      </c>
    </row>
    <row r="2364" spans="1:12" x14ac:dyDescent="0.3">
      <c r="A2364">
        <v>2005</v>
      </c>
      <c r="B2364" t="s">
        <v>31</v>
      </c>
      <c r="C2364">
        <v>2090</v>
      </c>
      <c r="D2364">
        <v>233</v>
      </c>
      <c r="E2364">
        <v>27</v>
      </c>
      <c r="F2364" t="s">
        <v>63</v>
      </c>
      <c r="G2364" t="s">
        <v>14</v>
      </c>
      <c r="H2364">
        <v>2331</v>
      </c>
      <c r="I2364">
        <v>60</v>
      </c>
      <c r="J2364" t="s">
        <v>28</v>
      </c>
      <c r="K2364">
        <v>1493</v>
      </c>
      <c r="L2364" t="s">
        <v>22</v>
      </c>
    </row>
    <row r="2365" spans="1:12" x14ac:dyDescent="0.3">
      <c r="A2365">
        <v>2006</v>
      </c>
      <c r="B2365" t="s">
        <v>31</v>
      </c>
      <c r="C2365">
        <v>2059</v>
      </c>
      <c r="D2365">
        <v>233</v>
      </c>
      <c r="E2365">
        <v>27</v>
      </c>
      <c r="F2365" t="s">
        <v>63</v>
      </c>
      <c r="G2365" t="s">
        <v>14</v>
      </c>
      <c r="H2365">
        <v>2088</v>
      </c>
      <c r="I2365">
        <v>57</v>
      </c>
      <c r="J2365" t="s">
        <v>29</v>
      </c>
      <c r="K2365">
        <v>64409</v>
      </c>
      <c r="L2365" t="s">
        <v>22</v>
      </c>
    </row>
    <row r="2366" spans="1:12" x14ac:dyDescent="0.3">
      <c r="A2366">
        <v>2007</v>
      </c>
      <c r="B2366" t="s">
        <v>31</v>
      </c>
      <c r="C2366">
        <v>2050</v>
      </c>
      <c r="D2366">
        <v>233</v>
      </c>
      <c r="E2366">
        <v>27</v>
      </c>
      <c r="F2366" t="s">
        <v>63</v>
      </c>
      <c r="G2366" t="s">
        <v>14</v>
      </c>
      <c r="H2366">
        <v>2628</v>
      </c>
      <c r="I2366">
        <v>57</v>
      </c>
      <c r="J2366" t="s">
        <v>29</v>
      </c>
      <c r="K2366">
        <v>249978</v>
      </c>
      <c r="L2366" t="s">
        <v>22</v>
      </c>
    </row>
    <row r="2367" spans="1:12" x14ac:dyDescent="0.3">
      <c r="A2367">
        <v>2008</v>
      </c>
      <c r="B2367" t="s">
        <v>31</v>
      </c>
      <c r="C2367">
        <v>1865</v>
      </c>
      <c r="D2367">
        <v>234</v>
      </c>
      <c r="E2367">
        <v>27</v>
      </c>
      <c r="F2367" t="s">
        <v>63</v>
      </c>
      <c r="G2367" t="s">
        <v>14</v>
      </c>
      <c r="H2367">
        <v>1939</v>
      </c>
      <c r="I2367">
        <v>54</v>
      </c>
      <c r="J2367" t="s">
        <v>29</v>
      </c>
      <c r="K2367">
        <v>637</v>
      </c>
      <c r="L2367" t="s">
        <v>22</v>
      </c>
    </row>
    <row r="2368" spans="1:12" x14ac:dyDescent="0.3">
      <c r="A2368">
        <v>2009</v>
      </c>
      <c r="B2368" t="s">
        <v>31</v>
      </c>
      <c r="C2368">
        <v>1841</v>
      </c>
      <c r="D2368">
        <v>234</v>
      </c>
      <c r="E2368">
        <v>27</v>
      </c>
      <c r="F2368" t="s">
        <v>63</v>
      </c>
      <c r="G2368" t="s">
        <v>14</v>
      </c>
      <c r="H2368">
        <v>1871</v>
      </c>
      <c r="I2368">
        <v>54.5</v>
      </c>
      <c r="J2368" t="s">
        <v>29</v>
      </c>
      <c r="K2368">
        <v>43311</v>
      </c>
      <c r="L2368" t="s">
        <v>22</v>
      </c>
    </row>
    <row r="2369" spans="1:12" x14ac:dyDescent="0.3">
      <c r="A2369">
        <v>2010</v>
      </c>
      <c r="B2369" t="s">
        <v>31</v>
      </c>
      <c r="C2369">
        <v>1799</v>
      </c>
      <c r="D2369">
        <v>234</v>
      </c>
      <c r="E2369">
        <v>27.2</v>
      </c>
      <c r="F2369" t="s">
        <v>63</v>
      </c>
      <c r="G2369" t="s">
        <v>14</v>
      </c>
      <c r="H2369">
        <v>1868</v>
      </c>
      <c r="I2369">
        <v>56.6</v>
      </c>
      <c r="J2369" t="s">
        <v>29</v>
      </c>
      <c r="K2369">
        <v>24848</v>
      </c>
      <c r="L2369" t="s">
        <v>22</v>
      </c>
    </row>
    <row r="2370" spans="1:12" x14ac:dyDescent="0.3">
      <c r="A2370">
        <v>2011</v>
      </c>
      <c r="B2370" t="s">
        <v>31</v>
      </c>
      <c r="C2370">
        <v>1468</v>
      </c>
      <c r="D2370">
        <v>3105</v>
      </c>
      <c r="E2370">
        <v>27.2</v>
      </c>
      <c r="F2370" t="s">
        <v>63</v>
      </c>
      <c r="G2370" t="s">
        <v>14</v>
      </c>
      <c r="H2370">
        <v>127919</v>
      </c>
      <c r="I2370">
        <v>55.5</v>
      </c>
      <c r="J2370" t="s">
        <v>29</v>
      </c>
      <c r="K2370">
        <v>761</v>
      </c>
      <c r="L2370" t="s">
        <v>22</v>
      </c>
    </row>
    <row r="2371" spans="1:12" x14ac:dyDescent="0.3">
      <c r="A2371">
        <v>2012</v>
      </c>
      <c r="B2371" t="s">
        <v>31</v>
      </c>
      <c r="C2371">
        <v>568</v>
      </c>
      <c r="D2371">
        <v>3105</v>
      </c>
      <c r="E2371">
        <v>27.2</v>
      </c>
      <c r="F2371" t="s">
        <v>24</v>
      </c>
      <c r="G2371" t="s">
        <v>14</v>
      </c>
      <c r="H2371">
        <v>75340</v>
      </c>
      <c r="I2371">
        <v>58.5</v>
      </c>
      <c r="J2371" t="s">
        <v>29</v>
      </c>
      <c r="K2371">
        <v>45608</v>
      </c>
      <c r="L2371" t="s">
        <v>22</v>
      </c>
    </row>
    <row r="2372" spans="1:12" x14ac:dyDescent="0.3">
      <c r="A2372">
        <v>2013</v>
      </c>
      <c r="B2372" t="s">
        <v>31</v>
      </c>
      <c r="C2372">
        <v>407</v>
      </c>
      <c r="D2372">
        <v>3105</v>
      </c>
      <c r="E2372">
        <v>27</v>
      </c>
      <c r="F2372" t="s">
        <v>24</v>
      </c>
      <c r="G2372" t="s">
        <v>14</v>
      </c>
      <c r="H2372">
        <v>29170</v>
      </c>
      <c r="I2372">
        <v>59.5</v>
      </c>
      <c r="J2372" t="s">
        <v>29</v>
      </c>
      <c r="K2372">
        <v>234581</v>
      </c>
      <c r="L2372" t="s">
        <v>22</v>
      </c>
    </row>
    <row r="2373" spans="1:12" x14ac:dyDescent="0.3">
      <c r="A2373">
        <v>2014</v>
      </c>
      <c r="B2373" t="s">
        <v>31</v>
      </c>
      <c r="C2373">
        <v>177</v>
      </c>
      <c r="D2373">
        <v>236</v>
      </c>
      <c r="E2373">
        <v>27</v>
      </c>
      <c r="F2373" t="s">
        <v>24</v>
      </c>
      <c r="G2373" t="s">
        <v>14</v>
      </c>
      <c r="H2373">
        <v>1901</v>
      </c>
      <c r="I2373">
        <v>55</v>
      </c>
      <c r="J2373" t="s">
        <v>29</v>
      </c>
      <c r="K2373">
        <v>646</v>
      </c>
      <c r="L2373" t="s">
        <v>22</v>
      </c>
    </row>
    <row r="2374" spans="1:12" x14ac:dyDescent="0.3">
      <c r="A2374">
        <v>2015</v>
      </c>
      <c r="B2374" t="s">
        <v>31</v>
      </c>
      <c r="C2374">
        <v>51</v>
      </c>
      <c r="D2374">
        <v>236</v>
      </c>
      <c r="E2374">
        <v>27</v>
      </c>
      <c r="F2374" t="s">
        <v>24</v>
      </c>
      <c r="G2374" t="s">
        <v>14</v>
      </c>
      <c r="H2374">
        <v>972</v>
      </c>
      <c r="I2374">
        <v>53</v>
      </c>
      <c r="J2374" t="s">
        <v>29</v>
      </c>
      <c r="K2374">
        <v>43562</v>
      </c>
      <c r="L2374" t="s">
        <v>22</v>
      </c>
    </row>
    <row r="2375" spans="1:12" x14ac:dyDescent="0.3">
      <c r="A2375">
        <v>2016</v>
      </c>
      <c r="B2375" t="s">
        <v>31</v>
      </c>
      <c r="C2375">
        <v>173</v>
      </c>
      <c r="D2375">
        <v>2903.1</v>
      </c>
      <c r="E2375">
        <v>27</v>
      </c>
      <c r="F2375" t="s">
        <v>24</v>
      </c>
      <c r="G2375" t="s">
        <v>14</v>
      </c>
      <c r="H2375">
        <v>874</v>
      </c>
      <c r="I2375">
        <v>53.5</v>
      </c>
      <c r="J2375" t="s">
        <v>29</v>
      </c>
      <c r="K2375">
        <v>200000</v>
      </c>
      <c r="L2375" t="s">
        <v>22</v>
      </c>
    </row>
    <row r="2376" spans="1:12" x14ac:dyDescent="0.3">
      <c r="A2376">
        <v>2017</v>
      </c>
      <c r="B2376" t="s">
        <v>31</v>
      </c>
      <c r="C2376">
        <v>201</v>
      </c>
      <c r="D2376">
        <v>2903.1</v>
      </c>
      <c r="E2376">
        <v>27</v>
      </c>
      <c r="F2376" t="s">
        <v>24</v>
      </c>
      <c r="G2376" t="s">
        <v>14</v>
      </c>
      <c r="H2376">
        <v>592</v>
      </c>
      <c r="I2376">
        <v>52.5</v>
      </c>
      <c r="J2376" t="s">
        <v>29</v>
      </c>
      <c r="K2376">
        <v>4847</v>
      </c>
      <c r="L2376" t="s">
        <v>22</v>
      </c>
    </row>
    <row r="2377" spans="1:12" x14ac:dyDescent="0.3">
      <c r="A2377">
        <v>2018</v>
      </c>
      <c r="B2377" t="s">
        <v>31</v>
      </c>
      <c r="C2377">
        <v>206</v>
      </c>
      <c r="D2377">
        <v>2903.1</v>
      </c>
      <c r="E2377">
        <v>27</v>
      </c>
      <c r="F2377" t="s">
        <v>24</v>
      </c>
      <c r="G2377" t="s">
        <v>14</v>
      </c>
      <c r="H2377">
        <v>864</v>
      </c>
      <c r="I2377">
        <v>56</v>
      </c>
      <c r="J2377" t="s">
        <v>29</v>
      </c>
      <c r="K2377">
        <v>51239</v>
      </c>
      <c r="L2377" t="s">
        <v>22</v>
      </c>
    </row>
    <row r="2378" spans="1:12" x14ac:dyDescent="0.3">
      <c r="A2378">
        <v>2004</v>
      </c>
      <c r="B2378" t="s">
        <v>31</v>
      </c>
      <c r="C2378">
        <v>243</v>
      </c>
      <c r="D2378">
        <v>2996.6</v>
      </c>
      <c r="E2378">
        <v>27.2</v>
      </c>
      <c r="F2378" t="s">
        <v>24</v>
      </c>
      <c r="G2378" t="s">
        <v>14</v>
      </c>
      <c r="H2378">
        <v>5373</v>
      </c>
      <c r="I2378">
        <v>57</v>
      </c>
      <c r="J2378" t="s">
        <v>29</v>
      </c>
      <c r="K2378">
        <v>216396</v>
      </c>
      <c r="L2378" t="s">
        <v>22</v>
      </c>
    </row>
    <row r="2379" spans="1:12" x14ac:dyDescent="0.3">
      <c r="A2379">
        <v>2005</v>
      </c>
      <c r="B2379" t="s">
        <v>31</v>
      </c>
      <c r="C2379">
        <v>123</v>
      </c>
      <c r="D2379">
        <v>2996.6</v>
      </c>
      <c r="E2379">
        <v>27.2</v>
      </c>
      <c r="F2379" t="s">
        <v>24</v>
      </c>
      <c r="G2379" t="s">
        <v>14</v>
      </c>
      <c r="H2379">
        <v>6589</v>
      </c>
      <c r="I2379">
        <v>57.5</v>
      </c>
      <c r="J2379" t="s">
        <v>29</v>
      </c>
      <c r="K2379">
        <v>2644</v>
      </c>
      <c r="L2379" t="s">
        <v>22</v>
      </c>
    </row>
    <row r="2380" spans="1:12" x14ac:dyDescent="0.3">
      <c r="A2380">
        <v>2006</v>
      </c>
      <c r="B2380" t="s">
        <v>31</v>
      </c>
      <c r="C2380">
        <v>82</v>
      </c>
      <c r="D2380">
        <v>2996.6</v>
      </c>
      <c r="E2380">
        <v>27.2</v>
      </c>
      <c r="F2380" t="s">
        <v>24</v>
      </c>
      <c r="G2380" t="s">
        <v>14</v>
      </c>
      <c r="H2380">
        <v>5107</v>
      </c>
      <c r="I2380">
        <v>57</v>
      </c>
      <c r="J2380" t="s">
        <v>30</v>
      </c>
      <c r="K2380">
        <v>44235</v>
      </c>
      <c r="L2380" t="s">
        <v>22</v>
      </c>
    </row>
    <row r="2381" spans="1:12" x14ac:dyDescent="0.3">
      <c r="A2381">
        <v>2007</v>
      </c>
      <c r="B2381" t="s">
        <v>34</v>
      </c>
      <c r="C2381">
        <v>74</v>
      </c>
      <c r="D2381">
        <v>3522.8</v>
      </c>
      <c r="E2381">
        <v>27.1</v>
      </c>
      <c r="F2381" t="s">
        <v>24</v>
      </c>
      <c r="G2381" t="s">
        <v>14</v>
      </c>
      <c r="H2381">
        <v>5518</v>
      </c>
      <c r="I2381">
        <v>55</v>
      </c>
      <c r="J2381" t="s">
        <v>30</v>
      </c>
      <c r="K2381">
        <v>203317</v>
      </c>
      <c r="L2381" t="s">
        <v>22</v>
      </c>
    </row>
    <row r="2382" spans="1:12" x14ac:dyDescent="0.3">
      <c r="A2382">
        <v>2008</v>
      </c>
      <c r="B2382" t="s">
        <v>34</v>
      </c>
      <c r="C2382">
        <v>18</v>
      </c>
      <c r="D2382">
        <v>3522.8</v>
      </c>
      <c r="E2382">
        <v>27.1</v>
      </c>
      <c r="F2382" t="s">
        <v>24</v>
      </c>
      <c r="G2382" t="s">
        <v>14</v>
      </c>
      <c r="H2382">
        <v>4912</v>
      </c>
      <c r="I2382">
        <v>56</v>
      </c>
      <c r="J2382" t="s">
        <v>30</v>
      </c>
      <c r="K2382">
        <v>2134</v>
      </c>
      <c r="L2382" t="s">
        <v>22</v>
      </c>
    </row>
    <row r="2383" spans="1:12" x14ac:dyDescent="0.3">
      <c r="A2383">
        <v>2009</v>
      </c>
      <c r="B2383" t="s">
        <v>34</v>
      </c>
      <c r="C2383">
        <v>37</v>
      </c>
      <c r="D2383">
        <v>3522.8</v>
      </c>
      <c r="E2383">
        <v>27.1</v>
      </c>
      <c r="F2383" t="s">
        <v>24</v>
      </c>
      <c r="G2383" t="s">
        <v>14</v>
      </c>
      <c r="H2383">
        <v>3830</v>
      </c>
      <c r="I2383">
        <v>54</v>
      </c>
      <c r="J2383" t="s">
        <v>30</v>
      </c>
      <c r="K2383">
        <v>45186</v>
      </c>
      <c r="L2383" t="s">
        <v>22</v>
      </c>
    </row>
    <row r="2384" spans="1:12" x14ac:dyDescent="0.3">
      <c r="A2384">
        <v>2010</v>
      </c>
      <c r="B2384" t="s">
        <v>34</v>
      </c>
      <c r="C2384">
        <v>35</v>
      </c>
      <c r="D2384">
        <v>2903.1</v>
      </c>
      <c r="E2384">
        <v>26.8</v>
      </c>
      <c r="F2384" t="s">
        <v>24</v>
      </c>
      <c r="G2384" t="s">
        <v>14</v>
      </c>
      <c r="H2384">
        <v>4</v>
      </c>
      <c r="I2384">
        <v>58</v>
      </c>
      <c r="J2384" t="s">
        <v>30</v>
      </c>
      <c r="K2384">
        <v>238542</v>
      </c>
      <c r="L2384" t="s">
        <v>22</v>
      </c>
    </row>
    <row r="2385" spans="1:12" x14ac:dyDescent="0.3">
      <c r="A2385">
        <v>2011</v>
      </c>
      <c r="B2385" t="s">
        <v>34</v>
      </c>
      <c r="C2385">
        <v>5974</v>
      </c>
      <c r="D2385">
        <v>2903.1</v>
      </c>
      <c r="E2385">
        <v>26.8</v>
      </c>
      <c r="F2385" t="s">
        <v>24</v>
      </c>
      <c r="G2385" t="s">
        <v>14</v>
      </c>
      <c r="H2385">
        <v>9</v>
      </c>
      <c r="I2385">
        <v>58</v>
      </c>
      <c r="J2385" t="s">
        <v>30</v>
      </c>
      <c r="K2385">
        <v>1516</v>
      </c>
      <c r="L2385" t="s">
        <v>22</v>
      </c>
    </row>
    <row r="2386" spans="1:12" x14ac:dyDescent="0.3">
      <c r="A2386">
        <v>2012</v>
      </c>
      <c r="B2386" t="s">
        <v>34</v>
      </c>
      <c r="C2386">
        <v>6631</v>
      </c>
      <c r="D2386">
        <v>2903.1</v>
      </c>
      <c r="E2386">
        <v>26.8</v>
      </c>
      <c r="F2386" t="s">
        <v>24</v>
      </c>
      <c r="G2386" t="s">
        <v>14</v>
      </c>
      <c r="H2386">
        <v>12</v>
      </c>
      <c r="I2386">
        <v>59</v>
      </c>
      <c r="J2386" t="s">
        <v>30</v>
      </c>
      <c r="K2386">
        <v>57259</v>
      </c>
      <c r="L2386" t="s">
        <v>22</v>
      </c>
    </row>
    <row r="2387" spans="1:12" x14ac:dyDescent="0.3">
      <c r="A2387">
        <v>2013</v>
      </c>
      <c r="B2387" t="s">
        <v>34</v>
      </c>
      <c r="C2387">
        <v>6705</v>
      </c>
      <c r="D2387">
        <v>2996.6</v>
      </c>
      <c r="E2387">
        <v>37</v>
      </c>
      <c r="F2387" t="s">
        <v>24</v>
      </c>
      <c r="G2387" t="s">
        <v>14</v>
      </c>
      <c r="H2387">
        <v>2089</v>
      </c>
      <c r="I2387">
        <v>50</v>
      </c>
      <c r="J2387" t="s">
        <v>30</v>
      </c>
      <c r="K2387">
        <v>234779</v>
      </c>
      <c r="L2387" t="s">
        <v>22</v>
      </c>
    </row>
    <row r="2388" spans="1:12" x14ac:dyDescent="0.3">
      <c r="A2388">
        <v>2014</v>
      </c>
      <c r="B2388" t="s">
        <v>34</v>
      </c>
      <c r="C2388">
        <v>5876</v>
      </c>
      <c r="D2388">
        <v>2996.6</v>
      </c>
      <c r="E2388">
        <v>37</v>
      </c>
      <c r="F2388" t="s">
        <v>24</v>
      </c>
      <c r="G2388" t="s">
        <v>14</v>
      </c>
      <c r="H2388">
        <v>2810</v>
      </c>
      <c r="I2388">
        <v>54</v>
      </c>
      <c r="J2388" t="s">
        <v>30</v>
      </c>
      <c r="K2388">
        <v>1493</v>
      </c>
      <c r="L2388" t="s">
        <v>22</v>
      </c>
    </row>
    <row r="2389" spans="1:12" x14ac:dyDescent="0.3">
      <c r="A2389">
        <v>2015</v>
      </c>
      <c r="B2389" t="s">
        <v>34</v>
      </c>
      <c r="C2389">
        <v>326</v>
      </c>
      <c r="D2389">
        <v>2996.6</v>
      </c>
      <c r="E2389">
        <v>37</v>
      </c>
      <c r="F2389" t="s">
        <v>24</v>
      </c>
      <c r="G2389" t="s">
        <v>14</v>
      </c>
      <c r="H2389">
        <v>841</v>
      </c>
      <c r="I2389">
        <v>53</v>
      </c>
      <c r="J2389" t="s">
        <v>30</v>
      </c>
      <c r="K2389">
        <v>64409</v>
      </c>
      <c r="L2389" t="s">
        <v>22</v>
      </c>
    </row>
    <row r="2390" spans="1:12" x14ac:dyDescent="0.3">
      <c r="A2390">
        <v>2016</v>
      </c>
      <c r="B2390" t="s">
        <v>34</v>
      </c>
      <c r="C2390">
        <v>6470</v>
      </c>
      <c r="D2390">
        <v>3522.8</v>
      </c>
      <c r="E2390">
        <v>38</v>
      </c>
      <c r="F2390" t="s">
        <v>24</v>
      </c>
      <c r="G2390" t="s">
        <v>14</v>
      </c>
      <c r="H2390">
        <v>3550</v>
      </c>
      <c r="I2390">
        <v>52</v>
      </c>
      <c r="J2390" t="s">
        <v>30</v>
      </c>
      <c r="K2390">
        <v>249978</v>
      </c>
      <c r="L2390" t="s">
        <v>22</v>
      </c>
    </row>
    <row r="2391" spans="1:12" x14ac:dyDescent="0.3">
      <c r="A2391">
        <v>2017</v>
      </c>
      <c r="B2391" t="s">
        <v>34</v>
      </c>
      <c r="C2391">
        <v>6709</v>
      </c>
      <c r="D2391">
        <v>3522.8</v>
      </c>
      <c r="E2391">
        <v>38</v>
      </c>
      <c r="F2391" t="s">
        <v>24</v>
      </c>
      <c r="G2391" t="s">
        <v>14</v>
      </c>
      <c r="H2391">
        <v>109</v>
      </c>
      <c r="I2391">
        <v>51</v>
      </c>
      <c r="J2391" t="s">
        <v>30</v>
      </c>
      <c r="K2391">
        <v>637</v>
      </c>
      <c r="L2391" t="s">
        <v>22</v>
      </c>
    </row>
    <row r="2392" spans="1:12" x14ac:dyDescent="0.3">
      <c r="A2392">
        <v>2018</v>
      </c>
      <c r="B2392" t="s">
        <v>34</v>
      </c>
      <c r="C2392">
        <v>6186</v>
      </c>
      <c r="D2392">
        <v>3522.8</v>
      </c>
      <c r="E2392">
        <v>38</v>
      </c>
      <c r="F2392" t="s">
        <v>24</v>
      </c>
      <c r="G2392" t="s">
        <v>14</v>
      </c>
      <c r="H2392">
        <v>3368</v>
      </c>
      <c r="I2392">
        <v>57</v>
      </c>
      <c r="J2392" t="s">
        <v>30</v>
      </c>
      <c r="K2392">
        <v>43311</v>
      </c>
      <c r="L2392" t="s">
        <v>22</v>
      </c>
    </row>
    <row r="2393" spans="1:12" x14ac:dyDescent="0.3">
      <c r="A2393">
        <v>2004</v>
      </c>
      <c r="B2393" t="s">
        <v>34</v>
      </c>
      <c r="C2393">
        <v>6503</v>
      </c>
      <c r="D2393">
        <v>3729.8</v>
      </c>
      <c r="E2393">
        <v>39</v>
      </c>
      <c r="F2393" t="s">
        <v>24</v>
      </c>
      <c r="G2393" t="s">
        <v>14</v>
      </c>
      <c r="H2393">
        <v>3671</v>
      </c>
      <c r="I2393">
        <v>57</v>
      </c>
      <c r="J2393" t="s">
        <v>30</v>
      </c>
      <c r="K2393">
        <v>24848</v>
      </c>
      <c r="L2393" t="s">
        <v>22</v>
      </c>
    </row>
    <row r="2394" spans="1:12" x14ac:dyDescent="0.3">
      <c r="A2394">
        <v>2005</v>
      </c>
      <c r="B2394" t="s">
        <v>34</v>
      </c>
      <c r="C2394">
        <v>5220</v>
      </c>
      <c r="D2394">
        <v>3729.8</v>
      </c>
      <c r="E2394">
        <v>39</v>
      </c>
      <c r="F2394" t="s">
        <v>24</v>
      </c>
      <c r="G2394" t="s">
        <v>14</v>
      </c>
      <c r="H2394">
        <v>2404</v>
      </c>
      <c r="I2394">
        <v>60</v>
      </c>
      <c r="J2394" t="s">
        <v>30</v>
      </c>
      <c r="K2394">
        <v>761</v>
      </c>
      <c r="L2394" t="s">
        <v>22</v>
      </c>
    </row>
    <row r="2395" spans="1:12" x14ac:dyDescent="0.3">
      <c r="A2395">
        <v>2006</v>
      </c>
      <c r="B2395" t="s">
        <v>34</v>
      </c>
      <c r="C2395">
        <v>4677</v>
      </c>
      <c r="D2395">
        <v>3729.8</v>
      </c>
      <c r="E2395">
        <v>39</v>
      </c>
      <c r="F2395" t="s">
        <v>24</v>
      </c>
      <c r="G2395" t="s">
        <v>14</v>
      </c>
      <c r="H2395">
        <v>2805</v>
      </c>
      <c r="I2395">
        <v>57</v>
      </c>
      <c r="J2395" t="s">
        <v>32</v>
      </c>
      <c r="K2395">
        <v>45608</v>
      </c>
      <c r="L2395" t="s">
        <v>22</v>
      </c>
    </row>
    <row r="2396" spans="1:12" x14ac:dyDescent="0.3">
      <c r="A2396">
        <v>2007</v>
      </c>
      <c r="B2396" t="s">
        <v>34</v>
      </c>
      <c r="C2396">
        <v>4803</v>
      </c>
      <c r="D2396">
        <v>2746.2</v>
      </c>
      <c r="E2396">
        <v>40</v>
      </c>
      <c r="F2396" t="s">
        <v>24</v>
      </c>
      <c r="G2396" t="s">
        <v>14</v>
      </c>
      <c r="H2396">
        <v>2331</v>
      </c>
      <c r="I2396">
        <v>57</v>
      </c>
      <c r="J2396" t="s">
        <v>32</v>
      </c>
      <c r="K2396">
        <v>234581</v>
      </c>
      <c r="L2396" t="s">
        <v>22</v>
      </c>
    </row>
    <row r="2397" spans="1:12" x14ac:dyDescent="0.3">
      <c r="A2397">
        <v>2008</v>
      </c>
      <c r="B2397" t="s">
        <v>34</v>
      </c>
      <c r="C2397">
        <v>3739</v>
      </c>
      <c r="D2397">
        <v>2746.2</v>
      </c>
      <c r="E2397">
        <v>40</v>
      </c>
      <c r="F2397" t="s">
        <v>24</v>
      </c>
      <c r="G2397" t="s">
        <v>14</v>
      </c>
      <c r="H2397">
        <v>2088</v>
      </c>
      <c r="I2397">
        <v>54</v>
      </c>
      <c r="J2397" t="s">
        <v>32</v>
      </c>
      <c r="K2397">
        <v>646</v>
      </c>
      <c r="L2397" t="s">
        <v>22</v>
      </c>
    </row>
    <row r="2398" spans="1:12" x14ac:dyDescent="0.3">
      <c r="A2398">
        <v>2009</v>
      </c>
      <c r="B2398" t="s">
        <v>34</v>
      </c>
      <c r="C2398">
        <v>3529</v>
      </c>
      <c r="D2398">
        <v>2746.2</v>
      </c>
      <c r="E2398">
        <v>27</v>
      </c>
      <c r="F2398" t="s">
        <v>24</v>
      </c>
      <c r="G2398" t="s">
        <v>14</v>
      </c>
      <c r="H2398">
        <v>2628</v>
      </c>
      <c r="I2398">
        <v>54.5</v>
      </c>
      <c r="J2398" t="s">
        <v>32</v>
      </c>
      <c r="K2398">
        <v>43562</v>
      </c>
      <c r="L2398" t="s">
        <v>22</v>
      </c>
    </row>
    <row r="2399" spans="1:12" x14ac:dyDescent="0.3">
      <c r="A2399">
        <v>2010</v>
      </c>
      <c r="B2399" t="s">
        <v>34</v>
      </c>
      <c r="C2399">
        <v>3649</v>
      </c>
      <c r="D2399">
        <v>3360</v>
      </c>
      <c r="E2399">
        <v>27</v>
      </c>
      <c r="F2399" t="s">
        <v>24</v>
      </c>
      <c r="G2399" t="s">
        <v>14</v>
      </c>
      <c r="H2399">
        <v>1939</v>
      </c>
      <c r="I2399">
        <v>56.6</v>
      </c>
      <c r="J2399" t="s">
        <v>32</v>
      </c>
      <c r="K2399">
        <v>200000</v>
      </c>
      <c r="L2399" t="s">
        <v>22</v>
      </c>
    </row>
    <row r="2400" spans="1:12" x14ac:dyDescent="0.3">
      <c r="A2400">
        <v>2011</v>
      </c>
      <c r="B2400" t="s">
        <v>34</v>
      </c>
      <c r="C2400">
        <v>1374</v>
      </c>
      <c r="D2400">
        <v>3360</v>
      </c>
      <c r="E2400">
        <v>27</v>
      </c>
      <c r="F2400" t="s">
        <v>24</v>
      </c>
      <c r="G2400" t="s">
        <v>14</v>
      </c>
      <c r="H2400">
        <v>1871</v>
      </c>
      <c r="I2400">
        <v>55.5</v>
      </c>
      <c r="J2400" t="s">
        <v>32</v>
      </c>
      <c r="K2400">
        <v>4847</v>
      </c>
      <c r="L2400" t="s">
        <v>22</v>
      </c>
    </row>
    <row r="2401" spans="1:12" x14ac:dyDescent="0.3">
      <c r="A2401">
        <v>2012</v>
      </c>
      <c r="B2401" t="s">
        <v>34</v>
      </c>
      <c r="C2401">
        <v>1279</v>
      </c>
      <c r="D2401">
        <v>3360</v>
      </c>
      <c r="E2401">
        <v>27</v>
      </c>
      <c r="F2401" t="s">
        <v>24</v>
      </c>
      <c r="G2401" t="s">
        <v>14</v>
      </c>
      <c r="H2401">
        <v>1868</v>
      </c>
      <c r="I2401">
        <v>58.5</v>
      </c>
      <c r="J2401" t="s">
        <v>32</v>
      </c>
      <c r="K2401">
        <v>51239</v>
      </c>
      <c r="L2401" t="s">
        <v>22</v>
      </c>
    </row>
    <row r="2402" spans="1:12" x14ac:dyDescent="0.3">
      <c r="A2402">
        <v>2013</v>
      </c>
      <c r="B2402" t="s">
        <v>34</v>
      </c>
      <c r="C2402">
        <v>13283</v>
      </c>
      <c r="D2402">
        <v>3605.4</v>
      </c>
      <c r="E2402">
        <v>27</v>
      </c>
      <c r="F2402" t="s">
        <v>64</v>
      </c>
      <c r="G2402" t="s">
        <v>14</v>
      </c>
      <c r="H2402">
        <v>127919</v>
      </c>
      <c r="I2402">
        <v>59.5</v>
      </c>
      <c r="J2402" t="s">
        <v>32</v>
      </c>
      <c r="K2402">
        <v>216396</v>
      </c>
      <c r="L2402" t="s">
        <v>22</v>
      </c>
    </row>
    <row r="2403" spans="1:12" x14ac:dyDescent="0.3">
      <c r="A2403">
        <v>2014</v>
      </c>
      <c r="B2403" t="s">
        <v>34</v>
      </c>
      <c r="C2403">
        <v>52119</v>
      </c>
      <c r="D2403">
        <v>3605.4</v>
      </c>
      <c r="E2403">
        <v>27</v>
      </c>
      <c r="F2403" t="s">
        <v>64</v>
      </c>
      <c r="G2403" t="s">
        <v>21</v>
      </c>
      <c r="H2403">
        <v>75340</v>
      </c>
      <c r="I2403">
        <v>55</v>
      </c>
      <c r="J2403" t="s">
        <v>32</v>
      </c>
      <c r="K2403">
        <v>2644</v>
      </c>
      <c r="L2403" t="s">
        <v>22</v>
      </c>
    </row>
    <row r="2404" spans="1:12" x14ac:dyDescent="0.3">
      <c r="A2404">
        <v>2015</v>
      </c>
      <c r="B2404" t="s">
        <v>34</v>
      </c>
      <c r="C2404">
        <v>725</v>
      </c>
      <c r="D2404">
        <v>2903.1</v>
      </c>
      <c r="E2404">
        <v>27.2</v>
      </c>
      <c r="F2404" t="s">
        <v>64</v>
      </c>
      <c r="G2404" t="s">
        <v>21</v>
      </c>
      <c r="H2404">
        <v>29170</v>
      </c>
      <c r="I2404">
        <v>53</v>
      </c>
      <c r="J2404" t="s">
        <v>32</v>
      </c>
      <c r="K2404">
        <v>44235</v>
      </c>
      <c r="L2404" t="s">
        <v>22</v>
      </c>
    </row>
    <row r="2405" spans="1:12" x14ac:dyDescent="0.3">
      <c r="A2405">
        <v>2016</v>
      </c>
      <c r="B2405" t="s">
        <v>34</v>
      </c>
      <c r="C2405">
        <v>12885</v>
      </c>
      <c r="D2405">
        <v>2903.1</v>
      </c>
      <c r="E2405">
        <v>27.2</v>
      </c>
      <c r="F2405" t="s">
        <v>64</v>
      </c>
      <c r="G2405" t="s">
        <v>21</v>
      </c>
      <c r="H2405">
        <v>1901</v>
      </c>
      <c r="I2405">
        <v>53.5</v>
      </c>
      <c r="J2405" t="s">
        <v>32</v>
      </c>
      <c r="K2405">
        <v>203317</v>
      </c>
      <c r="L2405" t="s">
        <v>22</v>
      </c>
    </row>
    <row r="2406" spans="1:12" x14ac:dyDescent="0.3">
      <c r="A2406">
        <v>2017</v>
      </c>
      <c r="B2406" t="s">
        <v>34</v>
      </c>
      <c r="C2406">
        <v>51179</v>
      </c>
      <c r="D2406">
        <v>2903.1</v>
      </c>
      <c r="E2406">
        <v>27.2</v>
      </c>
      <c r="F2406" t="s">
        <v>64</v>
      </c>
      <c r="G2406" t="s">
        <v>21</v>
      </c>
      <c r="H2406">
        <v>972</v>
      </c>
      <c r="I2406">
        <v>52.5</v>
      </c>
      <c r="J2406" t="s">
        <v>32</v>
      </c>
      <c r="K2406">
        <v>2134</v>
      </c>
      <c r="L2406" t="s">
        <v>22</v>
      </c>
    </row>
    <row r="2407" spans="1:12" x14ac:dyDescent="0.3">
      <c r="A2407">
        <v>2018</v>
      </c>
      <c r="B2407" t="s">
        <v>34</v>
      </c>
      <c r="C2407">
        <v>468</v>
      </c>
      <c r="D2407">
        <v>2996.6</v>
      </c>
      <c r="E2407">
        <v>27</v>
      </c>
      <c r="F2407" t="s">
        <v>64</v>
      </c>
      <c r="G2407" t="s">
        <v>21</v>
      </c>
      <c r="H2407">
        <v>874</v>
      </c>
      <c r="I2407">
        <v>56</v>
      </c>
      <c r="J2407" t="s">
        <v>32</v>
      </c>
      <c r="K2407">
        <v>45186</v>
      </c>
      <c r="L2407" t="s">
        <v>22</v>
      </c>
    </row>
    <row r="2408" spans="1:12" x14ac:dyDescent="0.3">
      <c r="A2408">
        <v>2019</v>
      </c>
      <c r="B2408" t="s">
        <v>34</v>
      </c>
      <c r="C2408">
        <v>11841</v>
      </c>
      <c r="D2408">
        <v>2996.6</v>
      </c>
      <c r="E2408">
        <v>27</v>
      </c>
      <c r="F2408" t="s">
        <v>64</v>
      </c>
      <c r="G2408" t="s">
        <v>21</v>
      </c>
      <c r="H2408">
        <v>592</v>
      </c>
      <c r="I2408">
        <v>57</v>
      </c>
      <c r="J2408" t="s">
        <v>32</v>
      </c>
      <c r="K2408">
        <v>238542</v>
      </c>
      <c r="L2408" t="s">
        <v>22</v>
      </c>
    </row>
    <row r="2409" spans="1:12" x14ac:dyDescent="0.3">
      <c r="A2409">
        <v>2004</v>
      </c>
      <c r="B2409" t="s">
        <v>34</v>
      </c>
      <c r="C2409">
        <v>50975</v>
      </c>
      <c r="D2409">
        <v>2996.6</v>
      </c>
      <c r="E2409">
        <v>27</v>
      </c>
      <c r="F2409" t="s">
        <v>64</v>
      </c>
      <c r="G2409" t="s">
        <v>21</v>
      </c>
      <c r="H2409">
        <v>864</v>
      </c>
      <c r="I2409">
        <v>57.5</v>
      </c>
      <c r="J2409" t="s">
        <v>32</v>
      </c>
      <c r="K2409">
        <v>1516</v>
      </c>
      <c r="L2409" t="s">
        <v>22</v>
      </c>
    </row>
    <row r="2410" spans="1:12" x14ac:dyDescent="0.3">
      <c r="A2410">
        <v>2005</v>
      </c>
      <c r="B2410" t="s">
        <v>34</v>
      </c>
      <c r="C2410">
        <v>206</v>
      </c>
      <c r="D2410">
        <v>3522.8</v>
      </c>
      <c r="E2410">
        <v>27</v>
      </c>
      <c r="F2410" t="s">
        <v>64</v>
      </c>
      <c r="G2410" t="s">
        <v>21</v>
      </c>
      <c r="H2410">
        <v>5373</v>
      </c>
      <c r="I2410">
        <v>57</v>
      </c>
      <c r="J2410" t="s">
        <v>33</v>
      </c>
      <c r="K2410">
        <v>200000</v>
      </c>
      <c r="L2410" t="s">
        <v>22</v>
      </c>
    </row>
    <row r="2411" spans="1:12" x14ac:dyDescent="0.3">
      <c r="A2411">
        <v>2006</v>
      </c>
      <c r="B2411" t="s">
        <v>34</v>
      </c>
      <c r="C2411">
        <v>10922</v>
      </c>
      <c r="D2411">
        <v>3522.8</v>
      </c>
      <c r="E2411">
        <v>27</v>
      </c>
      <c r="F2411" t="s">
        <v>64</v>
      </c>
      <c r="G2411" t="s">
        <v>21</v>
      </c>
      <c r="H2411">
        <v>6589</v>
      </c>
      <c r="I2411">
        <v>55</v>
      </c>
      <c r="J2411" t="s">
        <v>33</v>
      </c>
      <c r="K2411">
        <v>4847</v>
      </c>
      <c r="L2411" t="s">
        <v>22</v>
      </c>
    </row>
    <row r="2412" spans="1:12" x14ac:dyDescent="0.3">
      <c r="A2412">
        <v>2007</v>
      </c>
      <c r="B2412" t="s">
        <v>34</v>
      </c>
      <c r="C2412">
        <v>51390</v>
      </c>
      <c r="D2412">
        <v>3522.8</v>
      </c>
      <c r="E2412">
        <v>27</v>
      </c>
      <c r="F2412" t="s">
        <v>64</v>
      </c>
      <c r="G2412" t="s">
        <v>21</v>
      </c>
      <c r="H2412">
        <v>5107</v>
      </c>
      <c r="I2412">
        <v>56</v>
      </c>
      <c r="J2412" t="s">
        <v>33</v>
      </c>
      <c r="K2412">
        <v>51239</v>
      </c>
      <c r="L2412" t="s">
        <v>22</v>
      </c>
    </row>
    <row r="2413" spans="1:12" x14ac:dyDescent="0.3">
      <c r="A2413">
        <v>2008</v>
      </c>
      <c r="B2413" t="s">
        <v>34</v>
      </c>
      <c r="C2413">
        <v>177</v>
      </c>
      <c r="D2413">
        <v>2746.2</v>
      </c>
      <c r="E2413">
        <v>27.2</v>
      </c>
      <c r="F2413" t="s">
        <v>64</v>
      </c>
      <c r="G2413" t="s">
        <v>21</v>
      </c>
      <c r="H2413">
        <v>5518</v>
      </c>
      <c r="I2413">
        <v>54</v>
      </c>
      <c r="J2413" t="s">
        <v>33</v>
      </c>
      <c r="K2413">
        <v>216396</v>
      </c>
      <c r="L2413" t="s">
        <v>22</v>
      </c>
    </row>
    <row r="2414" spans="1:12" x14ac:dyDescent="0.3">
      <c r="A2414">
        <v>2009</v>
      </c>
      <c r="B2414" t="s">
        <v>34</v>
      </c>
      <c r="C2414">
        <v>10723</v>
      </c>
      <c r="D2414">
        <v>2746.2</v>
      </c>
      <c r="E2414">
        <v>27.2</v>
      </c>
      <c r="F2414" t="s">
        <v>64</v>
      </c>
      <c r="G2414" t="s">
        <v>21</v>
      </c>
      <c r="H2414">
        <v>4912</v>
      </c>
      <c r="I2414">
        <v>58</v>
      </c>
      <c r="J2414" t="s">
        <v>33</v>
      </c>
      <c r="K2414">
        <v>2644</v>
      </c>
      <c r="L2414" t="s">
        <v>22</v>
      </c>
    </row>
    <row r="2415" spans="1:12" x14ac:dyDescent="0.3">
      <c r="A2415">
        <v>2010</v>
      </c>
      <c r="B2415" t="s">
        <v>34</v>
      </c>
      <c r="C2415">
        <v>51709</v>
      </c>
      <c r="D2415">
        <v>3360</v>
      </c>
      <c r="E2415">
        <v>27.2</v>
      </c>
      <c r="F2415" t="s">
        <v>64</v>
      </c>
      <c r="G2415" t="s">
        <v>21</v>
      </c>
      <c r="H2415">
        <v>3830</v>
      </c>
      <c r="I2415">
        <v>58</v>
      </c>
      <c r="J2415" t="s">
        <v>33</v>
      </c>
      <c r="K2415">
        <v>44235</v>
      </c>
      <c r="L2415" t="s">
        <v>22</v>
      </c>
    </row>
    <row r="2416" spans="1:12" x14ac:dyDescent="0.3">
      <c r="A2416">
        <v>2011</v>
      </c>
      <c r="B2416" t="s">
        <v>34</v>
      </c>
      <c r="C2416">
        <v>146</v>
      </c>
      <c r="D2416">
        <v>3360</v>
      </c>
      <c r="E2416">
        <v>27.1</v>
      </c>
      <c r="F2416" t="s">
        <v>64</v>
      </c>
      <c r="G2416" t="s">
        <v>21</v>
      </c>
      <c r="H2416">
        <v>4</v>
      </c>
      <c r="I2416">
        <v>59</v>
      </c>
      <c r="J2416" t="s">
        <v>33</v>
      </c>
      <c r="K2416">
        <v>203317</v>
      </c>
      <c r="L2416" t="s">
        <v>22</v>
      </c>
    </row>
    <row r="2417" spans="1:12" x14ac:dyDescent="0.3">
      <c r="A2417">
        <v>2012</v>
      </c>
      <c r="B2417" t="s">
        <v>34</v>
      </c>
      <c r="C2417">
        <v>10910</v>
      </c>
      <c r="D2417">
        <v>3360</v>
      </c>
      <c r="E2417">
        <v>27.1</v>
      </c>
      <c r="F2417" t="s">
        <v>64</v>
      </c>
      <c r="G2417" t="s">
        <v>21</v>
      </c>
      <c r="H2417">
        <v>9</v>
      </c>
      <c r="I2417">
        <v>50</v>
      </c>
      <c r="J2417" t="s">
        <v>33</v>
      </c>
      <c r="K2417">
        <v>2134</v>
      </c>
      <c r="L2417" t="s">
        <v>22</v>
      </c>
    </row>
    <row r="2418" spans="1:12" x14ac:dyDescent="0.3">
      <c r="A2418">
        <v>2013</v>
      </c>
      <c r="B2418" t="s">
        <v>34</v>
      </c>
      <c r="C2418">
        <v>51355</v>
      </c>
      <c r="D2418">
        <v>3605.4</v>
      </c>
      <c r="E2418">
        <v>27.1</v>
      </c>
      <c r="F2418" t="s">
        <v>64</v>
      </c>
      <c r="G2418" t="s">
        <v>21</v>
      </c>
      <c r="H2418">
        <v>12</v>
      </c>
      <c r="I2418">
        <v>54</v>
      </c>
      <c r="J2418" t="s">
        <v>33</v>
      </c>
      <c r="K2418">
        <v>45186</v>
      </c>
      <c r="L2418" t="s">
        <v>22</v>
      </c>
    </row>
    <row r="2419" spans="1:12" x14ac:dyDescent="0.3">
      <c r="A2419">
        <v>2014</v>
      </c>
      <c r="B2419" t="s">
        <v>34</v>
      </c>
      <c r="C2419">
        <v>160</v>
      </c>
      <c r="D2419">
        <v>3605.4</v>
      </c>
      <c r="E2419">
        <v>26.8</v>
      </c>
      <c r="F2419" t="s">
        <v>64</v>
      </c>
      <c r="G2419" t="s">
        <v>21</v>
      </c>
      <c r="H2419">
        <v>2089</v>
      </c>
      <c r="I2419">
        <v>53</v>
      </c>
      <c r="J2419" t="s">
        <v>33</v>
      </c>
      <c r="K2419">
        <v>238542</v>
      </c>
      <c r="L2419" t="s">
        <v>22</v>
      </c>
    </row>
    <row r="2420" spans="1:12" x14ac:dyDescent="0.3">
      <c r="A2420">
        <v>2015</v>
      </c>
      <c r="B2420" t="s">
        <v>34</v>
      </c>
      <c r="C2420">
        <v>10912</v>
      </c>
      <c r="D2420">
        <v>3605.4</v>
      </c>
      <c r="E2420">
        <v>26.8</v>
      </c>
      <c r="F2420" t="s">
        <v>64</v>
      </c>
      <c r="G2420" t="s">
        <v>21</v>
      </c>
      <c r="H2420">
        <v>2810</v>
      </c>
      <c r="I2420">
        <v>52</v>
      </c>
      <c r="J2420" t="s">
        <v>33</v>
      </c>
      <c r="K2420">
        <v>1516</v>
      </c>
      <c r="L2420" t="s">
        <v>22</v>
      </c>
    </row>
    <row r="2421" spans="1:12" x14ac:dyDescent="0.3">
      <c r="A2421">
        <v>2016</v>
      </c>
      <c r="B2421" t="s">
        <v>34</v>
      </c>
      <c r="C2421">
        <v>51353</v>
      </c>
      <c r="D2421">
        <v>3512.4</v>
      </c>
      <c r="E2421">
        <v>26.8</v>
      </c>
      <c r="F2421" t="s">
        <v>64</v>
      </c>
      <c r="G2421" t="s">
        <v>21</v>
      </c>
      <c r="H2421">
        <v>841</v>
      </c>
      <c r="I2421">
        <v>51</v>
      </c>
      <c r="J2421" t="s">
        <v>33</v>
      </c>
      <c r="K2421">
        <v>57259</v>
      </c>
      <c r="L2421" t="s">
        <v>22</v>
      </c>
    </row>
    <row r="2422" spans="1:12" x14ac:dyDescent="0.3">
      <c r="A2422">
        <v>2017</v>
      </c>
      <c r="B2422" t="s">
        <v>34</v>
      </c>
      <c r="C2422">
        <v>1279</v>
      </c>
      <c r="D2422">
        <v>3512.4</v>
      </c>
      <c r="E2422">
        <v>37</v>
      </c>
      <c r="F2422" t="s">
        <v>64</v>
      </c>
      <c r="G2422" t="s">
        <v>21</v>
      </c>
      <c r="H2422">
        <v>3550</v>
      </c>
      <c r="I2422">
        <v>57</v>
      </c>
      <c r="J2422" t="s">
        <v>33</v>
      </c>
      <c r="K2422">
        <v>234779</v>
      </c>
      <c r="L2422" t="s">
        <v>22</v>
      </c>
    </row>
    <row r="2423" spans="1:12" x14ac:dyDescent="0.3">
      <c r="A2423">
        <v>2018</v>
      </c>
      <c r="B2423" t="s">
        <v>34</v>
      </c>
      <c r="C2423">
        <v>13283</v>
      </c>
      <c r="D2423">
        <v>3512.4</v>
      </c>
      <c r="E2423">
        <v>37</v>
      </c>
      <c r="F2423" t="s">
        <v>64</v>
      </c>
      <c r="G2423" t="s">
        <v>21</v>
      </c>
      <c r="H2423">
        <v>109</v>
      </c>
      <c r="I2423">
        <v>57</v>
      </c>
      <c r="J2423" t="s">
        <v>33</v>
      </c>
      <c r="K2423">
        <v>1493</v>
      </c>
      <c r="L2423" t="s">
        <v>22</v>
      </c>
    </row>
    <row r="2424" spans="1:12" x14ac:dyDescent="0.3">
      <c r="A2424">
        <v>2012</v>
      </c>
      <c r="B2424" t="s">
        <v>34</v>
      </c>
      <c r="C2424">
        <v>52119</v>
      </c>
      <c r="D2424">
        <v>3296</v>
      </c>
      <c r="E2424">
        <v>37</v>
      </c>
      <c r="F2424" t="s">
        <v>64</v>
      </c>
      <c r="G2424" t="s">
        <v>21</v>
      </c>
      <c r="H2424">
        <v>3368</v>
      </c>
      <c r="I2424">
        <v>60</v>
      </c>
      <c r="J2424" t="s">
        <v>33</v>
      </c>
      <c r="K2424">
        <v>64409</v>
      </c>
      <c r="L2424" t="s">
        <v>22</v>
      </c>
    </row>
    <row r="2425" spans="1:12" x14ac:dyDescent="0.3">
      <c r="A2425">
        <v>2013</v>
      </c>
      <c r="B2425" t="s">
        <v>34</v>
      </c>
      <c r="C2425">
        <v>725</v>
      </c>
      <c r="D2425">
        <v>3296</v>
      </c>
      <c r="E2425">
        <v>38</v>
      </c>
      <c r="F2425" t="s">
        <v>64</v>
      </c>
      <c r="G2425" t="s">
        <v>21</v>
      </c>
      <c r="H2425">
        <v>3671</v>
      </c>
      <c r="I2425">
        <v>57</v>
      </c>
      <c r="J2425" t="s">
        <v>35</v>
      </c>
      <c r="K2425">
        <v>249978</v>
      </c>
      <c r="L2425" t="s">
        <v>22</v>
      </c>
    </row>
    <row r="2426" spans="1:12" x14ac:dyDescent="0.3">
      <c r="A2426">
        <v>2014</v>
      </c>
      <c r="B2426" t="s">
        <v>34</v>
      </c>
      <c r="C2426">
        <v>12885</v>
      </c>
      <c r="D2426">
        <v>3296</v>
      </c>
      <c r="E2426">
        <v>38</v>
      </c>
      <c r="F2426" t="s">
        <v>64</v>
      </c>
      <c r="G2426" t="s">
        <v>21</v>
      </c>
      <c r="H2426">
        <v>2404</v>
      </c>
      <c r="I2426">
        <v>57</v>
      </c>
      <c r="J2426" t="s">
        <v>35</v>
      </c>
      <c r="K2426">
        <v>637</v>
      </c>
      <c r="L2426" t="s">
        <v>22</v>
      </c>
    </row>
    <row r="2427" spans="1:12" x14ac:dyDescent="0.3">
      <c r="A2427">
        <v>2015</v>
      </c>
      <c r="B2427" t="s">
        <v>34</v>
      </c>
      <c r="C2427">
        <v>51179</v>
      </c>
      <c r="D2427">
        <v>3550</v>
      </c>
      <c r="E2427">
        <v>38</v>
      </c>
      <c r="F2427" t="s">
        <v>64</v>
      </c>
      <c r="G2427" t="s">
        <v>21</v>
      </c>
      <c r="H2427">
        <v>2805</v>
      </c>
      <c r="I2427">
        <v>54</v>
      </c>
      <c r="J2427" t="s">
        <v>35</v>
      </c>
      <c r="K2427">
        <v>43311</v>
      </c>
      <c r="L2427" t="s">
        <v>22</v>
      </c>
    </row>
    <row r="2428" spans="1:12" x14ac:dyDescent="0.3">
      <c r="A2428">
        <v>2016</v>
      </c>
      <c r="B2428" t="s">
        <v>34</v>
      </c>
      <c r="C2428">
        <v>468</v>
      </c>
      <c r="D2428">
        <v>3550</v>
      </c>
      <c r="E2428">
        <v>39</v>
      </c>
      <c r="F2428" t="s">
        <v>64</v>
      </c>
      <c r="G2428" t="s">
        <v>21</v>
      </c>
      <c r="H2428">
        <v>2331</v>
      </c>
      <c r="I2428">
        <v>54.5</v>
      </c>
      <c r="J2428" t="s">
        <v>35</v>
      </c>
      <c r="K2428">
        <v>24848</v>
      </c>
      <c r="L2428" t="s">
        <v>22</v>
      </c>
    </row>
    <row r="2429" spans="1:12" x14ac:dyDescent="0.3">
      <c r="A2429">
        <v>2017</v>
      </c>
      <c r="B2429" t="s">
        <v>34</v>
      </c>
      <c r="C2429">
        <v>11841</v>
      </c>
      <c r="D2429">
        <v>3550</v>
      </c>
      <c r="E2429">
        <v>39</v>
      </c>
      <c r="F2429" t="s">
        <v>64</v>
      </c>
      <c r="G2429" t="s">
        <v>21</v>
      </c>
      <c r="H2429">
        <v>2088</v>
      </c>
      <c r="I2429">
        <v>56.6</v>
      </c>
      <c r="J2429" t="s">
        <v>35</v>
      </c>
      <c r="K2429">
        <v>761</v>
      </c>
      <c r="L2429" t="s">
        <v>22</v>
      </c>
    </row>
    <row r="2430" spans="1:12" x14ac:dyDescent="0.3">
      <c r="A2430">
        <v>2018</v>
      </c>
      <c r="B2430" t="s">
        <v>34</v>
      </c>
      <c r="C2430">
        <v>50975</v>
      </c>
      <c r="D2430">
        <v>3654</v>
      </c>
      <c r="E2430">
        <v>39</v>
      </c>
      <c r="F2430" t="s">
        <v>64</v>
      </c>
      <c r="G2430" t="s">
        <v>21</v>
      </c>
      <c r="H2430">
        <v>2628</v>
      </c>
      <c r="I2430">
        <v>55.5</v>
      </c>
      <c r="J2430" t="s">
        <v>35</v>
      </c>
      <c r="K2430">
        <v>45608</v>
      </c>
      <c r="L2430" t="s">
        <v>22</v>
      </c>
    </row>
    <row r="2431" spans="1:12" x14ac:dyDescent="0.3">
      <c r="A2431">
        <v>2019</v>
      </c>
      <c r="B2431" t="s">
        <v>34</v>
      </c>
      <c r="C2431">
        <v>206</v>
      </c>
      <c r="D2431">
        <v>3654</v>
      </c>
      <c r="E2431">
        <v>40</v>
      </c>
      <c r="F2431" t="s">
        <v>64</v>
      </c>
      <c r="G2431" t="s">
        <v>21</v>
      </c>
      <c r="H2431">
        <v>1939</v>
      </c>
      <c r="I2431">
        <v>58.5</v>
      </c>
      <c r="J2431" t="s">
        <v>35</v>
      </c>
      <c r="K2431">
        <v>234581</v>
      </c>
      <c r="L2431" t="s">
        <v>22</v>
      </c>
    </row>
    <row r="2432" spans="1:12" x14ac:dyDescent="0.3">
      <c r="A2432">
        <v>2004</v>
      </c>
      <c r="B2432" t="s">
        <v>34</v>
      </c>
      <c r="C2432">
        <v>10922</v>
      </c>
      <c r="D2432">
        <v>3654</v>
      </c>
      <c r="E2432">
        <v>40</v>
      </c>
      <c r="F2432" t="s">
        <v>64</v>
      </c>
      <c r="G2432" t="s">
        <v>21</v>
      </c>
      <c r="H2432">
        <v>1871</v>
      </c>
      <c r="I2432">
        <v>59.5</v>
      </c>
      <c r="J2432" t="s">
        <v>35</v>
      </c>
      <c r="K2432">
        <v>646</v>
      </c>
      <c r="L2432" t="s">
        <v>22</v>
      </c>
    </row>
    <row r="2433" spans="1:12" x14ac:dyDescent="0.3">
      <c r="A2433">
        <v>2005</v>
      </c>
      <c r="B2433" t="s">
        <v>34</v>
      </c>
      <c r="C2433">
        <v>51390</v>
      </c>
      <c r="D2433">
        <v>233</v>
      </c>
      <c r="E2433">
        <v>40</v>
      </c>
      <c r="F2433" t="s">
        <v>64</v>
      </c>
      <c r="G2433" t="s">
        <v>21</v>
      </c>
      <c r="H2433">
        <v>1868</v>
      </c>
      <c r="I2433">
        <v>55</v>
      </c>
      <c r="J2433" t="s">
        <v>35</v>
      </c>
      <c r="K2433">
        <v>43562</v>
      </c>
      <c r="L2433" t="s">
        <v>22</v>
      </c>
    </row>
    <row r="2434" spans="1:12" x14ac:dyDescent="0.3">
      <c r="A2434">
        <v>2006</v>
      </c>
      <c r="B2434" t="s">
        <v>34</v>
      </c>
      <c r="C2434">
        <v>177</v>
      </c>
      <c r="D2434">
        <v>233</v>
      </c>
      <c r="E2434">
        <v>41</v>
      </c>
      <c r="F2434" t="s">
        <v>64</v>
      </c>
      <c r="G2434" t="s">
        <v>21</v>
      </c>
      <c r="H2434">
        <v>127919</v>
      </c>
      <c r="I2434">
        <v>53</v>
      </c>
      <c r="J2434" t="s">
        <v>35</v>
      </c>
      <c r="K2434">
        <v>200000</v>
      </c>
      <c r="L2434" t="s">
        <v>22</v>
      </c>
    </row>
    <row r="2435" spans="1:12" x14ac:dyDescent="0.3">
      <c r="A2435">
        <v>2007</v>
      </c>
      <c r="B2435" t="s">
        <v>34</v>
      </c>
      <c r="C2435">
        <v>10723</v>
      </c>
      <c r="D2435">
        <v>233</v>
      </c>
      <c r="E2435">
        <v>41</v>
      </c>
      <c r="F2435" t="s">
        <v>64</v>
      </c>
      <c r="G2435" t="s">
        <v>21</v>
      </c>
      <c r="H2435">
        <v>75340</v>
      </c>
      <c r="I2435">
        <v>53.5</v>
      </c>
      <c r="J2435" t="s">
        <v>35</v>
      </c>
      <c r="K2435">
        <v>4847</v>
      </c>
      <c r="L2435" t="s">
        <v>22</v>
      </c>
    </row>
    <row r="2436" spans="1:12" x14ac:dyDescent="0.3">
      <c r="A2436">
        <v>2008</v>
      </c>
      <c r="B2436" t="s">
        <v>34</v>
      </c>
      <c r="C2436">
        <v>51709</v>
      </c>
      <c r="D2436">
        <v>234</v>
      </c>
      <c r="E2436">
        <v>41</v>
      </c>
      <c r="F2436" t="s">
        <v>64</v>
      </c>
      <c r="G2436" t="s">
        <v>21</v>
      </c>
      <c r="H2436">
        <v>29170</v>
      </c>
      <c r="I2436">
        <v>52.5</v>
      </c>
      <c r="J2436" t="s">
        <v>35</v>
      </c>
      <c r="K2436">
        <v>51239</v>
      </c>
      <c r="L2436" t="s">
        <v>22</v>
      </c>
    </row>
    <row r="2437" spans="1:12" x14ac:dyDescent="0.3">
      <c r="A2437">
        <v>2009</v>
      </c>
      <c r="B2437" t="s">
        <v>34</v>
      </c>
      <c r="C2437">
        <v>146</v>
      </c>
      <c r="D2437">
        <v>234</v>
      </c>
      <c r="E2437">
        <v>42</v>
      </c>
      <c r="F2437" t="s">
        <v>64</v>
      </c>
      <c r="G2437" t="s">
        <v>21</v>
      </c>
      <c r="H2437">
        <v>1901</v>
      </c>
      <c r="I2437">
        <v>56</v>
      </c>
      <c r="J2437" t="s">
        <v>35</v>
      </c>
      <c r="K2437">
        <v>216396</v>
      </c>
      <c r="L2437" t="s">
        <v>22</v>
      </c>
    </row>
    <row r="2438" spans="1:12" x14ac:dyDescent="0.3">
      <c r="A2438">
        <v>2010</v>
      </c>
      <c r="B2438" t="s">
        <v>34</v>
      </c>
      <c r="C2438">
        <v>10910</v>
      </c>
      <c r="D2438">
        <v>234</v>
      </c>
      <c r="E2438">
        <v>42</v>
      </c>
      <c r="F2438" t="s">
        <v>64</v>
      </c>
      <c r="G2438" t="s">
        <v>21</v>
      </c>
      <c r="H2438">
        <v>972</v>
      </c>
      <c r="I2438">
        <v>57</v>
      </c>
      <c r="J2438" t="s">
        <v>35</v>
      </c>
      <c r="K2438">
        <v>2644</v>
      </c>
      <c r="L2438" t="s">
        <v>22</v>
      </c>
    </row>
    <row r="2439" spans="1:12" x14ac:dyDescent="0.3">
      <c r="A2439">
        <v>2011</v>
      </c>
      <c r="B2439" t="s">
        <v>34</v>
      </c>
      <c r="C2439">
        <v>51355</v>
      </c>
      <c r="D2439">
        <v>3105</v>
      </c>
      <c r="E2439">
        <v>42</v>
      </c>
      <c r="F2439" t="s">
        <v>64</v>
      </c>
      <c r="G2439" t="s">
        <v>21</v>
      </c>
      <c r="H2439">
        <v>874</v>
      </c>
      <c r="I2439">
        <v>57.5</v>
      </c>
      <c r="J2439" t="s">
        <v>35</v>
      </c>
      <c r="K2439">
        <v>44235</v>
      </c>
      <c r="L2439" t="s">
        <v>22</v>
      </c>
    </row>
    <row r="2440" spans="1:12" x14ac:dyDescent="0.3">
      <c r="A2440">
        <v>2012</v>
      </c>
      <c r="B2440" t="s">
        <v>34</v>
      </c>
      <c r="C2440">
        <v>160</v>
      </c>
      <c r="D2440">
        <v>3105</v>
      </c>
      <c r="E2440">
        <v>43</v>
      </c>
      <c r="F2440" t="s">
        <v>64</v>
      </c>
      <c r="G2440" t="s">
        <v>21</v>
      </c>
      <c r="H2440">
        <v>592</v>
      </c>
      <c r="I2440">
        <v>57</v>
      </c>
      <c r="J2440" t="s">
        <v>37</v>
      </c>
      <c r="K2440">
        <v>203317</v>
      </c>
      <c r="L2440" t="s">
        <v>22</v>
      </c>
    </row>
    <row r="2441" spans="1:12" x14ac:dyDescent="0.3">
      <c r="A2441">
        <v>2013</v>
      </c>
      <c r="B2441" t="s">
        <v>34</v>
      </c>
      <c r="C2441">
        <v>10912</v>
      </c>
      <c r="D2441">
        <v>3105</v>
      </c>
      <c r="E2441">
        <v>43</v>
      </c>
      <c r="F2441" t="s">
        <v>64</v>
      </c>
      <c r="G2441" t="s">
        <v>21</v>
      </c>
      <c r="H2441">
        <v>864</v>
      </c>
      <c r="I2441">
        <v>55</v>
      </c>
      <c r="J2441" t="s">
        <v>37</v>
      </c>
      <c r="K2441">
        <v>2134</v>
      </c>
      <c r="L2441" t="s">
        <v>22</v>
      </c>
    </row>
    <row r="2442" spans="1:12" x14ac:dyDescent="0.3">
      <c r="A2442">
        <v>2014</v>
      </c>
      <c r="B2442" t="s">
        <v>34</v>
      </c>
      <c r="C2442">
        <v>51353</v>
      </c>
      <c r="D2442">
        <v>236</v>
      </c>
      <c r="E2442">
        <v>27</v>
      </c>
      <c r="F2442" t="s">
        <v>27</v>
      </c>
      <c r="G2442" t="s">
        <v>21</v>
      </c>
      <c r="H2442">
        <v>5373</v>
      </c>
      <c r="I2442">
        <v>56</v>
      </c>
      <c r="J2442" t="s">
        <v>37</v>
      </c>
      <c r="K2442">
        <v>45186</v>
      </c>
      <c r="L2442" t="s">
        <v>22</v>
      </c>
    </row>
    <row r="2443" spans="1:12" x14ac:dyDescent="0.3">
      <c r="A2443">
        <v>2015</v>
      </c>
      <c r="B2443" t="s">
        <v>34</v>
      </c>
      <c r="C2443">
        <v>1279</v>
      </c>
      <c r="D2443">
        <v>236</v>
      </c>
      <c r="E2443">
        <v>27</v>
      </c>
      <c r="F2443" t="s">
        <v>27</v>
      </c>
      <c r="G2443" t="s">
        <v>21</v>
      </c>
      <c r="H2443">
        <v>6589</v>
      </c>
      <c r="I2443">
        <v>54</v>
      </c>
      <c r="J2443" t="s">
        <v>37</v>
      </c>
      <c r="K2443">
        <v>238542</v>
      </c>
      <c r="L2443" t="s">
        <v>22</v>
      </c>
    </row>
    <row r="2444" spans="1:12" x14ac:dyDescent="0.3">
      <c r="A2444">
        <v>2016</v>
      </c>
      <c r="B2444" t="s">
        <v>34</v>
      </c>
      <c r="C2444">
        <v>13283</v>
      </c>
      <c r="D2444">
        <v>2903.1</v>
      </c>
      <c r="E2444">
        <v>27</v>
      </c>
      <c r="F2444" t="s">
        <v>27</v>
      </c>
      <c r="G2444" t="s">
        <v>21</v>
      </c>
      <c r="H2444">
        <v>5107</v>
      </c>
      <c r="I2444">
        <v>58</v>
      </c>
      <c r="J2444" t="s">
        <v>37</v>
      </c>
      <c r="K2444">
        <v>1516</v>
      </c>
      <c r="L2444" t="s">
        <v>22</v>
      </c>
    </row>
    <row r="2445" spans="1:12" x14ac:dyDescent="0.3">
      <c r="A2445">
        <v>2017</v>
      </c>
      <c r="B2445" t="s">
        <v>34</v>
      </c>
      <c r="C2445">
        <v>52119</v>
      </c>
      <c r="D2445">
        <v>2903.1</v>
      </c>
      <c r="E2445">
        <v>27</v>
      </c>
      <c r="F2445" t="s">
        <v>27</v>
      </c>
      <c r="G2445" t="s">
        <v>21</v>
      </c>
      <c r="H2445">
        <v>5518</v>
      </c>
      <c r="I2445">
        <v>58</v>
      </c>
      <c r="J2445" t="s">
        <v>37</v>
      </c>
      <c r="K2445">
        <v>57259</v>
      </c>
      <c r="L2445" t="s">
        <v>22</v>
      </c>
    </row>
    <row r="2446" spans="1:12" x14ac:dyDescent="0.3">
      <c r="A2446">
        <v>2018</v>
      </c>
      <c r="B2446" t="s">
        <v>34</v>
      </c>
      <c r="C2446">
        <v>725</v>
      </c>
      <c r="D2446">
        <v>2903.1</v>
      </c>
      <c r="E2446">
        <v>27</v>
      </c>
      <c r="F2446" t="s">
        <v>27</v>
      </c>
      <c r="G2446" t="s">
        <v>26</v>
      </c>
      <c r="H2446">
        <v>4912</v>
      </c>
      <c r="I2446">
        <v>59</v>
      </c>
      <c r="J2446" t="s">
        <v>37</v>
      </c>
      <c r="K2446">
        <v>234779</v>
      </c>
      <c r="L2446" t="s">
        <v>22</v>
      </c>
    </row>
    <row r="2447" spans="1:12" x14ac:dyDescent="0.3">
      <c r="A2447">
        <v>2011</v>
      </c>
      <c r="B2447" t="s">
        <v>34</v>
      </c>
      <c r="C2447">
        <v>12885</v>
      </c>
      <c r="D2447">
        <v>2996.6</v>
      </c>
      <c r="E2447">
        <v>27</v>
      </c>
      <c r="F2447" t="s">
        <v>27</v>
      </c>
      <c r="G2447" t="s">
        <v>26</v>
      </c>
      <c r="H2447">
        <v>3830</v>
      </c>
      <c r="I2447">
        <v>50</v>
      </c>
      <c r="J2447" t="s">
        <v>37</v>
      </c>
      <c r="K2447">
        <v>1493</v>
      </c>
      <c r="L2447" t="s">
        <v>22</v>
      </c>
    </row>
    <row r="2448" spans="1:12" x14ac:dyDescent="0.3">
      <c r="A2448">
        <v>2012</v>
      </c>
      <c r="B2448" t="s">
        <v>34</v>
      </c>
      <c r="C2448">
        <v>51179</v>
      </c>
      <c r="D2448">
        <v>2996.6</v>
      </c>
      <c r="E2448">
        <v>27.2</v>
      </c>
      <c r="F2448" t="s">
        <v>27</v>
      </c>
      <c r="G2448" t="s">
        <v>26</v>
      </c>
      <c r="H2448">
        <v>313547</v>
      </c>
      <c r="I2448">
        <v>54</v>
      </c>
      <c r="J2448" t="s">
        <v>37</v>
      </c>
      <c r="K2448">
        <v>64409</v>
      </c>
      <c r="L2448" t="s">
        <v>22</v>
      </c>
    </row>
    <row r="2449" spans="1:12" x14ac:dyDescent="0.3">
      <c r="A2449">
        <v>2013</v>
      </c>
      <c r="B2449" t="s">
        <v>34</v>
      </c>
      <c r="C2449">
        <v>468</v>
      </c>
      <c r="D2449">
        <v>2996.6</v>
      </c>
      <c r="E2449">
        <v>27.2</v>
      </c>
      <c r="F2449" t="s">
        <v>27</v>
      </c>
      <c r="G2449" t="s">
        <v>26</v>
      </c>
      <c r="H2449">
        <v>2783</v>
      </c>
      <c r="I2449">
        <v>53</v>
      </c>
      <c r="J2449" t="s">
        <v>37</v>
      </c>
      <c r="K2449">
        <v>249978</v>
      </c>
      <c r="L2449" t="s">
        <v>22</v>
      </c>
    </row>
    <row r="2450" spans="1:12" x14ac:dyDescent="0.3">
      <c r="A2450">
        <v>2014</v>
      </c>
      <c r="B2450" t="s">
        <v>34</v>
      </c>
      <c r="C2450">
        <v>11841</v>
      </c>
      <c r="D2450">
        <v>3522.8</v>
      </c>
      <c r="E2450">
        <v>27.2</v>
      </c>
      <c r="F2450" t="s">
        <v>27</v>
      </c>
      <c r="G2450" t="s">
        <v>26</v>
      </c>
      <c r="H2450">
        <v>1533</v>
      </c>
      <c r="I2450">
        <v>52</v>
      </c>
      <c r="J2450" t="s">
        <v>37</v>
      </c>
      <c r="K2450">
        <v>637</v>
      </c>
      <c r="L2450" t="s">
        <v>22</v>
      </c>
    </row>
    <row r="2451" spans="1:12" x14ac:dyDescent="0.3">
      <c r="A2451">
        <v>2015</v>
      </c>
      <c r="B2451" t="s">
        <v>34</v>
      </c>
      <c r="C2451">
        <v>50975</v>
      </c>
      <c r="D2451">
        <v>3522.8</v>
      </c>
      <c r="E2451">
        <v>27</v>
      </c>
      <c r="F2451" t="s">
        <v>27</v>
      </c>
      <c r="G2451" t="s">
        <v>26</v>
      </c>
      <c r="H2451">
        <v>1647</v>
      </c>
      <c r="I2451">
        <v>51</v>
      </c>
      <c r="J2451" t="s">
        <v>37</v>
      </c>
      <c r="K2451">
        <v>43311</v>
      </c>
      <c r="L2451" t="s">
        <v>22</v>
      </c>
    </row>
    <row r="2452" spans="1:12" x14ac:dyDescent="0.3">
      <c r="A2452">
        <v>2016</v>
      </c>
      <c r="B2452" t="s">
        <v>34</v>
      </c>
      <c r="C2452">
        <v>206</v>
      </c>
      <c r="D2452">
        <v>3522.8</v>
      </c>
      <c r="E2452">
        <v>27</v>
      </c>
      <c r="F2452" t="s">
        <v>27</v>
      </c>
      <c r="G2452" t="s">
        <v>26</v>
      </c>
      <c r="H2452">
        <v>975</v>
      </c>
      <c r="I2452">
        <v>57</v>
      </c>
      <c r="J2452" t="s">
        <v>37</v>
      </c>
      <c r="K2452">
        <v>24848</v>
      </c>
      <c r="L2452" t="s">
        <v>22</v>
      </c>
    </row>
    <row r="2453" spans="1:12" x14ac:dyDescent="0.3">
      <c r="A2453">
        <v>2017</v>
      </c>
      <c r="B2453" t="s">
        <v>34</v>
      </c>
      <c r="C2453">
        <v>10922</v>
      </c>
      <c r="D2453">
        <v>2903.1</v>
      </c>
      <c r="E2453">
        <v>27</v>
      </c>
      <c r="F2453" t="s">
        <v>27</v>
      </c>
      <c r="G2453" t="s">
        <v>26</v>
      </c>
      <c r="H2453">
        <v>2</v>
      </c>
      <c r="I2453">
        <v>57</v>
      </c>
      <c r="J2453" t="s">
        <v>37</v>
      </c>
      <c r="K2453">
        <v>761</v>
      </c>
      <c r="L2453" t="s">
        <v>22</v>
      </c>
    </row>
    <row r="2454" spans="1:12" x14ac:dyDescent="0.3">
      <c r="A2454">
        <v>2018</v>
      </c>
      <c r="B2454" t="s">
        <v>34</v>
      </c>
      <c r="C2454">
        <v>51390</v>
      </c>
      <c r="D2454">
        <v>2903.1</v>
      </c>
      <c r="E2454">
        <v>27</v>
      </c>
      <c r="F2454" t="s">
        <v>27</v>
      </c>
      <c r="G2454" t="s">
        <v>26</v>
      </c>
      <c r="H2454">
        <v>836</v>
      </c>
      <c r="I2454">
        <v>60</v>
      </c>
      <c r="J2454" t="s">
        <v>37</v>
      </c>
      <c r="K2454">
        <v>45608</v>
      </c>
      <c r="L2454" t="s">
        <v>22</v>
      </c>
    </row>
    <row r="2455" spans="1:12" x14ac:dyDescent="0.3">
      <c r="A2455">
        <v>2004</v>
      </c>
      <c r="B2455" t="s">
        <v>34</v>
      </c>
      <c r="C2455">
        <v>177</v>
      </c>
      <c r="D2455">
        <v>2903.1</v>
      </c>
      <c r="E2455">
        <v>27</v>
      </c>
      <c r="F2455" t="s">
        <v>27</v>
      </c>
      <c r="G2455" t="s">
        <v>26</v>
      </c>
      <c r="H2455">
        <v>806</v>
      </c>
      <c r="I2455">
        <v>57</v>
      </c>
      <c r="J2455" t="s">
        <v>39</v>
      </c>
      <c r="K2455">
        <v>234581</v>
      </c>
      <c r="L2455" t="s">
        <v>22</v>
      </c>
    </row>
    <row r="2456" spans="1:12" x14ac:dyDescent="0.3">
      <c r="A2456">
        <v>2005</v>
      </c>
      <c r="B2456" t="s">
        <v>34</v>
      </c>
      <c r="C2456">
        <v>10723</v>
      </c>
      <c r="D2456">
        <v>2996.6</v>
      </c>
      <c r="E2456">
        <v>27</v>
      </c>
      <c r="F2456" t="s">
        <v>27</v>
      </c>
      <c r="G2456" t="s">
        <v>26</v>
      </c>
      <c r="H2456">
        <v>880</v>
      </c>
      <c r="I2456">
        <v>57</v>
      </c>
      <c r="J2456" t="s">
        <v>39</v>
      </c>
      <c r="K2456">
        <v>646</v>
      </c>
      <c r="L2456" t="s">
        <v>22</v>
      </c>
    </row>
    <row r="2457" spans="1:12" x14ac:dyDescent="0.3">
      <c r="A2457">
        <v>2006</v>
      </c>
      <c r="B2457" t="s">
        <v>34</v>
      </c>
      <c r="C2457">
        <v>51709</v>
      </c>
      <c r="D2457">
        <v>2996.6</v>
      </c>
      <c r="E2457">
        <v>27.2</v>
      </c>
      <c r="F2457" t="s">
        <v>27</v>
      </c>
      <c r="G2457" t="s">
        <v>26</v>
      </c>
      <c r="H2457">
        <v>770</v>
      </c>
      <c r="I2457">
        <v>54</v>
      </c>
      <c r="J2457" t="s">
        <v>39</v>
      </c>
      <c r="K2457">
        <v>43562</v>
      </c>
      <c r="L2457" t="s">
        <v>22</v>
      </c>
    </row>
    <row r="2458" spans="1:12" x14ac:dyDescent="0.3">
      <c r="A2458">
        <v>2007</v>
      </c>
      <c r="B2458" t="s">
        <v>34</v>
      </c>
      <c r="C2458">
        <v>1279</v>
      </c>
      <c r="D2458">
        <v>2996.6</v>
      </c>
      <c r="E2458">
        <v>27.2</v>
      </c>
      <c r="F2458" t="s">
        <v>27</v>
      </c>
      <c r="G2458" t="s">
        <v>26</v>
      </c>
      <c r="H2458">
        <v>395</v>
      </c>
      <c r="I2458">
        <v>54.5</v>
      </c>
      <c r="J2458" t="s">
        <v>39</v>
      </c>
      <c r="K2458">
        <v>200000</v>
      </c>
      <c r="L2458" t="s">
        <v>22</v>
      </c>
    </row>
    <row r="2459" spans="1:12" x14ac:dyDescent="0.3">
      <c r="A2459">
        <v>2008</v>
      </c>
      <c r="B2459" t="s">
        <v>34</v>
      </c>
      <c r="C2459">
        <v>13283</v>
      </c>
      <c r="D2459">
        <v>3522.8</v>
      </c>
      <c r="E2459">
        <v>27.2</v>
      </c>
      <c r="F2459" t="s">
        <v>27</v>
      </c>
      <c r="G2459" t="s">
        <v>26</v>
      </c>
      <c r="H2459">
        <v>187</v>
      </c>
      <c r="I2459">
        <v>56.6</v>
      </c>
      <c r="J2459" t="s">
        <v>39</v>
      </c>
      <c r="K2459">
        <v>4847</v>
      </c>
      <c r="L2459" t="s">
        <v>22</v>
      </c>
    </row>
    <row r="2460" spans="1:12" x14ac:dyDescent="0.3">
      <c r="A2460">
        <v>2009</v>
      </c>
      <c r="B2460" t="s">
        <v>34</v>
      </c>
      <c r="C2460">
        <v>52119</v>
      </c>
      <c r="D2460">
        <v>3522.8</v>
      </c>
      <c r="E2460">
        <v>27.1</v>
      </c>
      <c r="F2460" t="s">
        <v>27</v>
      </c>
      <c r="G2460" t="s">
        <v>26</v>
      </c>
      <c r="H2460">
        <v>187</v>
      </c>
      <c r="I2460">
        <v>55.5</v>
      </c>
      <c r="J2460" t="s">
        <v>39</v>
      </c>
      <c r="K2460">
        <v>51239</v>
      </c>
      <c r="L2460" t="s">
        <v>22</v>
      </c>
    </row>
    <row r="2461" spans="1:12" x14ac:dyDescent="0.3">
      <c r="A2461">
        <v>2010</v>
      </c>
      <c r="B2461" t="s">
        <v>34</v>
      </c>
      <c r="C2461">
        <v>725</v>
      </c>
      <c r="D2461">
        <v>3522.8</v>
      </c>
      <c r="E2461">
        <v>27.1</v>
      </c>
      <c r="F2461" t="s">
        <v>27</v>
      </c>
      <c r="G2461" t="s">
        <v>26</v>
      </c>
      <c r="H2461">
        <v>121</v>
      </c>
      <c r="I2461">
        <v>58.5</v>
      </c>
      <c r="J2461" t="s">
        <v>39</v>
      </c>
      <c r="K2461">
        <v>216396</v>
      </c>
      <c r="L2461" t="s">
        <v>22</v>
      </c>
    </row>
    <row r="2462" spans="1:12" x14ac:dyDescent="0.3">
      <c r="A2462">
        <v>2011</v>
      </c>
      <c r="B2462" t="s">
        <v>34</v>
      </c>
      <c r="C2462">
        <v>12885</v>
      </c>
      <c r="D2462">
        <v>3729.8</v>
      </c>
      <c r="E2462">
        <v>27.1</v>
      </c>
      <c r="F2462" t="s">
        <v>27</v>
      </c>
      <c r="G2462" t="s">
        <v>26</v>
      </c>
      <c r="H2462">
        <v>103</v>
      </c>
      <c r="I2462">
        <v>59.5</v>
      </c>
      <c r="J2462" t="s">
        <v>39</v>
      </c>
      <c r="K2462">
        <v>2644</v>
      </c>
      <c r="L2462" t="s">
        <v>22</v>
      </c>
    </row>
    <row r="2463" spans="1:12" x14ac:dyDescent="0.3">
      <c r="A2463">
        <v>2012</v>
      </c>
      <c r="B2463" t="s">
        <v>34</v>
      </c>
      <c r="C2463">
        <v>51179</v>
      </c>
      <c r="D2463">
        <v>3729.8</v>
      </c>
      <c r="E2463">
        <v>26.8</v>
      </c>
      <c r="F2463" t="s">
        <v>27</v>
      </c>
      <c r="G2463" t="s">
        <v>26</v>
      </c>
      <c r="H2463">
        <v>71</v>
      </c>
      <c r="I2463">
        <v>55</v>
      </c>
      <c r="J2463" t="s">
        <v>39</v>
      </c>
      <c r="K2463">
        <v>44235</v>
      </c>
      <c r="L2463" t="s">
        <v>22</v>
      </c>
    </row>
    <row r="2464" spans="1:12" x14ac:dyDescent="0.3">
      <c r="A2464">
        <v>2013</v>
      </c>
      <c r="B2464" t="s">
        <v>34</v>
      </c>
      <c r="C2464">
        <v>468</v>
      </c>
      <c r="D2464">
        <v>3729.8</v>
      </c>
      <c r="E2464">
        <v>26.8</v>
      </c>
      <c r="F2464" t="s">
        <v>27</v>
      </c>
      <c r="G2464" t="s">
        <v>26</v>
      </c>
      <c r="H2464">
        <v>3961</v>
      </c>
      <c r="I2464">
        <v>53</v>
      </c>
      <c r="J2464" t="s">
        <v>39</v>
      </c>
      <c r="K2464">
        <v>203317</v>
      </c>
      <c r="L2464" t="s">
        <v>22</v>
      </c>
    </row>
    <row r="2465" spans="1:12" x14ac:dyDescent="0.3">
      <c r="A2465">
        <v>2014</v>
      </c>
      <c r="B2465" t="s">
        <v>34</v>
      </c>
      <c r="C2465">
        <v>11841</v>
      </c>
      <c r="D2465">
        <v>2746.2</v>
      </c>
      <c r="E2465">
        <v>26.8</v>
      </c>
      <c r="F2465" t="s">
        <v>27</v>
      </c>
      <c r="G2465" t="s">
        <v>26</v>
      </c>
      <c r="H2465">
        <v>4247</v>
      </c>
      <c r="I2465">
        <v>53.5</v>
      </c>
      <c r="J2465" t="s">
        <v>39</v>
      </c>
      <c r="K2465">
        <v>2134</v>
      </c>
      <c r="L2465" t="s">
        <v>22</v>
      </c>
    </row>
    <row r="2466" spans="1:12" x14ac:dyDescent="0.3">
      <c r="A2466">
        <v>2015</v>
      </c>
      <c r="B2466" t="s">
        <v>34</v>
      </c>
      <c r="C2466">
        <v>50975</v>
      </c>
      <c r="D2466">
        <v>2746.2</v>
      </c>
      <c r="E2466">
        <v>37</v>
      </c>
      <c r="F2466" t="s">
        <v>61</v>
      </c>
      <c r="G2466" t="s">
        <v>26</v>
      </c>
      <c r="H2466">
        <v>3290</v>
      </c>
      <c r="I2466">
        <v>52.5</v>
      </c>
      <c r="J2466" t="s">
        <v>39</v>
      </c>
      <c r="K2466">
        <v>45186</v>
      </c>
      <c r="L2466" t="s">
        <v>22</v>
      </c>
    </row>
    <row r="2467" spans="1:12" x14ac:dyDescent="0.3">
      <c r="A2467">
        <v>2016</v>
      </c>
      <c r="B2467" t="s">
        <v>34</v>
      </c>
      <c r="C2467">
        <v>206</v>
      </c>
      <c r="D2467">
        <v>2746.2</v>
      </c>
      <c r="E2467">
        <v>37</v>
      </c>
      <c r="F2467" t="s">
        <v>61</v>
      </c>
      <c r="G2467" t="s">
        <v>26</v>
      </c>
      <c r="H2467">
        <v>3138</v>
      </c>
      <c r="I2467">
        <v>56</v>
      </c>
      <c r="J2467" t="s">
        <v>39</v>
      </c>
      <c r="K2467">
        <v>238542</v>
      </c>
      <c r="L2467" t="s">
        <v>22</v>
      </c>
    </row>
    <row r="2468" spans="1:12" x14ac:dyDescent="0.3">
      <c r="A2468">
        <v>2017</v>
      </c>
      <c r="B2468" t="s">
        <v>34</v>
      </c>
      <c r="C2468">
        <v>10922</v>
      </c>
      <c r="D2468">
        <v>3360</v>
      </c>
      <c r="E2468">
        <v>37</v>
      </c>
      <c r="F2468" t="s">
        <v>61</v>
      </c>
      <c r="G2468" t="s">
        <v>26</v>
      </c>
      <c r="H2468">
        <v>3423</v>
      </c>
      <c r="I2468">
        <v>57</v>
      </c>
      <c r="J2468" t="s">
        <v>39</v>
      </c>
      <c r="K2468">
        <v>1516</v>
      </c>
      <c r="L2468" t="s">
        <v>22</v>
      </c>
    </row>
    <row r="2469" spans="1:12" x14ac:dyDescent="0.3">
      <c r="A2469">
        <v>2018</v>
      </c>
      <c r="B2469" t="s">
        <v>34</v>
      </c>
      <c r="C2469">
        <v>51390</v>
      </c>
      <c r="D2469">
        <v>3360</v>
      </c>
      <c r="E2469">
        <v>38</v>
      </c>
      <c r="F2469" t="s">
        <v>61</v>
      </c>
      <c r="G2469" t="s">
        <v>26</v>
      </c>
      <c r="H2469">
        <v>3899</v>
      </c>
      <c r="I2469">
        <v>57.5</v>
      </c>
      <c r="J2469" t="s">
        <v>39</v>
      </c>
      <c r="K2469">
        <v>200000</v>
      </c>
      <c r="L2469" t="s">
        <v>22</v>
      </c>
    </row>
    <row r="2470" spans="1:12" x14ac:dyDescent="0.3">
      <c r="A2470">
        <v>2004</v>
      </c>
      <c r="B2470" t="s">
        <v>34</v>
      </c>
      <c r="C2470">
        <v>177</v>
      </c>
      <c r="D2470">
        <v>3360</v>
      </c>
      <c r="E2470">
        <v>38</v>
      </c>
      <c r="F2470" t="s">
        <v>61</v>
      </c>
      <c r="G2470" t="s">
        <v>26</v>
      </c>
      <c r="H2470">
        <v>4015</v>
      </c>
      <c r="I2470">
        <v>57</v>
      </c>
      <c r="J2470" t="s">
        <v>40</v>
      </c>
      <c r="K2470">
        <v>4847</v>
      </c>
      <c r="L2470" t="s">
        <v>22</v>
      </c>
    </row>
    <row r="2471" spans="1:12" x14ac:dyDescent="0.3">
      <c r="A2471">
        <v>2005</v>
      </c>
      <c r="B2471" t="s">
        <v>34</v>
      </c>
      <c r="C2471">
        <v>10723</v>
      </c>
      <c r="D2471">
        <v>3605.4</v>
      </c>
      <c r="E2471">
        <v>38</v>
      </c>
      <c r="F2471" t="s">
        <v>61</v>
      </c>
      <c r="G2471" t="s">
        <v>26</v>
      </c>
      <c r="H2471">
        <v>4279</v>
      </c>
      <c r="I2471">
        <v>55</v>
      </c>
      <c r="J2471" t="s">
        <v>40</v>
      </c>
      <c r="K2471">
        <v>51239</v>
      </c>
      <c r="L2471" t="s">
        <v>22</v>
      </c>
    </row>
    <row r="2472" spans="1:12" x14ac:dyDescent="0.3">
      <c r="A2472">
        <v>2012</v>
      </c>
      <c r="B2472" t="s">
        <v>34</v>
      </c>
      <c r="C2472">
        <v>51709</v>
      </c>
      <c r="D2472">
        <v>3605.4</v>
      </c>
      <c r="E2472">
        <v>39</v>
      </c>
      <c r="F2472" t="s">
        <v>61</v>
      </c>
      <c r="G2472" t="s">
        <v>26</v>
      </c>
      <c r="H2472">
        <v>4167</v>
      </c>
      <c r="I2472">
        <v>56</v>
      </c>
      <c r="J2472" t="s">
        <v>40</v>
      </c>
      <c r="K2472">
        <v>216396</v>
      </c>
      <c r="L2472" t="s">
        <v>22</v>
      </c>
    </row>
    <row r="2473" spans="1:12" x14ac:dyDescent="0.3">
      <c r="A2473">
        <v>2013</v>
      </c>
      <c r="B2473" t="s">
        <v>34</v>
      </c>
      <c r="C2473">
        <v>146</v>
      </c>
      <c r="D2473">
        <v>3605.4</v>
      </c>
      <c r="E2473">
        <v>39</v>
      </c>
      <c r="F2473" t="s">
        <v>61</v>
      </c>
      <c r="G2473" t="s">
        <v>26</v>
      </c>
      <c r="H2473">
        <v>4479</v>
      </c>
      <c r="I2473">
        <v>54</v>
      </c>
      <c r="J2473" t="s">
        <v>40</v>
      </c>
      <c r="K2473">
        <v>2644</v>
      </c>
      <c r="L2473" t="s">
        <v>22</v>
      </c>
    </row>
    <row r="2474" spans="1:12" x14ac:dyDescent="0.3">
      <c r="A2474">
        <v>2014</v>
      </c>
      <c r="B2474" t="s">
        <v>34</v>
      </c>
      <c r="C2474">
        <v>10910</v>
      </c>
      <c r="D2474">
        <v>3512.4</v>
      </c>
      <c r="E2474">
        <v>39</v>
      </c>
      <c r="F2474" t="s">
        <v>61</v>
      </c>
      <c r="G2474" t="s">
        <v>26</v>
      </c>
      <c r="H2474">
        <v>3699</v>
      </c>
      <c r="I2474">
        <v>58</v>
      </c>
      <c r="J2474" t="s">
        <v>40</v>
      </c>
      <c r="K2474">
        <v>44235</v>
      </c>
      <c r="L2474" t="s">
        <v>22</v>
      </c>
    </row>
    <row r="2475" spans="1:12" x14ac:dyDescent="0.3">
      <c r="A2475">
        <v>2015</v>
      </c>
      <c r="B2475" t="s">
        <v>34</v>
      </c>
      <c r="C2475">
        <v>51355</v>
      </c>
      <c r="D2475">
        <v>3512.4</v>
      </c>
      <c r="E2475">
        <v>40</v>
      </c>
      <c r="F2475" t="s">
        <v>61</v>
      </c>
      <c r="G2475" t="s">
        <v>26</v>
      </c>
      <c r="H2475">
        <v>4904</v>
      </c>
      <c r="I2475">
        <v>58</v>
      </c>
      <c r="J2475" t="s">
        <v>40</v>
      </c>
      <c r="K2475">
        <v>203317</v>
      </c>
      <c r="L2475" t="s">
        <v>22</v>
      </c>
    </row>
    <row r="2476" spans="1:12" x14ac:dyDescent="0.3">
      <c r="A2476">
        <v>2016</v>
      </c>
      <c r="B2476" t="s">
        <v>34</v>
      </c>
      <c r="C2476">
        <v>160</v>
      </c>
      <c r="D2476">
        <v>3512.4</v>
      </c>
      <c r="E2476">
        <v>40</v>
      </c>
      <c r="F2476" t="s">
        <v>61</v>
      </c>
      <c r="G2476" t="s">
        <v>26</v>
      </c>
      <c r="H2476">
        <v>2821</v>
      </c>
      <c r="I2476">
        <v>59</v>
      </c>
      <c r="J2476" t="s">
        <v>40</v>
      </c>
      <c r="K2476">
        <v>2134</v>
      </c>
      <c r="L2476" t="s">
        <v>22</v>
      </c>
    </row>
    <row r="2477" spans="1:12" x14ac:dyDescent="0.3">
      <c r="A2477">
        <v>2017</v>
      </c>
      <c r="B2477" t="s">
        <v>34</v>
      </c>
      <c r="C2477">
        <v>10912</v>
      </c>
      <c r="D2477">
        <v>3296</v>
      </c>
      <c r="E2477">
        <v>40</v>
      </c>
      <c r="F2477" t="s">
        <v>61</v>
      </c>
      <c r="G2477" t="s">
        <v>26</v>
      </c>
      <c r="H2477">
        <v>3472</v>
      </c>
      <c r="I2477">
        <v>50</v>
      </c>
      <c r="J2477" t="s">
        <v>40</v>
      </c>
      <c r="K2477">
        <v>45186</v>
      </c>
      <c r="L2477" t="s">
        <v>22</v>
      </c>
    </row>
    <row r="2478" spans="1:12" x14ac:dyDescent="0.3">
      <c r="A2478">
        <v>2018</v>
      </c>
      <c r="B2478" t="s">
        <v>34</v>
      </c>
      <c r="C2478">
        <v>51353</v>
      </c>
      <c r="D2478">
        <v>3296</v>
      </c>
      <c r="E2478">
        <v>41</v>
      </c>
      <c r="F2478" t="s">
        <v>61</v>
      </c>
      <c r="G2478" t="s">
        <v>26</v>
      </c>
      <c r="H2478">
        <v>3647</v>
      </c>
      <c r="I2478">
        <v>54</v>
      </c>
      <c r="J2478" t="s">
        <v>40</v>
      </c>
      <c r="K2478">
        <v>238542</v>
      </c>
      <c r="L2478" t="s">
        <v>22</v>
      </c>
    </row>
    <row r="2479" spans="1:12" x14ac:dyDescent="0.3">
      <c r="A2479">
        <v>2004</v>
      </c>
      <c r="B2479" t="s">
        <v>34</v>
      </c>
      <c r="C2479">
        <v>142</v>
      </c>
      <c r="D2479">
        <v>3296</v>
      </c>
      <c r="E2479">
        <v>41</v>
      </c>
      <c r="F2479" t="s">
        <v>61</v>
      </c>
      <c r="G2479" t="s">
        <v>26</v>
      </c>
      <c r="H2479">
        <v>393</v>
      </c>
      <c r="I2479">
        <v>53</v>
      </c>
      <c r="J2479" t="s">
        <v>40</v>
      </c>
      <c r="K2479">
        <v>1516</v>
      </c>
      <c r="L2479" t="s">
        <v>22</v>
      </c>
    </row>
    <row r="2480" spans="1:12" x14ac:dyDescent="0.3">
      <c r="A2480">
        <v>2005</v>
      </c>
      <c r="B2480" t="s">
        <v>34</v>
      </c>
      <c r="C2480">
        <v>10505</v>
      </c>
      <c r="D2480">
        <v>3550</v>
      </c>
      <c r="E2480">
        <v>41</v>
      </c>
      <c r="F2480" t="s">
        <v>61</v>
      </c>
      <c r="G2480" t="s">
        <v>26</v>
      </c>
      <c r="H2480">
        <v>167</v>
      </c>
      <c r="I2480">
        <v>52</v>
      </c>
      <c r="J2480" t="s">
        <v>40</v>
      </c>
      <c r="K2480">
        <v>57259</v>
      </c>
      <c r="L2480" t="s">
        <v>22</v>
      </c>
    </row>
    <row r="2481" spans="1:12" x14ac:dyDescent="0.3">
      <c r="A2481">
        <v>2006</v>
      </c>
      <c r="B2481" t="s">
        <v>34</v>
      </c>
      <c r="C2481">
        <v>51040</v>
      </c>
      <c r="D2481">
        <v>3550</v>
      </c>
      <c r="E2481">
        <v>42</v>
      </c>
      <c r="F2481" t="s">
        <v>61</v>
      </c>
      <c r="G2481" t="s">
        <v>26</v>
      </c>
      <c r="H2481">
        <v>71</v>
      </c>
      <c r="I2481">
        <v>51</v>
      </c>
      <c r="J2481" t="s">
        <v>40</v>
      </c>
      <c r="K2481">
        <v>234779</v>
      </c>
      <c r="L2481" t="s">
        <v>22</v>
      </c>
    </row>
    <row r="2482" spans="1:12" x14ac:dyDescent="0.3">
      <c r="A2482">
        <v>2007</v>
      </c>
      <c r="B2482" t="s">
        <v>34</v>
      </c>
      <c r="C2482">
        <v>154</v>
      </c>
      <c r="D2482">
        <v>3550</v>
      </c>
      <c r="E2482">
        <v>42</v>
      </c>
      <c r="F2482" t="s">
        <v>65</v>
      </c>
      <c r="G2482" t="s">
        <v>26</v>
      </c>
      <c r="H2482">
        <v>52</v>
      </c>
      <c r="I2482">
        <v>57</v>
      </c>
      <c r="J2482" t="s">
        <v>40</v>
      </c>
      <c r="K2482">
        <v>1493</v>
      </c>
      <c r="L2482" t="s">
        <v>22</v>
      </c>
    </row>
    <row r="2483" spans="1:12" x14ac:dyDescent="0.3">
      <c r="A2483">
        <v>2008</v>
      </c>
      <c r="B2483" t="s">
        <v>34</v>
      </c>
      <c r="C2483">
        <v>10318</v>
      </c>
      <c r="D2483">
        <v>3654</v>
      </c>
      <c r="E2483">
        <v>42</v>
      </c>
      <c r="F2483" t="s">
        <v>65</v>
      </c>
      <c r="G2483" t="s">
        <v>26</v>
      </c>
      <c r="H2483">
        <v>313547</v>
      </c>
      <c r="I2483">
        <v>57</v>
      </c>
      <c r="J2483" t="s">
        <v>40</v>
      </c>
      <c r="K2483">
        <v>64409</v>
      </c>
      <c r="L2483" t="s">
        <v>22</v>
      </c>
    </row>
    <row r="2484" spans="1:12" x14ac:dyDescent="0.3">
      <c r="A2484">
        <v>2009</v>
      </c>
      <c r="B2484" t="s">
        <v>34</v>
      </c>
      <c r="C2484">
        <v>48083</v>
      </c>
      <c r="D2484">
        <v>3654</v>
      </c>
      <c r="E2484">
        <v>43</v>
      </c>
      <c r="F2484" t="s">
        <v>65</v>
      </c>
      <c r="G2484" t="s">
        <v>26</v>
      </c>
      <c r="H2484">
        <v>2783</v>
      </c>
      <c r="I2484">
        <v>60</v>
      </c>
      <c r="J2484" t="s">
        <v>40</v>
      </c>
      <c r="K2484">
        <v>249978</v>
      </c>
      <c r="L2484" t="s">
        <v>22</v>
      </c>
    </row>
    <row r="2485" spans="1:12" x14ac:dyDescent="0.3">
      <c r="A2485">
        <v>2010</v>
      </c>
      <c r="B2485" t="s">
        <v>34</v>
      </c>
      <c r="C2485">
        <v>143</v>
      </c>
      <c r="D2485">
        <v>3654</v>
      </c>
      <c r="E2485">
        <v>27</v>
      </c>
      <c r="F2485" t="s">
        <v>65</v>
      </c>
      <c r="G2485" t="s">
        <v>26</v>
      </c>
      <c r="H2485">
        <v>1533</v>
      </c>
      <c r="I2485">
        <v>57</v>
      </c>
      <c r="J2485" t="s">
        <v>42</v>
      </c>
      <c r="K2485">
        <v>637</v>
      </c>
      <c r="L2485" t="s">
        <v>22</v>
      </c>
    </row>
    <row r="2486" spans="1:12" x14ac:dyDescent="0.3">
      <c r="A2486">
        <v>2011</v>
      </c>
      <c r="B2486" t="s">
        <v>34</v>
      </c>
      <c r="C2486">
        <v>9283</v>
      </c>
      <c r="D2486">
        <v>233</v>
      </c>
      <c r="E2486">
        <v>27</v>
      </c>
      <c r="F2486" t="s">
        <v>65</v>
      </c>
      <c r="G2486" t="s">
        <v>26</v>
      </c>
      <c r="H2486">
        <v>1647</v>
      </c>
      <c r="I2486">
        <v>57</v>
      </c>
      <c r="J2486" t="s">
        <v>42</v>
      </c>
      <c r="K2486">
        <v>43311</v>
      </c>
      <c r="L2486" t="s">
        <v>22</v>
      </c>
    </row>
    <row r="2487" spans="1:12" x14ac:dyDescent="0.3">
      <c r="A2487">
        <v>2012</v>
      </c>
      <c r="B2487" t="s">
        <v>34</v>
      </c>
      <c r="C2487">
        <v>47200</v>
      </c>
      <c r="D2487">
        <v>233</v>
      </c>
      <c r="E2487">
        <v>27</v>
      </c>
      <c r="F2487" t="s">
        <v>65</v>
      </c>
      <c r="G2487" t="s">
        <v>26</v>
      </c>
      <c r="H2487">
        <v>975</v>
      </c>
      <c r="I2487">
        <v>54</v>
      </c>
      <c r="J2487" t="s">
        <v>42</v>
      </c>
      <c r="K2487">
        <v>24848</v>
      </c>
      <c r="L2487" t="s">
        <v>22</v>
      </c>
    </row>
    <row r="2488" spans="1:12" x14ac:dyDescent="0.3">
      <c r="A2488">
        <v>2013</v>
      </c>
      <c r="B2488" t="s">
        <v>34</v>
      </c>
      <c r="C2488">
        <v>158</v>
      </c>
      <c r="D2488">
        <v>233</v>
      </c>
      <c r="E2488">
        <v>27</v>
      </c>
      <c r="F2488" t="s">
        <v>65</v>
      </c>
      <c r="G2488" t="s">
        <v>26</v>
      </c>
      <c r="H2488">
        <v>2</v>
      </c>
      <c r="I2488">
        <v>54.5</v>
      </c>
      <c r="J2488" t="s">
        <v>42</v>
      </c>
      <c r="K2488">
        <v>761</v>
      </c>
      <c r="L2488" t="s">
        <v>22</v>
      </c>
    </row>
    <row r="2489" spans="1:12" x14ac:dyDescent="0.3">
      <c r="A2489">
        <v>2014</v>
      </c>
      <c r="B2489" t="s">
        <v>34</v>
      </c>
      <c r="C2489">
        <v>8982</v>
      </c>
      <c r="D2489">
        <v>234</v>
      </c>
      <c r="E2489">
        <v>27</v>
      </c>
      <c r="F2489" t="s">
        <v>65</v>
      </c>
      <c r="G2489" t="s">
        <v>26</v>
      </c>
      <c r="H2489">
        <v>836</v>
      </c>
      <c r="I2489">
        <v>56.6</v>
      </c>
      <c r="J2489" t="s">
        <v>42</v>
      </c>
      <c r="K2489">
        <v>45608</v>
      </c>
      <c r="L2489" t="s">
        <v>22</v>
      </c>
    </row>
    <row r="2490" spans="1:12" x14ac:dyDescent="0.3">
      <c r="A2490">
        <v>2015</v>
      </c>
      <c r="B2490" t="s">
        <v>34</v>
      </c>
      <c r="C2490">
        <v>46990</v>
      </c>
      <c r="D2490">
        <v>234</v>
      </c>
      <c r="E2490">
        <v>27</v>
      </c>
      <c r="F2490" t="s">
        <v>65</v>
      </c>
      <c r="G2490" t="s">
        <v>14</v>
      </c>
      <c r="H2490">
        <v>806</v>
      </c>
      <c r="I2490">
        <v>55.5</v>
      </c>
      <c r="J2490" t="s">
        <v>42</v>
      </c>
      <c r="K2490">
        <v>234581</v>
      </c>
      <c r="L2490" t="s">
        <v>22</v>
      </c>
    </row>
    <row r="2491" spans="1:12" x14ac:dyDescent="0.3">
      <c r="A2491">
        <v>2016</v>
      </c>
      <c r="B2491" t="s">
        <v>34</v>
      </c>
      <c r="C2491">
        <v>103</v>
      </c>
      <c r="D2491">
        <v>234</v>
      </c>
      <c r="E2491">
        <v>27.2</v>
      </c>
      <c r="F2491" t="s">
        <v>65</v>
      </c>
      <c r="G2491" t="s">
        <v>14</v>
      </c>
      <c r="H2491">
        <v>880</v>
      </c>
      <c r="I2491">
        <v>58.5</v>
      </c>
      <c r="J2491" t="s">
        <v>42</v>
      </c>
      <c r="K2491">
        <v>646</v>
      </c>
      <c r="L2491" t="s">
        <v>22</v>
      </c>
    </row>
    <row r="2492" spans="1:12" x14ac:dyDescent="0.3">
      <c r="A2492">
        <v>2017</v>
      </c>
      <c r="B2492" t="s">
        <v>34</v>
      </c>
      <c r="C2492">
        <v>8239</v>
      </c>
      <c r="D2492">
        <v>3105</v>
      </c>
      <c r="E2492">
        <v>27.2</v>
      </c>
      <c r="F2492" t="s">
        <v>65</v>
      </c>
      <c r="G2492" t="s">
        <v>14</v>
      </c>
      <c r="H2492">
        <v>770</v>
      </c>
      <c r="I2492">
        <v>59.5</v>
      </c>
      <c r="J2492" t="s">
        <v>42</v>
      </c>
      <c r="K2492">
        <v>43562</v>
      </c>
      <c r="L2492" t="s">
        <v>22</v>
      </c>
    </row>
    <row r="2493" spans="1:12" x14ac:dyDescent="0.3">
      <c r="A2493">
        <v>2018</v>
      </c>
      <c r="B2493" t="s">
        <v>34</v>
      </c>
      <c r="C2493">
        <v>44563</v>
      </c>
      <c r="D2493">
        <v>3105</v>
      </c>
      <c r="E2493">
        <v>27.2</v>
      </c>
      <c r="F2493" t="s">
        <v>65</v>
      </c>
      <c r="G2493" t="s">
        <v>14</v>
      </c>
      <c r="H2493">
        <v>395</v>
      </c>
      <c r="I2493">
        <v>55</v>
      </c>
      <c r="J2493" t="s">
        <v>42</v>
      </c>
      <c r="K2493">
        <v>200000</v>
      </c>
      <c r="L2493" t="s">
        <v>22</v>
      </c>
    </row>
    <row r="2494" spans="1:12" x14ac:dyDescent="0.3">
      <c r="A2494">
        <v>2019</v>
      </c>
      <c r="B2494" t="s">
        <v>34</v>
      </c>
      <c r="C2494">
        <v>96</v>
      </c>
      <c r="D2494">
        <v>3105</v>
      </c>
      <c r="E2494">
        <v>27</v>
      </c>
      <c r="F2494" t="s">
        <v>65</v>
      </c>
      <c r="G2494" t="s">
        <v>14</v>
      </c>
      <c r="H2494">
        <v>187</v>
      </c>
      <c r="I2494">
        <v>53</v>
      </c>
      <c r="J2494" t="s">
        <v>42</v>
      </c>
      <c r="K2494">
        <v>4847</v>
      </c>
      <c r="L2494" t="s">
        <v>22</v>
      </c>
    </row>
    <row r="2495" spans="1:12" x14ac:dyDescent="0.3">
      <c r="A2495">
        <v>2004</v>
      </c>
      <c r="B2495" t="s">
        <v>34</v>
      </c>
      <c r="C2495">
        <v>6949</v>
      </c>
      <c r="D2495">
        <v>236</v>
      </c>
      <c r="E2495">
        <v>27</v>
      </c>
      <c r="F2495" t="s">
        <v>65</v>
      </c>
      <c r="G2495" t="s">
        <v>14</v>
      </c>
      <c r="H2495">
        <v>187</v>
      </c>
      <c r="I2495">
        <v>53.5</v>
      </c>
      <c r="J2495" t="s">
        <v>42</v>
      </c>
      <c r="K2495">
        <v>51239</v>
      </c>
      <c r="L2495" t="s">
        <v>22</v>
      </c>
    </row>
    <row r="2496" spans="1:12" x14ac:dyDescent="0.3">
      <c r="A2496">
        <v>2013</v>
      </c>
      <c r="B2496" t="s">
        <v>34</v>
      </c>
      <c r="C2496">
        <v>44663</v>
      </c>
      <c r="D2496">
        <v>236</v>
      </c>
      <c r="E2496">
        <v>27</v>
      </c>
      <c r="F2496" t="s">
        <v>65</v>
      </c>
      <c r="G2496" t="s">
        <v>14</v>
      </c>
      <c r="H2496">
        <v>121</v>
      </c>
      <c r="I2496">
        <v>52.5</v>
      </c>
      <c r="J2496" t="s">
        <v>42</v>
      </c>
      <c r="K2496">
        <v>216396</v>
      </c>
      <c r="L2496" t="s">
        <v>22</v>
      </c>
    </row>
    <row r="2497" spans="1:12" x14ac:dyDescent="0.3">
      <c r="A2497">
        <v>2014</v>
      </c>
      <c r="B2497" t="s">
        <v>34</v>
      </c>
      <c r="C2497">
        <v>110</v>
      </c>
      <c r="D2497">
        <v>2903.1</v>
      </c>
      <c r="E2497">
        <v>27</v>
      </c>
      <c r="F2497" t="s">
        <v>65</v>
      </c>
      <c r="G2497" t="s">
        <v>14</v>
      </c>
      <c r="H2497">
        <v>103</v>
      </c>
      <c r="I2497">
        <v>56</v>
      </c>
      <c r="J2497" t="s">
        <v>42</v>
      </c>
      <c r="K2497">
        <v>2644</v>
      </c>
      <c r="L2497" t="s">
        <v>22</v>
      </c>
    </row>
    <row r="2498" spans="1:12" x14ac:dyDescent="0.3">
      <c r="A2498">
        <v>2015</v>
      </c>
      <c r="B2498" t="s">
        <v>34</v>
      </c>
      <c r="C2498">
        <v>6824</v>
      </c>
      <c r="D2498">
        <v>2903.1</v>
      </c>
      <c r="E2498">
        <v>27</v>
      </c>
      <c r="F2498" t="s">
        <v>65</v>
      </c>
      <c r="G2498" t="s">
        <v>14</v>
      </c>
      <c r="H2498">
        <v>71</v>
      </c>
      <c r="I2498">
        <v>59.5</v>
      </c>
      <c r="J2498" t="s">
        <v>42</v>
      </c>
      <c r="K2498">
        <v>44235</v>
      </c>
      <c r="L2498" t="s">
        <v>22</v>
      </c>
    </row>
    <row r="2499" spans="1:12" x14ac:dyDescent="0.3">
      <c r="A2499">
        <v>2016</v>
      </c>
      <c r="B2499" t="s">
        <v>34</v>
      </c>
      <c r="C2499">
        <v>43013</v>
      </c>
      <c r="D2499">
        <v>2903.1</v>
      </c>
      <c r="E2499">
        <v>27</v>
      </c>
      <c r="F2499" t="s">
        <v>65</v>
      </c>
      <c r="G2499" t="s">
        <v>14</v>
      </c>
      <c r="H2499">
        <v>3961</v>
      </c>
      <c r="I2499">
        <v>55</v>
      </c>
      <c r="J2499" t="s">
        <v>42</v>
      </c>
      <c r="K2499">
        <v>203317</v>
      </c>
      <c r="L2499" t="s">
        <v>22</v>
      </c>
    </row>
    <row r="2500" spans="1:12" x14ac:dyDescent="0.3">
      <c r="A2500">
        <v>2017</v>
      </c>
      <c r="B2500" t="s">
        <v>34</v>
      </c>
      <c r="C2500">
        <v>95</v>
      </c>
      <c r="D2500">
        <v>2996.6</v>
      </c>
      <c r="E2500">
        <v>27.2</v>
      </c>
      <c r="F2500" t="s">
        <v>65</v>
      </c>
      <c r="G2500" t="s">
        <v>14</v>
      </c>
      <c r="H2500">
        <v>4247</v>
      </c>
      <c r="I2500">
        <v>53</v>
      </c>
      <c r="J2500" t="s">
        <v>43</v>
      </c>
      <c r="K2500">
        <v>2134</v>
      </c>
      <c r="L2500" t="s">
        <v>22</v>
      </c>
    </row>
    <row r="2501" spans="1:12" x14ac:dyDescent="0.3">
      <c r="A2501">
        <v>2018</v>
      </c>
      <c r="B2501" t="s">
        <v>34</v>
      </c>
      <c r="C2501">
        <v>6441</v>
      </c>
      <c r="D2501">
        <v>2996.6</v>
      </c>
      <c r="E2501">
        <v>27.2</v>
      </c>
      <c r="F2501" t="s">
        <v>65</v>
      </c>
      <c r="G2501" t="s">
        <v>14</v>
      </c>
      <c r="H2501">
        <v>3290</v>
      </c>
      <c r="I2501">
        <v>53.5</v>
      </c>
      <c r="J2501" t="s">
        <v>43</v>
      </c>
      <c r="K2501">
        <v>45186</v>
      </c>
      <c r="L2501" t="s">
        <v>22</v>
      </c>
    </row>
    <row r="2502" spans="1:12" x14ac:dyDescent="0.3">
      <c r="A2502">
        <v>2004</v>
      </c>
      <c r="B2502" t="s">
        <v>34</v>
      </c>
      <c r="C2502">
        <v>4012</v>
      </c>
      <c r="D2502">
        <v>2996.6</v>
      </c>
      <c r="E2502">
        <v>27.2</v>
      </c>
      <c r="F2502" t="s">
        <v>45</v>
      </c>
      <c r="G2502" t="s">
        <v>14</v>
      </c>
      <c r="H2502">
        <v>3138</v>
      </c>
      <c r="I2502">
        <v>52.5</v>
      </c>
      <c r="J2502" t="s">
        <v>43</v>
      </c>
      <c r="K2502">
        <v>238542</v>
      </c>
      <c r="L2502" t="s">
        <v>22</v>
      </c>
    </row>
    <row r="2503" spans="1:12" x14ac:dyDescent="0.3">
      <c r="A2503">
        <v>2005</v>
      </c>
      <c r="B2503" t="s">
        <v>34</v>
      </c>
      <c r="C2503">
        <v>4877</v>
      </c>
      <c r="D2503">
        <v>3522.8</v>
      </c>
      <c r="E2503">
        <v>27.1</v>
      </c>
      <c r="F2503" t="s">
        <v>45</v>
      </c>
      <c r="G2503" t="s">
        <v>14</v>
      </c>
      <c r="H2503">
        <v>3423</v>
      </c>
      <c r="I2503">
        <v>56</v>
      </c>
      <c r="J2503" t="s">
        <v>43</v>
      </c>
      <c r="K2503">
        <v>1516</v>
      </c>
      <c r="L2503" t="s">
        <v>22</v>
      </c>
    </row>
    <row r="2504" spans="1:12" x14ac:dyDescent="0.3">
      <c r="A2504">
        <v>2006</v>
      </c>
      <c r="B2504" t="s">
        <v>34</v>
      </c>
      <c r="C2504">
        <v>4930</v>
      </c>
      <c r="D2504">
        <v>3522.8</v>
      </c>
      <c r="E2504">
        <v>27.1</v>
      </c>
      <c r="F2504" t="s">
        <v>45</v>
      </c>
      <c r="G2504" t="s">
        <v>14</v>
      </c>
      <c r="H2504">
        <v>3899</v>
      </c>
      <c r="I2504">
        <v>57</v>
      </c>
      <c r="J2504" t="s">
        <v>43</v>
      </c>
      <c r="K2504">
        <v>57259</v>
      </c>
      <c r="L2504" t="s">
        <v>22</v>
      </c>
    </row>
    <row r="2505" spans="1:12" x14ac:dyDescent="0.3">
      <c r="A2505">
        <v>2007</v>
      </c>
      <c r="B2505" t="s">
        <v>34</v>
      </c>
      <c r="C2505">
        <v>4954</v>
      </c>
      <c r="D2505">
        <v>3522.8</v>
      </c>
      <c r="E2505">
        <v>27.1</v>
      </c>
      <c r="F2505" t="s">
        <v>45</v>
      </c>
      <c r="G2505" t="s">
        <v>14</v>
      </c>
      <c r="H2505">
        <v>4015</v>
      </c>
      <c r="I2505">
        <v>57.5</v>
      </c>
      <c r="J2505" t="s">
        <v>43</v>
      </c>
      <c r="K2505">
        <v>234779</v>
      </c>
      <c r="L2505" t="s">
        <v>22</v>
      </c>
    </row>
    <row r="2506" spans="1:12" x14ac:dyDescent="0.3">
      <c r="A2506">
        <v>2008</v>
      </c>
      <c r="B2506" t="s">
        <v>34</v>
      </c>
      <c r="C2506">
        <v>5019</v>
      </c>
      <c r="D2506">
        <v>2903.1</v>
      </c>
      <c r="E2506">
        <v>26.8</v>
      </c>
      <c r="F2506" t="s">
        <v>45</v>
      </c>
      <c r="G2506" t="s">
        <v>14</v>
      </c>
      <c r="H2506">
        <v>4279</v>
      </c>
      <c r="I2506">
        <v>57</v>
      </c>
      <c r="J2506" t="s">
        <v>43</v>
      </c>
      <c r="K2506">
        <v>1493</v>
      </c>
      <c r="L2506" t="s">
        <v>22</v>
      </c>
    </row>
    <row r="2507" spans="1:12" x14ac:dyDescent="0.3">
      <c r="A2507">
        <v>2009</v>
      </c>
      <c r="B2507" t="s">
        <v>34</v>
      </c>
      <c r="C2507">
        <v>5127</v>
      </c>
      <c r="D2507">
        <v>2903.1</v>
      </c>
      <c r="E2507">
        <v>26.8</v>
      </c>
      <c r="F2507" t="s">
        <v>45</v>
      </c>
      <c r="G2507" t="s">
        <v>14</v>
      </c>
      <c r="H2507">
        <v>4167</v>
      </c>
      <c r="I2507">
        <v>55</v>
      </c>
      <c r="J2507" t="s">
        <v>43</v>
      </c>
      <c r="K2507">
        <v>64409</v>
      </c>
      <c r="L2507" t="s">
        <v>22</v>
      </c>
    </row>
    <row r="2508" spans="1:12" x14ac:dyDescent="0.3">
      <c r="A2508">
        <v>2010</v>
      </c>
      <c r="B2508" t="s">
        <v>12</v>
      </c>
      <c r="C2508">
        <v>5174</v>
      </c>
      <c r="D2508">
        <v>2903.1</v>
      </c>
      <c r="E2508">
        <v>26.8</v>
      </c>
      <c r="F2508" t="s">
        <v>45</v>
      </c>
      <c r="G2508" t="s">
        <v>14</v>
      </c>
      <c r="H2508">
        <v>4479</v>
      </c>
      <c r="I2508">
        <v>56</v>
      </c>
      <c r="J2508" t="s">
        <v>43</v>
      </c>
      <c r="K2508">
        <v>249978</v>
      </c>
      <c r="L2508" t="s">
        <v>22</v>
      </c>
    </row>
    <row r="2509" spans="1:12" x14ac:dyDescent="0.3">
      <c r="A2509">
        <v>2011</v>
      </c>
      <c r="B2509" t="s">
        <v>12</v>
      </c>
      <c r="C2509">
        <v>5294</v>
      </c>
      <c r="D2509">
        <v>2996.6</v>
      </c>
      <c r="E2509">
        <v>37</v>
      </c>
      <c r="F2509" t="s">
        <v>45</v>
      </c>
      <c r="G2509" t="s">
        <v>14</v>
      </c>
      <c r="H2509">
        <v>3699</v>
      </c>
      <c r="I2509">
        <v>54</v>
      </c>
      <c r="J2509" t="s">
        <v>43</v>
      </c>
      <c r="K2509">
        <v>637</v>
      </c>
      <c r="L2509" t="s">
        <v>22</v>
      </c>
    </row>
    <row r="2510" spans="1:12" x14ac:dyDescent="0.3">
      <c r="A2510">
        <v>2012</v>
      </c>
      <c r="B2510" t="s">
        <v>12</v>
      </c>
      <c r="C2510">
        <v>5474</v>
      </c>
      <c r="D2510">
        <v>2996.6</v>
      </c>
      <c r="E2510">
        <v>37</v>
      </c>
      <c r="F2510" t="s">
        <v>45</v>
      </c>
      <c r="G2510" t="s">
        <v>14</v>
      </c>
      <c r="H2510">
        <v>4904</v>
      </c>
      <c r="I2510">
        <v>58</v>
      </c>
      <c r="J2510" t="s">
        <v>43</v>
      </c>
      <c r="K2510">
        <v>43311</v>
      </c>
      <c r="L2510" t="s">
        <v>22</v>
      </c>
    </row>
    <row r="2511" spans="1:12" x14ac:dyDescent="0.3">
      <c r="A2511">
        <v>2013</v>
      </c>
      <c r="B2511" t="s">
        <v>12</v>
      </c>
      <c r="C2511">
        <v>5864</v>
      </c>
      <c r="D2511">
        <v>2996.6</v>
      </c>
      <c r="E2511">
        <v>37</v>
      </c>
      <c r="F2511" t="s">
        <v>45</v>
      </c>
      <c r="G2511" t="s">
        <v>14</v>
      </c>
      <c r="H2511">
        <v>2821</v>
      </c>
      <c r="I2511">
        <v>58</v>
      </c>
      <c r="J2511" t="s">
        <v>43</v>
      </c>
      <c r="K2511">
        <v>24848</v>
      </c>
      <c r="L2511" t="s">
        <v>22</v>
      </c>
    </row>
    <row r="2512" spans="1:12" x14ac:dyDescent="0.3">
      <c r="A2512">
        <v>2014</v>
      </c>
      <c r="B2512" t="s">
        <v>12</v>
      </c>
      <c r="C2512">
        <v>7028</v>
      </c>
      <c r="D2512">
        <v>3522.8</v>
      </c>
      <c r="E2512">
        <v>38</v>
      </c>
      <c r="F2512" t="s">
        <v>45</v>
      </c>
      <c r="G2512" t="s">
        <v>14</v>
      </c>
      <c r="H2512">
        <v>3472</v>
      </c>
      <c r="I2512">
        <v>59</v>
      </c>
      <c r="J2512" t="s">
        <v>43</v>
      </c>
      <c r="K2512">
        <v>761</v>
      </c>
      <c r="L2512" t="s">
        <v>22</v>
      </c>
    </row>
    <row r="2513" spans="1:12" x14ac:dyDescent="0.3">
      <c r="A2513">
        <v>2015</v>
      </c>
      <c r="B2513" t="s">
        <v>12</v>
      </c>
      <c r="C2513">
        <v>7403</v>
      </c>
      <c r="D2513">
        <v>3522.8</v>
      </c>
      <c r="E2513">
        <v>38</v>
      </c>
      <c r="F2513" t="s">
        <v>45</v>
      </c>
      <c r="G2513" t="s">
        <v>14</v>
      </c>
      <c r="H2513">
        <v>3647</v>
      </c>
      <c r="I2513">
        <v>50</v>
      </c>
      <c r="J2513" t="s">
        <v>43</v>
      </c>
      <c r="K2513">
        <v>45608</v>
      </c>
      <c r="L2513" t="s">
        <v>22</v>
      </c>
    </row>
    <row r="2514" spans="1:12" x14ac:dyDescent="0.3">
      <c r="A2514">
        <v>2016</v>
      </c>
      <c r="B2514" t="s">
        <v>12</v>
      </c>
      <c r="C2514">
        <v>7501</v>
      </c>
      <c r="D2514">
        <v>3522.8</v>
      </c>
      <c r="E2514">
        <v>38</v>
      </c>
      <c r="F2514" t="s">
        <v>45</v>
      </c>
      <c r="G2514" t="s">
        <v>14</v>
      </c>
      <c r="H2514">
        <v>393</v>
      </c>
      <c r="I2514">
        <v>54</v>
      </c>
      <c r="J2514" t="s">
        <v>43</v>
      </c>
      <c r="K2514">
        <v>234581</v>
      </c>
      <c r="L2514" t="s">
        <v>22</v>
      </c>
    </row>
    <row r="2515" spans="1:12" x14ac:dyDescent="0.3">
      <c r="A2515">
        <v>2017</v>
      </c>
      <c r="B2515" t="s">
        <v>12</v>
      </c>
      <c r="C2515">
        <v>7714</v>
      </c>
      <c r="D2515">
        <v>3729.8</v>
      </c>
      <c r="E2515">
        <v>39</v>
      </c>
      <c r="F2515" t="s">
        <v>45</v>
      </c>
      <c r="G2515" t="s">
        <v>14</v>
      </c>
      <c r="H2515">
        <v>167</v>
      </c>
      <c r="I2515">
        <v>53</v>
      </c>
      <c r="J2515" t="s">
        <v>15</v>
      </c>
      <c r="K2515">
        <v>646</v>
      </c>
      <c r="L2515" t="s">
        <v>22</v>
      </c>
    </row>
    <row r="2516" spans="1:12" x14ac:dyDescent="0.3">
      <c r="A2516">
        <v>2018</v>
      </c>
      <c r="B2516" t="s">
        <v>12</v>
      </c>
      <c r="C2516">
        <v>7856</v>
      </c>
      <c r="D2516">
        <v>3729.8</v>
      </c>
      <c r="E2516">
        <v>39</v>
      </c>
      <c r="F2516" t="s">
        <v>45</v>
      </c>
      <c r="G2516" t="s">
        <v>14</v>
      </c>
      <c r="H2516">
        <v>71</v>
      </c>
      <c r="I2516">
        <v>59.5</v>
      </c>
      <c r="J2516" t="s">
        <v>15</v>
      </c>
      <c r="K2516">
        <v>43562</v>
      </c>
      <c r="L2516" t="s">
        <v>22</v>
      </c>
    </row>
    <row r="2517" spans="1:12" x14ac:dyDescent="0.3">
      <c r="A2517">
        <v>2013</v>
      </c>
      <c r="B2517" t="s">
        <v>12</v>
      </c>
      <c r="C2517">
        <v>32</v>
      </c>
      <c r="D2517">
        <v>3729.8</v>
      </c>
      <c r="E2517">
        <v>39</v>
      </c>
      <c r="F2517" t="s">
        <v>45</v>
      </c>
      <c r="G2517" t="s">
        <v>14</v>
      </c>
      <c r="H2517">
        <v>52</v>
      </c>
      <c r="I2517">
        <v>55</v>
      </c>
      <c r="J2517" t="s">
        <v>15</v>
      </c>
      <c r="K2517">
        <v>200000</v>
      </c>
      <c r="L2517" t="s">
        <v>22</v>
      </c>
    </row>
    <row r="2518" spans="1:12" x14ac:dyDescent="0.3">
      <c r="A2518">
        <v>2014</v>
      </c>
      <c r="B2518" t="s">
        <v>12</v>
      </c>
      <c r="C2518">
        <v>1</v>
      </c>
      <c r="D2518">
        <v>2746.2</v>
      </c>
      <c r="E2518">
        <v>40</v>
      </c>
      <c r="F2518" t="s">
        <v>45</v>
      </c>
      <c r="G2518" t="s">
        <v>14</v>
      </c>
      <c r="H2518">
        <v>2570</v>
      </c>
      <c r="I2518">
        <v>53</v>
      </c>
      <c r="J2518" t="s">
        <v>15</v>
      </c>
      <c r="K2518">
        <v>4847</v>
      </c>
      <c r="L2518" t="s">
        <v>22</v>
      </c>
    </row>
    <row r="2519" spans="1:12" x14ac:dyDescent="0.3">
      <c r="A2519">
        <v>2015</v>
      </c>
      <c r="B2519" t="s">
        <v>12</v>
      </c>
      <c r="C2519">
        <v>30</v>
      </c>
      <c r="D2519">
        <v>2746.2</v>
      </c>
      <c r="E2519">
        <v>40</v>
      </c>
      <c r="F2519" t="s">
        <v>45</v>
      </c>
      <c r="G2519" t="s">
        <v>14</v>
      </c>
      <c r="H2519">
        <v>27170</v>
      </c>
      <c r="I2519">
        <v>53.5</v>
      </c>
      <c r="J2519" t="s">
        <v>15</v>
      </c>
      <c r="K2519">
        <v>51239</v>
      </c>
      <c r="L2519" t="s">
        <v>22</v>
      </c>
    </row>
    <row r="2520" spans="1:12" x14ac:dyDescent="0.3">
      <c r="A2520">
        <v>2016</v>
      </c>
      <c r="B2520" t="s">
        <v>12</v>
      </c>
      <c r="C2520">
        <v>6</v>
      </c>
      <c r="D2520">
        <v>2746.2</v>
      </c>
      <c r="E2520">
        <v>40</v>
      </c>
      <c r="F2520" t="s">
        <v>45</v>
      </c>
      <c r="G2520" t="s">
        <v>14</v>
      </c>
      <c r="H2520">
        <v>114744</v>
      </c>
      <c r="I2520">
        <v>52.5</v>
      </c>
      <c r="J2520" t="s">
        <v>15</v>
      </c>
      <c r="K2520">
        <v>216396</v>
      </c>
      <c r="L2520" t="s">
        <v>22</v>
      </c>
    </row>
    <row r="2521" spans="1:12" x14ac:dyDescent="0.3">
      <c r="A2521">
        <v>2017</v>
      </c>
      <c r="B2521" t="s">
        <v>12</v>
      </c>
      <c r="C2521">
        <v>15</v>
      </c>
      <c r="D2521">
        <v>3360</v>
      </c>
      <c r="E2521">
        <v>41</v>
      </c>
      <c r="F2521" t="s">
        <v>45</v>
      </c>
      <c r="G2521" t="s">
        <v>14</v>
      </c>
      <c r="H2521">
        <v>1402</v>
      </c>
      <c r="I2521">
        <v>56</v>
      </c>
      <c r="J2521" t="s">
        <v>15</v>
      </c>
      <c r="K2521">
        <v>2644</v>
      </c>
      <c r="L2521" t="s">
        <v>22</v>
      </c>
    </row>
    <row r="2522" spans="1:12" x14ac:dyDescent="0.3">
      <c r="A2522">
        <v>2018</v>
      </c>
      <c r="B2522" t="s">
        <v>12</v>
      </c>
      <c r="C2522">
        <v>4</v>
      </c>
      <c r="D2522">
        <v>3360</v>
      </c>
      <c r="E2522">
        <v>41</v>
      </c>
      <c r="F2522" t="s">
        <v>45</v>
      </c>
      <c r="G2522" t="s">
        <v>14</v>
      </c>
      <c r="H2522">
        <v>23456</v>
      </c>
      <c r="I2522">
        <v>57</v>
      </c>
      <c r="J2522" t="s">
        <v>15</v>
      </c>
      <c r="K2522">
        <v>44235</v>
      </c>
      <c r="L2522" t="s">
        <v>22</v>
      </c>
    </row>
    <row r="2523" spans="1:12" x14ac:dyDescent="0.3">
      <c r="A2523">
        <v>2004</v>
      </c>
      <c r="B2523" t="s">
        <v>12</v>
      </c>
      <c r="C2523">
        <v>39</v>
      </c>
      <c r="D2523">
        <v>3360</v>
      </c>
      <c r="E2523">
        <v>41</v>
      </c>
      <c r="F2523" t="s">
        <v>45</v>
      </c>
      <c r="G2523" t="s">
        <v>14</v>
      </c>
      <c r="H2523">
        <v>107809</v>
      </c>
      <c r="I2523">
        <v>57.5</v>
      </c>
      <c r="J2523" t="s">
        <v>15</v>
      </c>
      <c r="K2523">
        <v>203317</v>
      </c>
      <c r="L2523" t="s">
        <v>22</v>
      </c>
    </row>
    <row r="2524" spans="1:12" x14ac:dyDescent="0.3">
      <c r="A2524">
        <v>2005</v>
      </c>
      <c r="B2524" t="s">
        <v>12</v>
      </c>
      <c r="C2524">
        <v>6</v>
      </c>
      <c r="D2524">
        <v>3605.4</v>
      </c>
      <c r="E2524">
        <v>42</v>
      </c>
      <c r="F2524" t="s">
        <v>45</v>
      </c>
      <c r="G2524" t="s">
        <v>14</v>
      </c>
      <c r="H2524">
        <v>1132</v>
      </c>
      <c r="I2524">
        <v>57</v>
      </c>
      <c r="J2524" t="s">
        <v>15</v>
      </c>
      <c r="K2524">
        <v>2134</v>
      </c>
      <c r="L2524" t="s">
        <v>22</v>
      </c>
    </row>
    <row r="2525" spans="1:12" x14ac:dyDescent="0.3">
      <c r="A2525">
        <v>2006</v>
      </c>
      <c r="B2525" t="s">
        <v>17</v>
      </c>
      <c r="C2525">
        <v>12</v>
      </c>
      <c r="D2525">
        <v>3605.4</v>
      </c>
      <c r="E2525">
        <v>42</v>
      </c>
      <c r="F2525" t="s">
        <v>45</v>
      </c>
      <c r="G2525" t="s">
        <v>14</v>
      </c>
      <c r="H2525">
        <v>23960</v>
      </c>
      <c r="I2525">
        <v>55</v>
      </c>
      <c r="J2525" t="s">
        <v>15</v>
      </c>
      <c r="K2525">
        <v>45186</v>
      </c>
      <c r="L2525" t="s">
        <v>22</v>
      </c>
    </row>
    <row r="2526" spans="1:12" x14ac:dyDescent="0.3">
      <c r="A2526">
        <v>2007</v>
      </c>
      <c r="B2526" t="s">
        <v>17</v>
      </c>
      <c r="C2526">
        <v>3</v>
      </c>
      <c r="D2526">
        <v>2903.1</v>
      </c>
      <c r="E2526">
        <v>42</v>
      </c>
      <c r="F2526" t="s">
        <v>45</v>
      </c>
      <c r="G2526" t="s">
        <v>14</v>
      </c>
      <c r="H2526">
        <v>126487</v>
      </c>
      <c r="I2526">
        <v>56</v>
      </c>
      <c r="J2526" t="s">
        <v>15</v>
      </c>
      <c r="K2526">
        <v>238542</v>
      </c>
      <c r="L2526" t="s">
        <v>22</v>
      </c>
    </row>
    <row r="2527" spans="1:12" x14ac:dyDescent="0.3">
      <c r="A2527">
        <v>2008</v>
      </c>
      <c r="B2527" t="s">
        <v>17</v>
      </c>
      <c r="C2527">
        <v>17</v>
      </c>
      <c r="D2527">
        <v>2903.1</v>
      </c>
      <c r="E2527">
        <v>43</v>
      </c>
      <c r="F2527" t="s">
        <v>45</v>
      </c>
      <c r="G2527" t="s">
        <v>14</v>
      </c>
      <c r="H2527">
        <v>804</v>
      </c>
      <c r="I2527">
        <v>54</v>
      </c>
      <c r="J2527" t="s">
        <v>15</v>
      </c>
      <c r="K2527">
        <v>1516</v>
      </c>
      <c r="L2527" t="s">
        <v>22</v>
      </c>
    </row>
    <row r="2528" spans="1:12" x14ac:dyDescent="0.3">
      <c r="A2528">
        <v>2009</v>
      </c>
      <c r="B2528" t="s">
        <v>17</v>
      </c>
      <c r="C2528">
        <v>3</v>
      </c>
      <c r="D2528">
        <v>2903.1</v>
      </c>
      <c r="E2528">
        <v>43</v>
      </c>
      <c r="F2528" t="s">
        <v>45</v>
      </c>
      <c r="G2528" t="s">
        <v>14</v>
      </c>
      <c r="H2528">
        <v>30362</v>
      </c>
      <c r="I2528">
        <v>58</v>
      </c>
      <c r="J2528" t="s">
        <v>15</v>
      </c>
      <c r="K2528">
        <v>200000</v>
      </c>
      <c r="L2528" t="s">
        <v>22</v>
      </c>
    </row>
    <row r="2529" spans="1:12" x14ac:dyDescent="0.3">
      <c r="A2529">
        <v>2010</v>
      </c>
      <c r="B2529" t="s">
        <v>17</v>
      </c>
      <c r="C2529">
        <v>9</v>
      </c>
      <c r="D2529">
        <v>2996.6</v>
      </c>
      <c r="E2529">
        <v>128</v>
      </c>
      <c r="F2529" t="s">
        <v>45</v>
      </c>
      <c r="G2529" t="s">
        <v>14</v>
      </c>
      <c r="H2529">
        <v>124492</v>
      </c>
      <c r="I2529">
        <v>58</v>
      </c>
      <c r="J2529" t="s">
        <v>15</v>
      </c>
      <c r="K2529">
        <v>4847</v>
      </c>
      <c r="L2529" t="s">
        <v>22</v>
      </c>
    </row>
    <row r="2530" spans="1:12" x14ac:dyDescent="0.3">
      <c r="A2530">
        <v>2011</v>
      </c>
      <c r="B2530" t="s">
        <v>17</v>
      </c>
      <c r="C2530">
        <v>21</v>
      </c>
      <c r="D2530">
        <v>2996.6</v>
      </c>
      <c r="E2530">
        <v>129</v>
      </c>
      <c r="F2530" t="s">
        <v>45</v>
      </c>
      <c r="G2530" t="s">
        <v>14</v>
      </c>
      <c r="H2530">
        <v>792</v>
      </c>
      <c r="I2530">
        <v>59</v>
      </c>
      <c r="J2530" t="s">
        <v>15</v>
      </c>
      <c r="K2530">
        <v>51239</v>
      </c>
      <c r="L2530" t="s">
        <v>22</v>
      </c>
    </row>
    <row r="2531" spans="1:12" x14ac:dyDescent="0.3">
      <c r="A2531">
        <v>2012</v>
      </c>
      <c r="B2531" t="s">
        <v>17</v>
      </c>
      <c r="C2531">
        <v>11</v>
      </c>
      <c r="D2531">
        <v>2996.6</v>
      </c>
      <c r="E2531">
        <v>130</v>
      </c>
      <c r="F2531" t="s">
        <v>13</v>
      </c>
      <c r="G2531" t="s">
        <v>14</v>
      </c>
      <c r="H2531">
        <v>34153</v>
      </c>
      <c r="I2531">
        <v>50</v>
      </c>
      <c r="J2531" t="s">
        <v>35</v>
      </c>
      <c r="K2531">
        <v>216396</v>
      </c>
      <c r="L2531" t="s">
        <v>22</v>
      </c>
    </row>
    <row r="2532" spans="1:12" x14ac:dyDescent="0.3">
      <c r="A2532">
        <v>2013</v>
      </c>
      <c r="B2532" t="s">
        <v>17</v>
      </c>
      <c r="C2532">
        <v>4</v>
      </c>
      <c r="D2532">
        <v>3522.8</v>
      </c>
      <c r="E2532">
        <v>131</v>
      </c>
      <c r="F2532" t="s">
        <v>13</v>
      </c>
      <c r="G2532" t="s">
        <v>14</v>
      </c>
      <c r="H2532">
        <v>2570</v>
      </c>
      <c r="I2532">
        <v>54</v>
      </c>
      <c r="J2532" t="s">
        <v>35</v>
      </c>
      <c r="K2532">
        <v>2644</v>
      </c>
      <c r="L2532" t="s">
        <v>22</v>
      </c>
    </row>
    <row r="2533" spans="1:12" x14ac:dyDescent="0.3">
      <c r="A2533">
        <v>2014</v>
      </c>
      <c r="B2533" t="s">
        <v>17</v>
      </c>
      <c r="C2533">
        <v>15</v>
      </c>
      <c r="D2533">
        <v>3522.8</v>
      </c>
      <c r="E2533">
        <v>132</v>
      </c>
      <c r="F2533" t="s">
        <v>13</v>
      </c>
      <c r="G2533" t="s">
        <v>14</v>
      </c>
      <c r="H2533">
        <v>27170</v>
      </c>
      <c r="I2533">
        <v>53</v>
      </c>
      <c r="J2533" t="s">
        <v>35</v>
      </c>
      <c r="K2533">
        <v>44235</v>
      </c>
      <c r="L2533" t="s">
        <v>22</v>
      </c>
    </row>
    <row r="2534" spans="1:12" x14ac:dyDescent="0.3">
      <c r="A2534">
        <v>2015</v>
      </c>
      <c r="B2534" t="s">
        <v>17</v>
      </c>
      <c r="C2534">
        <v>8</v>
      </c>
      <c r="D2534">
        <v>3522.8</v>
      </c>
      <c r="E2534">
        <v>133</v>
      </c>
      <c r="F2534" t="s">
        <v>13</v>
      </c>
      <c r="G2534" t="s">
        <v>21</v>
      </c>
      <c r="H2534">
        <v>114744</v>
      </c>
      <c r="I2534">
        <v>59.5</v>
      </c>
      <c r="J2534" t="s">
        <v>35</v>
      </c>
      <c r="K2534">
        <v>203317</v>
      </c>
      <c r="L2534" t="s">
        <v>22</v>
      </c>
    </row>
    <row r="2535" spans="1:12" x14ac:dyDescent="0.3">
      <c r="A2535">
        <v>2016</v>
      </c>
      <c r="B2535" t="s">
        <v>17</v>
      </c>
      <c r="C2535">
        <v>29</v>
      </c>
      <c r="D2535">
        <v>3729.8</v>
      </c>
      <c r="E2535">
        <v>134</v>
      </c>
      <c r="F2535" t="s">
        <v>13</v>
      </c>
      <c r="G2535" t="s">
        <v>21</v>
      </c>
      <c r="H2535">
        <v>1402</v>
      </c>
      <c r="I2535">
        <v>55</v>
      </c>
      <c r="J2535" t="s">
        <v>35</v>
      </c>
      <c r="K2535">
        <v>2134</v>
      </c>
      <c r="L2535" t="s">
        <v>22</v>
      </c>
    </row>
    <row r="2536" spans="1:12" x14ac:dyDescent="0.3">
      <c r="A2536">
        <v>2017</v>
      </c>
      <c r="B2536" t="s">
        <v>17</v>
      </c>
      <c r="C2536">
        <v>1</v>
      </c>
      <c r="D2536">
        <v>3729.8</v>
      </c>
      <c r="E2536">
        <v>135</v>
      </c>
      <c r="F2536" t="s">
        <v>13</v>
      </c>
      <c r="G2536" t="s">
        <v>21</v>
      </c>
      <c r="H2536">
        <v>23456</v>
      </c>
      <c r="I2536">
        <v>53</v>
      </c>
      <c r="J2536" t="s">
        <v>35</v>
      </c>
      <c r="K2536">
        <v>45186</v>
      </c>
      <c r="L2536" t="s">
        <v>22</v>
      </c>
    </row>
    <row r="2537" spans="1:12" x14ac:dyDescent="0.3">
      <c r="A2537">
        <v>2018</v>
      </c>
      <c r="B2537" t="s">
        <v>17</v>
      </c>
      <c r="C2537">
        <v>13736</v>
      </c>
      <c r="D2537">
        <v>3729.8</v>
      </c>
      <c r="E2537">
        <v>136</v>
      </c>
      <c r="F2537" t="s">
        <v>13</v>
      </c>
      <c r="G2537" t="s">
        <v>21</v>
      </c>
      <c r="H2537">
        <v>107809</v>
      </c>
      <c r="I2537">
        <v>53.5</v>
      </c>
      <c r="J2537" t="s">
        <v>35</v>
      </c>
      <c r="K2537">
        <v>238542</v>
      </c>
      <c r="L2537" t="s">
        <v>22</v>
      </c>
    </row>
    <row r="2538" spans="1:12" x14ac:dyDescent="0.3">
      <c r="A2538">
        <v>2015</v>
      </c>
      <c r="B2538" t="s">
        <v>17</v>
      </c>
      <c r="C2538">
        <v>14003</v>
      </c>
      <c r="D2538">
        <v>2746.2</v>
      </c>
      <c r="E2538">
        <v>137</v>
      </c>
      <c r="F2538" t="s">
        <v>13</v>
      </c>
      <c r="G2538" t="s">
        <v>21</v>
      </c>
      <c r="H2538">
        <v>1132</v>
      </c>
      <c r="I2538">
        <v>52.5</v>
      </c>
      <c r="J2538" t="s">
        <v>35</v>
      </c>
      <c r="K2538">
        <v>1516</v>
      </c>
      <c r="L2538" t="s">
        <v>22</v>
      </c>
    </row>
    <row r="2539" spans="1:12" x14ac:dyDescent="0.3">
      <c r="A2539">
        <v>2016</v>
      </c>
      <c r="B2539" t="s">
        <v>17</v>
      </c>
      <c r="C2539">
        <v>14179</v>
      </c>
      <c r="D2539">
        <v>2746.2</v>
      </c>
      <c r="E2539">
        <v>138</v>
      </c>
      <c r="F2539" t="s">
        <v>13</v>
      </c>
      <c r="G2539" t="s">
        <v>21</v>
      </c>
      <c r="H2539">
        <v>23960</v>
      </c>
      <c r="I2539">
        <v>56</v>
      </c>
      <c r="J2539" t="s">
        <v>35</v>
      </c>
      <c r="K2539">
        <v>57259</v>
      </c>
      <c r="L2539" t="s">
        <v>22</v>
      </c>
    </row>
    <row r="2540" spans="1:12" x14ac:dyDescent="0.3">
      <c r="A2540">
        <v>2017</v>
      </c>
      <c r="B2540" t="s">
        <v>17</v>
      </c>
      <c r="C2540">
        <v>14319</v>
      </c>
      <c r="D2540">
        <v>2746.2</v>
      </c>
      <c r="E2540">
        <v>139</v>
      </c>
      <c r="F2540" t="s">
        <v>13</v>
      </c>
      <c r="G2540" t="s">
        <v>21</v>
      </c>
      <c r="H2540">
        <v>126487</v>
      </c>
      <c r="I2540">
        <v>57</v>
      </c>
      <c r="J2540" t="s">
        <v>35</v>
      </c>
      <c r="K2540">
        <v>234779</v>
      </c>
      <c r="L2540" t="s">
        <v>22</v>
      </c>
    </row>
    <row r="2541" spans="1:12" x14ac:dyDescent="0.3">
      <c r="A2541">
        <v>2018</v>
      </c>
      <c r="B2541" t="s">
        <v>17</v>
      </c>
      <c r="C2541">
        <v>14464</v>
      </c>
      <c r="D2541">
        <v>3360</v>
      </c>
      <c r="E2541">
        <v>140</v>
      </c>
      <c r="F2541" t="s">
        <v>13</v>
      </c>
      <c r="G2541" t="s">
        <v>21</v>
      </c>
      <c r="H2541">
        <v>804</v>
      </c>
      <c r="I2541">
        <v>57.5</v>
      </c>
      <c r="J2541" t="s">
        <v>35</v>
      </c>
      <c r="K2541">
        <v>1493</v>
      </c>
      <c r="L2541" t="s">
        <v>22</v>
      </c>
    </row>
    <row r="2542" spans="1:12" x14ac:dyDescent="0.3">
      <c r="A2542">
        <v>2013</v>
      </c>
      <c r="B2542" t="s">
        <v>17</v>
      </c>
      <c r="C2542">
        <v>14876</v>
      </c>
      <c r="D2542">
        <v>3360</v>
      </c>
      <c r="E2542">
        <v>141</v>
      </c>
      <c r="F2542" t="s">
        <v>13</v>
      </c>
      <c r="G2542" t="s">
        <v>21</v>
      </c>
      <c r="H2542">
        <v>30362</v>
      </c>
      <c r="I2542">
        <v>57</v>
      </c>
      <c r="J2542" t="s">
        <v>35</v>
      </c>
      <c r="K2542">
        <v>64409</v>
      </c>
      <c r="L2542" t="s">
        <v>22</v>
      </c>
    </row>
    <row r="2543" spans="1:12" x14ac:dyDescent="0.3">
      <c r="A2543">
        <v>2014</v>
      </c>
      <c r="B2543" t="s">
        <v>17</v>
      </c>
      <c r="C2543">
        <v>14976</v>
      </c>
      <c r="D2543">
        <v>3360</v>
      </c>
      <c r="E2543">
        <v>142</v>
      </c>
      <c r="F2543" t="s">
        <v>13</v>
      </c>
      <c r="G2543" t="s">
        <v>21</v>
      </c>
      <c r="H2543">
        <v>124492</v>
      </c>
      <c r="I2543">
        <v>55</v>
      </c>
      <c r="J2543" t="s">
        <v>35</v>
      </c>
      <c r="K2543">
        <v>249978</v>
      </c>
      <c r="L2543" t="s">
        <v>22</v>
      </c>
    </row>
    <row r="2544" spans="1:12" x14ac:dyDescent="0.3">
      <c r="A2544">
        <v>2015</v>
      </c>
      <c r="B2544" t="s">
        <v>17</v>
      </c>
      <c r="C2544">
        <v>15009</v>
      </c>
      <c r="D2544">
        <v>3605.4</v>
      </c>
      <c r="E2544">
        <v>143</v>
      </c>
      <c r="F2544" t="s">
        <v>13</v>
      </c>
      <c r="G2544" t="s">
        <v>21</v>
      </c>
      <c r="H2544">
        <v>792</v>
      </c>
      <c r="I2544">
        <v>56</v>
      </c>
      <c r="J2544" t="s">
        <v>35</v>
      </c>
      <c r="K2544">
        <v>637</v>
      </c>
      <c r="L2544" t="s">
        <v>22</v>
      </c>
    </row>
    <row r="2545" spans="1:12" x14ac:dyDescent="0.3">
      <c r="A2545">
        <v>2016</v>
      </c>
      <c r="B2545" t="s">
        <v>17</v>
      </c>
      <c r="C2545">
        <v>15114</v>
      </c>
      <c r="D2545">
        <v>3605.4</v>
      </c>
      <c r="E2545">
        <v>144</v>
      </c>
      <c r="F2545" t="s">
        <v>13</v>
      </c>
      <c r="G2545" t="s">
        <v>21</v>
      </c>
      <c r="H2545">
        <v>34153</v>
      </c>
      <c r="I2545">
        <v>54</v>
      </c>
      <c r="J2545" t="s">
        <v>35</v>
      </c>
      <c r="K2545">
        <v>43311</v>
      </c>
      <c r="L2545" t="s">
        <v>22</v>
      </c>
    </row>
    <row r="2546" spans="1:12" x14ac:dyDescent="0.3">
      <c r="A2546">
        <v>2017</v>
      </c>
      <c r="B2546" t="s">
        <v>17</v>
      </c>
      <c r="C2546">
        <v>16224</v>
      </c>
      <c r="D2546">
        <v>3605.4</v>
      </c>
      <c r="E2546">
        <v>27</v>
      </c>
      <c r="F2546" t="s">
        <v>13</v>
      </c>
      <c r="G2546" t="s">
        <v>14</v>
      </c>
      <c r="H2546">
        <v>132551</v>
      </c>
      <c r="I2546">
        <v>57</v>
      </c>
      <c r="J2546" t="s">
        <v>15</v>
      </c>
      <c r="K2546">
        <v>200000</v>
      </c>
      <c r="L2546" t="s">
        <v>22</v>
      </c>
    </row>
    <row r="2547" spans="1:12" x14ac:dyDescent="0.3">
      <c r="A2547">
        <v>2018</v>
      </c>
      <c r="B2547" t="s">
        <v>17</v>
      </c>
      <c r="C2547">
        <v>17095</v>
      </c>
      <c r="D2547">
        <v>3512.4</v>
      </c>
      <c r="E2547">
        <v>27</v>
      </c>
      <c r="F2547" t="s">
        <v>13</v>
      </c>
      <c r="G2547" t="s">
        <v>14</v>
      </c>
      <c r="H2547">
        <v>338</v>
      </c>
      <c r="I2547">
        <v>57.5</v>
      </c>
      <c r="J2547" t="s">
        <v>15</v>
      </c>
      <c r="K2547">
        <v>4847</v>
      </c>
      <c r="L2547" t="s">
        <v>22</v>
      </c>
    </row>
    <row r="2548" spans="1:12" x14ac:dyDescent="0.3">
      <c r="A2548">
        <v>2004</v>
      </c>
      <c r="B2548" t="s">
        <v>17</v>
      </c>
      <c r="C2548">
        <v>17512</v>
      </c>
      <c r="D2548">
        <v>3512.4</v>
      </c>
      <c r="E2548">
        <v>27</v>
      </c>
      <c r="F2548" t="s">
        <v>13</v>
      </c>
      <c r="G2548" t="s">
        <v>14</v>
      </c>
      <c r="H2548">
        <v>22966</v>
      </c>
      <c r="I2548">
        <v>57</v>
      </c>
      <c r="J2548" t="s">
        <v>15</v>
      </c>
      <c r="K2548">
        <v>51239</v>
      </c>
      <c r="L2548" t="s">
        <v>22</v>
      </c>
    </row>
    <row r="2549" spans="1:12" x14ac:dyDescent="0.3">
      <c r="A2549">
        <v>2005</v>
      </c>
      <c r="B2549" t="s">
        <v>17</v>
      </c>
      <c r="C2549">
        <v>17587</v>
      </c>
      <c r="D2549">
        <v>3512.4</v>
      </c>
      <c r="E2549">
        <v>27</v>
      </c>
      <c r="F2549" t="s">
        <v>13</v>
      </c>
      <c r="G2549" t="s">
        <v>14</v>
      </c>
      <c r="H2549">
        <v>131763</v>
      </c>
      <c r="I2549">
        <v>55</v>
      </c>
      <c r="J2549" t="s">
        <v>15</v>
      </c>
      <c r="K2549">
        <v>216396</v>
      </c>
      <c r="L2549" t="s">
        <v>22</v>
      </c>
    </row>
    <row r="2550" spans="1:12" x14ac:dyDescent="0.3">
      <c r="A2550">
        <v>2006</v>
      </c>
      <c r="B2550" t="s">
        <v>17</v>
      </c>
      <c r="C2550">
        <v>17771</v>
      </c>
      <c r="D2550">
        <v>3296</v>
      </c>
      <c r="E2550">
        <v>27</v>
      </c>
      <c r="F2550" t="s">
        <v>13</v>
      </c>
      <c r="G2550" t="s">
        <v>14</v>
      </c>
      <c r="H2550">
        <v>404</v>
      </c>
      <c r="I2550">
        <v>56</v>
      </c>
      <c r="J2550" t="s">
        <v>15</v>
      </c>
      <c r="K2550">
        <v>2644</v>
      </c>
      <c r="L2550" t="s">
        <v>22</v>
      </c>
    </row>
    <row r="2551" spans="1:12" x14ac:dyDescent="0.3">
      <c r="A2551">
        <v>2007</v>
      </c>
      <c r="B2551" t="s">
        <v>17</v>
      </c>
      <c r="C2551">
        <v>17825</v>
      </c>
      <c r="D2551">
        <v>3550</v>
      </c>
      <c r="E2551">
        <v>27</v>
      </c>
      <c r="F2551" t="s">
        <v>13</v>
      </c>
      <c r="G2551" t="s">
        <v>14</v>
      </c>
      <c r="H2551">
        <v>24184</v>
      </c>
      <c r="I2551">
        <v>54</v>
      </c>
      <c r="J2551" t="s">
        <v>15</v>
      </c>
      <c r="K2551">
        <v>44235</v>
      </c>
      <c r="L2551" t="s">
        <v>22</v>
      </c>
    </row>
    <row r="2552" spans="1:12" x14ac:dyDescent="0.3">
      <c r="A2552">
        <v>2008</v>
      </c>
      <c r="B2552" t="s">
        <v>17</v>
      </c>
      <c r="C2552">
        <v>3147</v>
      </c>
      <c r="D2552">
        <v>3550</v>
      </c>
      <c r="E2552">
        <v>27.2</v>
      </c>
      <c r="F2552" t="s">
        <v>13</v>
      </c>
      <c r="G2552" t="s">
        <v>14</v>
      </c>
      <c r="H2552">
        <v>124387</v>
      </c>
      <c r="I2552">
        <v>58</v>
      </c>
      <c r="J2552" t="s">
        <v>15</v>
      </c>
      <c r="K2552">
        <v>203317</v>
      </c>
      <c r="L2552" t="s">
        <v>22</v>
      </c>
    </row>
    <row r="2553" spans="1:12" x14ac:dyDescent="0.3">
      <c r="A2553">
        <v>2009</v>
      </c>
      <c r="B2553" t="s">
        <v>17</v>
      </c>
      <c r="C2553">
        <v>2578</v>
      </c>
      <c r="D2553">
        <v>3550</v>
      </c>
      <c r="E2553">
        <v>27.2</v>
      </c>
      <c r="F2553" t="s">
        <v>13</v>
      </c>
      <c r="G2553" t="s">
        <v>14</v>
      </c>
      <c r="H2553">
        <v>343</v>
      </c>
      <c r="I2553">
        <v>58</v>
      </c>
      <c r="J2553" t="s">
        <v>15</v>
      </c>
      <c r="K2553">
        <v>2134</v>
      </c>
      <c r="L2553" t="s">
        <v>22</v>
      </c>
    </row>
    <row r="2554" spans="1:12" x14ac:dyDescent="0.3">
      <c r="A2554">
        <v>2010</v>
      </c>
      <c r="B2554" t="s">
        <v>17</v>
      </c>
      <c r="C2554">
        <v>1591</v>
      </c>
      <c r="D2554">
        <v>3654</v>
      </c>
      <c r="E2554">
        <v>27.2</v>
      </c>
      <c r="F2554" t="s">
        <v>13</v>
      </c>
      <c r="G2554" t="s">
        <v>14</v>
      </c>
      <c r="H2554">
        <v>23099</v>
      </c>
      <c r="I2554">
        <v>59</v>
      </c>
      <c r="J2554" t="s">
        <v>15</v>
      </c>
      <c r="K2554">
        <v>45186</v>
      </c>
      <c r="L2554" t="s">
        <v>22</v>
      </c>
    </row>
    <row r="2555" spans="1:12" x14ac:dyDescent="0.3">
      <c r="A2555">
        <v>2011</v>
      </c>
      <c r="B2555" t="s">
        <v>17</v>
      </c>
      <c r="C2555">
        <v>1298</v>
      </c>
      <c r="D2555">
        <v>3654</v>
      </c>
      <c r="E2555">
        <v>27</v>
      </c>
      <c r="F2555" t="s">
        <v>13</v>
      </c>
      <c r="G2555" t="s">
        <v>14</v>
      </c>
      <c r="H2555">
        <v>117825.84</v>
      </c>
      <c r="I2555">
        <v>50</v>
      </c>
      <c r="J2555" t="s">
        <v>15</v>
      </c>
      <c r="K2555">
        <v>238542</v>
      </c>
      <c r="L2555" t="s">
        <v>22</v>
      </c>
    </row>
    <row r="2556" spans="1:12" x14ac:dyDescent="0.3">
      <c r="A2556">
        <v>2012</v>
      </c>
      <c r="B2556" t="s">
        <v>46</v>
      </c>
      <c r="C2556">
        <v>4</v>
      </c>
      <c r="D2556">
        <v>3654</v>
      </c>
      <c r="E2556">
        <v>27</v>
      </c>
      <c r="F2556" t="s">
        <v>59</v>
      </c>
      <c r="G2556" t="s">
        <v>14</v>
      </c>
      <c r="H2556">
        <v>336</v>
      </c>
      <c r="I2556">
        <v>54</v>
      </c>
      <c r="J2556" t="s">
        <v>15</v>
      </c>
      <c r="K2556">
        <v>1516</v>
      </c>
      <c r="L2556" t="s">
        <v>22</v>
      </c>
    </row>
    <row r="2557" spans="1:12" x14ac:dyDescent="0.3">
      <c r="A2557">
        <v>2013</v>
      </c>
      <c r="B2557" t="s">
        <v>46</v>
      </c>
      <c r="C2557">
        <v>1122</v>
      </c>
      <c r="D2557">
        <v>233</v>
      </c>
      <c r="E2557">
        <v>27</v>
      </c>
      <c r="F2557" t="s">
        <v>59</v>
      </c>
      <c r="G2557" t="s">
        <v>14</v>
      </c>
      <c r="H2557">
        <v>22594</v>
      </c>
      <c r="I2557">
        <v>53</v>
      </c>
      <c r="J2557" t="s">
        <v>15</v>
      </c>
      <c r="K2557">
        <v>57259</v>
      </c>
      <c r="L2557" t="s">
        <v>22</v>
      </c>
    </row>
    <row r="2558" spans="1:12" x14ac:dyDescent="0.3">
      <c r="A2558">
        <v>2014</v>
      </c>
      <c r="B2558" t="s">
        <v>46</v>
      </c>
      <c r="C2558">
        <v>917</v>
      </c>
      <c r="D2558">
        <v>233</v>
      </c>
      <c r="E2558">
        <v>27</v>
      </c>
      <c r="F2558" t="s">
        <v>59</v>
      </c>
      <c r="G2558" t="s">
        <v>14</v>
      </c>
      <c r="H2558">
        <v>116481.07</v>
      </c>
      <c r="I2558">
        <v>52</v>
      </c>
      <c r="J2558" t="s">
        <v>15</v>
      </c>
      <c r="K2558">
        <v>234779</v>
      </c>
      <c r="L2558" t="s">
        <v>22</v>
      </c>
    </row>
    <row r="2559" spans="1:12" x14ac:dyDescent="0.3">
      <c r="A2559">
        <v>2015</v>
      </c>
      <c r="B2559" t="s">
        <v>46</v>
      </c>
      <c r="C2559">
        <v>819</v>
      </c>
      <c r="D2559">
        <v>233</v>
      </c>
      <c r="E2559">
        <v>27</v>
      </c>
      <c r="F2559" t="s">
        <v>59</v>
      </c>
      <c r="G2559" t="s">
        <v>14</v>
      </c>
      <c r="H2559">
        <v>316</v>
      </c>
      <c r="I2559">
        <v>51</v>
      </c>
      <c r="J2559" t="s">
        <v>15</v>
      </c>
      <c r="K2559">
        <v>1493</v>
      </c>
      <c r="L2559" t="s">
        <v>22</v>
      </c>
    </row>
    <row r="2560" spans="1:12" x14ac:dyDescent="0.3">
      <c r="A2560">
        <v>2016</v>
      </c>
      <c r="B2560" t="s">
        <v>46</v>
      </c>
      <c r="C2560">
        <v>619</v>
      </c>
      <c r="D2560">
        <v>234</v>
      </c>
      <c r="E2560">
        <v>27</v>
      </c>
      <c r="F2560" t="s">
        <v>59</v>
      </c>
      <c r="G2560" t="s">
        <v>14</v>
      </c>
      <c r="H2560">
        <v>21400</v>
      </c>
      <c r="I2560">
        <v>57</v>
      </c>
      <c r="J2560" t="s">
        <v>15</v>
      </c>
      <c r="K2560">
        <v>64409</v>
      </c>
      <c r="L2560" t="s">
        <v>22</v>
      </c>
    </row>
    <row r="2561" spans="1:12" x14ac:dyDescent="0.3">
      <c r="A2561">
        <v>2017</v>
      </c>
      <c r="B2561" t="s">
        <v>46</v>
      </c>
      <c r="C2561">
        <v>391</v>
      </c>
      <c r="D2561">
        <v>234</v>
      </c>
      <c r="E2561">
        <v>27.2</v>
      </c>
      <c r="F2561" t="s">
        <v>59</v>
      </c>
      <c r="G2561" t="s">
        <v>14</v>
      </c>
      <c r="H2561">
        <v>122102</v>
      </c>
      <c r="I2561">
        <v>57</v>
      </c>
      <c r="J2561" t="s">
        <v>15</v>
      </c>
      <c r="K2561">
        <v>249978</v>
      </c>
      <c r="L2561" t="s">
        <v>22</v>
      </c>
    </row>
    <row r="2562" spans="1:12" x14ac:dyDescent="0.3">
      <c r="A2562">
        <v>2016</v>
      </c>
      <c r="B2562" t="s">
        <v>46</v>
      </c>
      <c r="C2562">
        <v>211</v>
      </c>
      <c r="D2562">
        <v>234</v>
      </c>
      <c r="E2562">
        <v>27.2</v>
      </c>
      <c r="F2562" t="s">
        <v>59</v>
      </c>
      <c r="G2562" t="s">
        <v>14</v>
      </c>
      <c r="H2562">
        <v>382</v>
      </c>
      <c r="I2562">
        <v>60</v>
      </c>
      <c r="J2562" t="s">
        <v>15</v>
      </c>
      <c r="K2562">
        <v>637</v>
      </c>
      <c r="L2562" t="s">
        <v>22</v>
      </c>
    </row>
    <row r="2563" spans="1:12" x14ac:dyDescent="0.3">
      <c r="A2563">
        <v>2017</v>
      </c>
      <c r="B2563" t="s">
        <v>46</v>
      </c>
      <c r="C2563">
        <v>153</v>
      </c>
      <c r="D2563">
        <v>3105</v>
      </c>
      <c r="E2563">
        <v>27.2</v>
      </c>
      <c r="F2563" t="s">
        <v>59</v>
      </c>
      <c r="G2563" t="s">
        <v>14</v>
      </c>
      <c r="H2563">
        <v>19578</v>
      </c>
      <c r="I2563">
        <v>57</v>
      </c>
      <c r="J2563" t="s">
        <v>15</v>
      </c>
      <c r="K2563">
        <v>43311</v>
      </c>
      <c r="L2563" t="s">
        <v>22</v>
      </c>
    </row>
    <row r="2564" spans="1:12" x14ac:dyDescent="0.3">
      <c r="A2564">
        <v>2018</v>
      </c>
      <c r="B2564" t="s">
        <v>46</v>
      </c>
      <c r="C2564">
        <v>111</v>
      </c>
      <c r="D2564">
        <v>3105</v>
      </c>
      <c r="E2564">
        <v>27.1</v>
      </c>
      <c r="F2564" t="s">
        <v>59</v>
      </c>
      <c r="G2564" t="s">
        <v>14</v>
      </c>
      <c r="H2564">
        <v>121037</v>
      </c>
      <c r="I2564">
        <v>57</v>
      </c>
      <c r="J2564" t="s">
        <v>15</v>
      </c>
      <c r="K2564">
        <v>24848</v>
      </c>
      <c r="L2564" t="s">
        <v>22</v>
      </c>
    </row>
    <row r="2565" spans="1:12" x14ac:dyDescent="0.3">
      <c r="A2565">
        <v>2013</v>
      </c>
      <c r="B2565" t="s">
        <v>46</v>
      </c>
      <c r="C2565">
        <v>76</v>
      </c>
      <c r="D2565">
        <v>3105</v>
      </c>
      <c r="E2565">
        <v>27.1</v>
      </c>
      <c r="F2565" t="s">
        <v>59</v>
      </c>
      <c r="G2565" t="s">
        <v>14</v>
      </c>
      <c r="H2565">
        <v>231</v>
      </c>
      <c r="I2565">
        <v>54</v>
      </c>
      <c r="J2565" t="s">
        <v>15</v>
      </c>
      <c r="K2565">
        <v>761</v>
      </c>
      <c r="L2565" t="s">
        <v>22</v>
      </c>
    </row>
    <row r="2566" spans="1:12" x14ac:dyDescent="0.3">
      <c r="A2566">
        <v>2014</v>
      </c>
      <c r="B2566" t="s">
        <v>46</v>
      </c>
      <c r="C2566">
        <v>53</v>
      </c>
      <c r="D2566">
        <v>236</v>
      </c>
      <c r="E2566">
        <v>27.1</v>
      </c>
      <c r="F2566" t="s">
        <v>59</v>
      </c>
      <c r="G2566" t="s">
        <v>14</v>
      </c>
      <c r="H2566">
        <v>18951</v>
      </c>
      <c r="I2566">
        <v>54.5</v>
      </c>
      <c r="J2566" t="s">
        <v>15</v>
      </c>
      <c r="K2566">
        <v>45608</v>
      </c>
      <c r="L2566" t="s">
        <v>22</v>
      </c>
    </row>
    <row r="2567" spans="1:12" x14ac:dyDescent="0.3">
      <c r="A2567">
        <v>2015</v>
      </c>
      <c r="B2567" t="s">
        <v>46</v>
      </c>
      <c r="C2567">
        <v>2688</v>
      </c>
      <c r="D2567">
        <v>236</v>
      </c>
      <c r="E2567">
        <v>26.8</v>
      </c>
      <c r="F2567" t="s">
        <v>59</v>
      </c>
      <c r="G2567" t="s">
        <v>14</v>
      </c>
      <c r="H2567">
        <v>110579</v>
      </c>
      <c r="I2567">
        <v>56.6</v>
      </c>
      <c r="J2567" t="s">
        <v>15</v>
      </c>
      <c r="K2567">
        <v>234581</v>
      </c>
      <c r="L2567" t="s">
        <v>22</v>
      </c>
    </row>
    <row r="2568" spans="1:12" x14ac:dyDescent="0.3">
      <c r="A2568">
        <v>2016</v>
      </c>
      <c r="B2568" t="s">
        <v>46</v>
      </c>
      <c r="C2568">
        <v>2311</v>
      </c>
      <c r="D2568">
        <v>2903.1</v>
      </c>
      <c r="E2568">
        <v>26.8</v>
      </c>
      <c r="F2568" t="s">
        <v>59</v>
      </c>
      <c r="G2568" t="s">
        <v>14</v>
      </c>
      <c r="H2568">
        <v>221</v>
      </c>
      <c r="I2568">
        <v>55.5</v>
      </c>
      <c r="J2568" t="s">
        <v>15</v>
      </c>
      <c r="K2568">
        <v>646</v>
      </c>
      <c r="L2568" t="s">
        <v>22</v>
      </c>
    </row>
    <row r="2569" spans="1:12" x14ac:dyDescent="0.3">
      <c r="A2569">
        <v>2017</v>
      </c>
      <c r="B2569" t="s">
        <v>46</v>
      </c>
      <c r="C2569">
        <v>2188</v>
      </c>
      <c r="D2569">
        <v>2903.1</v>
      </c>
      <c r="E2569">
        <v>26.8</v>
      </c>
      <c r="F2569" t="s">
        <v>59</v>
      </c>
      <c r="G2569" t="s">
        <v>14</v>
      </c>
      <c r="H2569">
        <v>15362</v>
      </c>
      <c r="I2569">
        <v>58.5</v>
      </c>
      <c r="J2569" t="s">
        <v>15</v>
      </c>
      <c r="K2569">
        <v>43562</v>
      </c>
      <c r="L2569" t="s">
        <v>22</v>
      </c>
    </row>
    <row r="2570" spans="1:12" x14ac:dyDescent="0.3">
      <c r="A2570">
        <v>2018</v>
      </c>
      <c r="B2570" t="s">
        <v>46</v>
      </c>
      <c r="C2570">
        <v>1998</v>
      </c>
      <c r="D2570">
        <v>2903.1</v>
      </c>
      <c r="E2570">
        <v>37</v>
      </c>
      <c r="F2570" t="s">
        <v>59</v>
      </c>
      <c r="G2570" t="s">
        <v>14</v>
      </c>
      <c r="H2570">
        <v>120373</v>
      </c>
      <c r="I2570">
        <v>59.5</v>
      </c>
      <c r="J2570" t="s">
        <v>15</v>
      </c>
      <c r="K2570">
        <v>200000</v>
      </c>
      <c r="L2570" t="s">
        <v>22</v>
      </c>
    </row>
    <row r="2571" spans="1:12" x14ac:dyDescent="0.3">
      <c r="A2571">
        <v>2004</v>
      </c>
      <c r="B2571" t="s">
        <v>46</v>
      </c>
      <c r="C2571">
        <v>2006</v>
      </c>
      <c r="D2571">
        <v>2996.6</v>
      </c>
      <c r="E2571">
        <v>37</v>
      </c>
      <c r="F2571" t="s">
        <v>59</v>
      </c>
      <c r="G2571" t="s">
        <v>14</v>
      </c>
      <c r="H2571">
        <v>291</v>
      </c>
      <c r="I2571">
        <v>55</v>
      </c>
      <c r="J2571" t="s">
        <v>15</v>
      </c>
      <c r="K2571">
        <v>4847</v>
      </c>
      <c r="L2571" t="s">
        <v>22</v>
      </c>
    </row>
    <row r="2572" spans="1:12" x14ac:dyDescent="0.3">
      <c r="A2572">
        <v>2005</v>
      </c>
      <c r="B2572" t="s">
        <v>46</v>
      </c>
      <c r="C2572">
        <v>2034</v>
      </c>
      <c r="D2572">
        <v>2996.6</v>
      </c>
      <c r="E2572">
        <v>37</v>
      </c>
      <c r="F2572" t="s">
        <v>59</v>
      </c>
      <c r="G2572" t="s">
        <v>14</v>
      </c>
      <c r="H2572">
        <v>17231</v>
      </c>
      <c r="I2572">
        <v>53</v>
      </c>
      <c r="J2572" t="s">
        <v>15</v>
      </c>
      <c r="K2572">
        <v>51239</v>
      </c>
      <c r="L2572" t="s">
        <v>22</v>
      </c>
    </row>
    <row r="2573" spans="1:12" x14ac:dyDescent="0.3">
      <c r="A2573">
        <v>2006</v>
      </c>
      <c r="B2573" t="s">
        <v>46</v>
      </c>
      <c r="C2573">
        <v>2035</v>
      </c>
      <c r="D2573">
        <v>2996.6</v>
      </c>
      <c r="E2573">
        <v>38</v>
      </c>
      <c r="F2573" t="s">
        <v>59</v>
      </c>
      <c r="G2573" t="s">
        <v>14</v>
      </c>
      <c r="H2573">
        <v>119359</v>
      </c>
      <c r="I2573">
        <v>53.5</v>
      </c>
      <c r="J2573" t="s">
        <v>15</v>
      </c>
      <c r="K2573">
        <v>216396</v>
      </c>
      <c r="L2573" t="s">
        <v>22</v>
      </c>
    </row>
    <row r="2574" spans="1:12" x14ac:dyDescent="0.3">
      <c r="A2574">
        <v>2007</v>
      </c>
      <c r="B2574" t="s">
        <v>46</v>
      </c>
      <c r="C2574">
        <v>2074</v>
      </c>
      <c r="D2574">
        <v>3296</v>
      </c>
      <c r="E2574">
        <v>38</v>
      </c>
      <c r="F2574" t="s">
        <v>59</v>
      </c>
      <c r="G2574" t="s">
        <v>14</v>
      </c>
      <c r="H2574">
        <v>283</v>
      </c>
      <c r="I2574">
        <v>52.5</v>
      </c>
      <c r="J2574" t="s">
        <v>15</v>
      </c>
      <c r="K2574">
        <v>2644</v>
      </c>
      <c r="L2574" t="s">
        <v>22</v>
      </c>
    </row>
    <row r="2575" spans="1:12" x14ac:dyDescent="0.3">
      <c r="A2575">
        <v>2008</v>
      </c>
      <c r="B2575" t="s">
        <v>46</v>
      </c>
      <c r="C2575">
        <v>2127</v>
      </c>
      <c r="D2575">
        <v>3550</v>
      </c>
      <c r="E2575">
        <v>38</v>
      </c>
      <c r="F2575" t="s">
        <v>59</v>
      </c>
      <c r="G2575" t="s">
        <v>14</v>
      </c>
      <c r="H2575">
        <v>17690</v>
      </c>
      <c r="I2575">
        <v>56</v>
      </c>
      <c r="J2575" t="s">
        <v>15</v>
      </c>
      <c r="K2575">
        <v>44235</v>
      </c>
      <c r="L2575" t="s">
        <v>22</v>
      </c>
    </row>
    <row r="2576" spans="1:12" x14ac:dyDescent="0.3">
      <c r="A2576">
        <v>2009</v>
      </c>
      <c r="B2576" t="s">
        <v>46</v>
      </c>
      <c r="C2576">
        <v>2090</v>
      </c>
      <c r="D2576">
        <v>3550</v>
      </c>
      <c r="E2576">
        <v>39</v>
      </c>
      <c r="F2576" t="s">
        <v>59</v>
      </c>
      <c r="G2576" t="s">
        <v>14</v>
      </c>
      <c r="H2576">
        <v>7157</v>
      </c>
      <c r="I2576">
        <v>57</v>
      </c>
      <c r="J2576" t="s">
        <v>15</v>
      </c>
      <c r="K2576">
        <v>203317</v>
      </c>
      <c r="L2576" t="s">
        <v>22</v>
      </c>
    </row>
    <row r="2577" spans="1:12" x14ac:dyDescent="0.3">
      <c r="A2577">
        <v>2010</v>
      </c>
      <c r="B2577" t="s">
        <v>46</v>
      </c>
      <c r="C2577">
        <v>2059</v>
      </c>
      <c r="D2577">
        <v>3550</v>
      </c>
      <c r="E2577">
        <v>39</v>
      </c>
      <c r="F2577" t="s">
        <v>59</v>
      </c>
      <c r="G2577" t="s">
        <v>14</v>
      </c>
      <c r="H2577">
        <v>8700</v>
      </c>
      <c r="I2577">
        <v>57.5</v>
      </c>
      <c r="J2577" t="s">
        <v>15</v>
      </c>
      <c r="K2577">
        <v>2134</v>
      </c>
      <c r="L2577" t="s">
        <v>22</v>
      </c>
    </row>
    <row r="2578" spans="1:12" x14ac:dyDescent="0.3">
      <c r="A2578">
        <v>2011</v>
      </c>
      <c r="B2578" t="s">
        <v>46</v>
      </c>
      <c r="C2578">
        <v>2050</v>
      </c>
      <c r="D2578">
        <v>3654</v>
      </c>
      <c r="E2578">
        <v>39</v>
      </c>
      <c r="F2578" t="s">
        <v>59</v>
      </c>
      <c r="G2578" t="s">
        <v>14</v>
      </c>
      <c r="H2578">
        <v>41266</v>
      </c>
      <c r="I2578">
        <v>57</v>
      </c>
      <c r="J2578" t="s">
        <v>15</v>
      </c>
      <c r="K2578">
        <v>45186</v>
      </c>
      <c r="L2578" t="s">
        <v>22</v>
      </c>
    </row>
    <row r="2579" spans="1:12" x14ac:dyDescent="0.3">
      <c r="A2579">
        <v>2012</v>
      </c>
      <c r="B2579" t="s">
        <v>46</v>
      </c>
      <c r="C2579">
        <v>1865</v>
      </c>
      <c r="D2579">
        <v>3654</v>
      </c>
      <c r="E2579">
        <v>40</v>
      </c>
      <c r="F2579" t="s">
        <v>59</v>
      </c>
      <c r="G2579" t="s">
        <v>14</v>
      </c>
      <c r="H2579">
        <v>8838</v>
      </c>
      <c r="I2579">
        <v>55</v>
      </c>
      <c r="J2579" t="s">
        <v>15</v>
      </c>
      <c r="K2579">
        <v>238542</v>
      </c>
      <c r="L2579" t="s">
        <v>22</v>
      </c>
    </row>
    <row r="2580" spans="1:12" x14ac:dyDescent="0.3">
      <c r="A2580">
        <v>2013</v>
      </c>
      <c r="B2580" t="s">
        <v>46</v>
      </c>
      <c r="C2580">
        <v>1841</v>
      </c>
      <c r="D2580">
        <v>3654</v>
      </c>
      <c r="E2580">
        <v>40</v>
      </c>
      <c r="F2580" t="s">
        <v>59</v>
      </c>
      <c r="G2580" t="s">
        <v>14</v>
      </c>
      <c r="H2580">
        <v>8954</v>
      </c>
      <c r="I2580">
        <v>56</v>
      </c>
      <c r="J2580" t="s">
        <v>15</v>
      </c>
      <c r="K2580">
        <v>1516</v>
      </c>
      <c r="L2580" t="s">
        <v>22</v>
      </c>
    </row>
    <row r="2581" spans="1:12" x14ac:dyDescent="0.3">
      <c r="A2581">
        <v>2014</v>
      </c>
      <c r="B2581" t="s">
        <v>46</v>
      </c>
      <c r="C2581">
        <v>1799</v>
      </c>
      <c r="D2581">
        <v>233</v>
      </c>
      <c r="E2581">
        <v>40</v>
      </c>
      <c r="F2581" t="s">
        <v>44</v>
      </c>
      <c r="G2581" t="s">
        <v>14</v>
      </c>
      <c r="H2581">
        <v>42915</v>
      </c>
      <c r="I2581">
        <v>54</v>
      </c>
      <c r="J2581" t="s">
        <v>15</v>
      </c>
      <c r="K2581">
        <v>57259</v>
      </c>
      <c r="L2581" t="s">
        <v>22</v>
      </c>
    </row>
    <row r="2582" spans="1:12" x14ac:dyDescent="0.3">
      <c r="A2582">
        <v>2015</v>
      </c>
      <c r="B2582" t="s">
        <v>46</v>
      </c>
      <c r="C2582">
        <v>1468</v>
      </c>
      <c r="D2582">
        <v>233</v>
      </c>
      <c r="E2582">
        <v>41</v>
      </c>
      <c r="F2582" t="s">
        <v>44</v>
      </c>
      <c r="G2582" t="s">
        <v>14</v>
      </c>
      <c r="H2582">
        <v>9230</v>
      </c>
      <c r="I2582">
        <v>58</v>
      </c>
      <c r="J2582" t="s">
        <v>15</v>
      </c>
      <c r="K2582">
        <v>234779</v>
      </c>
      <c r="L2582" t="s">
        <v>22</v>
      </c>
    </row>
    <row r="2583" spans="1:12" x14ac:dyDescent="0.3">
      <c r="A2583">
        <v>2016</v>
      </c>
      <c r="B2583" t="s">
        <v>46</v>
      </c>
      <c r="C2583">
        <v>568</v>
      </c>
      <c r="D2583">
        <v>233</v>
      </c>
      <c r="E2583">
        <v>41</v>
      </c>
      <c r="F2583" t="s">
        <v>44</v>
      </c>
      <c r="G2583" t="s">
        <v>14</v>
      </c>
      <c r="H2583">
        <v>44313</v>
      </c>
      <c r="I2583">
        <v>58</v>
      </c>
      <c r="J2583" t="s">
        <v>15</v>
      </c>
      <c r="K2583">
        <v>1493</v>
      </c>
      <c r="L2583" t="s">
        <v>22</v>
      </c>
    </row>
    <row r="2584" spans="1:12" x14ac:dyDescent="0.3">
      <c r="A2584">
        <v>2017</v>
      </c>
      <c r="B2584" t="s">
        <v>46</v>
      </c>
      <c r="C2584">
        <v>407</v>
      </c>
      <c r="D2584">
        <v>234</v>
      </c>
      <c r="E2584">
        <v>41</v>
      </c>
      <c r="F2584" t="s">
        <v>44</v>
      </c>
      <c r="G2584" t="s">
        <v>14</v>
      </c>
      <c r="H2584">
        <v>45820</v>
      </c>
      <c r="I2584">
        <v>59</v>
      </c>
      <c r="J2584" t="s">
        <v>15</v>
      </c>
      <c r="K2584">
        <v>64409</v>
      </c>
      <c r="L2584" t="s">
        <v>22</v>
      </c>
    </row>
    <row r="2585" spans="1:12" x14ac:dyDescent="0.3">
      <c r="A2585">
        <v>2016</v>
      </c>
      <c r="B2585" t="s">
        <v>46</v>
      </c>
      <c r="C2585">
        <v>177</v>
      </c>
      <c r="D2585">
        <v>234</v>
      </c>
      <c r="E2585">
        <v>42</v>
      </c>
      <c r="F2585" t="s">
        <v>44</v>
      </c>
      <c r="G2585" t="s">
        <v>14</v>
      </c>
      <c r="H2585">
        <v>49084</v>
      </c>
      <c r="I2585">
        <v>50</v>
      </c>
      <c r="J2585" t="s">
        <v>15</v>
      </c>
      <c r="K2585">
        <v>249978</v>
      </c>
      <c r="L2585" t="s">
        <v>22</v>
      </c>
    </row>
    <row r="2586" spans="1:12" x14ac:dyDescent="0.3">
      <c r="A2586">
        <v>2017</v>
      </c>
      <c r="B2586" t="s">
        <v>46</v>
      </c>
      <c r="C2586">
        <v>51</v>
      </c>
      <c r="D2586">
        <v>234</v>
      </c>
      <c r="E2586">
        <v>42</v>
      </c>
      <c r="F2586" t="s">
        <v>44</v>
      </c>
      <c r="G2586" t="s">
        <v>14</v>
      </c>
      <c r="H2586">
        <v>86311</v>
      </c>
      <c r="I2586">
        <v>54</v>
      </c>
      <c r="J2586" t="s">
        <v>15</v>
      </c>
      <c r="K2586">
        <v>637</v>
      </c>
      <c r="L2586" t="s">
        <v>22</v>
      </c>
    </row>
    <row r="2587" spans="1:12" x14ac:dyDescent="0.3">
      <c r="A2587">
        <v>2016</v>
      </c>
      <c r="B2587" t="s">
        <v>46</v>
      </c>
      <c r="C2587">
        <v>173</v>
      </c>
      <c r="D2587">
        <v>3105</v>
      </c>
      <c r="E2587">
        <v>42</v>
      </c>
      <c r="F2587" t="s">
        <v>44</v>
      </c>
      <c r="G2587" t="s">
        <v>14</v>
      </c>
      <c r="H2587">
        <v>57642</v>
      </c>
      <c r="I2587">
        <v>53</v>
      </c>
      <c r="J2587" t="s">
        <v>15</v>
      </c>
      <c r="K2587">
        <v>43311</v>
      </c>
      <c r="L2587" t="s">
        <v>22</v>
      </c>
    </row>
    <row r="2588" spans="1:12" x14ac:dyDescent="0.3">
      <c r="A2588">
        <v>2017</v>
      </c>
      <c r="B2588" t="s">
        <v>46</v>
      </c>
      <c r="C2588">
        <v>201</v>
      </c>
      <c r="D2588">
        <v>3105</v>
      </c>
      <c r="E2588">
        <v>43</v>
      </c>
      <c r="F2588" t="s">
        <v>44</v>
      </c>
      <c r="G2588" t="s">
        <v>14</v>
      </c>
      <c r="H2588">
        <v>58405</v>
      </c>
      <c r="I2588">
        <v>52</v>
      </c>
      <c r="J2588" t="s">
        <v>15</v>
      </c>
      <c r="K2588">
        <v>24848</v>
      </c>
      <c r="L2588" t="s">
        <v>22</v>
      </c>
    </row>
    <row r="2589" spans="1:12" x14ac:dyDescent="0.3">
      <c r="A2589">
        <v>2018</v>
      </c>
      <c r="B2589" t="s">
        <v>46</v>
      </c>
      <c r="C2589">
        <v>206</v>
      </c>
      <c r="D2589">
        <v>3105</v>
      </c>
      <c r="E2589">
        <v>43</v>
      </c>
      <c r="F2589" t="s">
        <v>44</v>
      </c>
      <c r="G2589" t="s">
        <v>14</v>
      </c>
      <c r="H2589">
        <v>60751</v>
      </c>
      <c r="I2589">
        <v>51</v>
      </c>
      <c r="J2589" t="s">
        <v>15</v>
      </c>
      <c r="K2589">
        <v>761</v>
      </c>
      <c r="L2589" t="s">
        <v>22</v>
      </c>
    </row>
    <row r="2590" spans="1:12" x14ac:dyDescent="0.3">
      <c r="A2590">
        <v>2013</v>
      </c>
      <c r="B2590" t="s">
        <v>46</v>
      </c>
      <c r="C2590">
        <v>243</v>
      </c>
      <c r="D2590">
        <v>236</v>
      </c>
      <c r="E2590">
        <v>27</v>
      </c>
      <c r="F2590" t="s">
        <v>44</v>
      </c>
      <c r="G2590" t="s">
        <v>21</v>
      </c>
      <c r="H2590">
        <v>109506</v>
      </c>
      <c r="I2590">
        <v>57</v>
      </c>
      <c r="J2590" t="s">
        <v>15</v>
      </c>
      <c r="K2590">
        <v>45608</v>
      </c>
      <c r="L2590" t="s">
        <v>22</v>
      </c>
    </row>
    <row r="2591" spans="1:12" x14ac:dyDescent="0.3">
      <c r="A2591">
        <v>2014</v>
      </c>
      <c r="B2591" t="s">
        <v>46</v>
      </c>
      <c r="C2591">
        <v>123</v>
      </c>
      <c r="D2591">
        <v>236</v>
      </c>
      <c r="E2591">
        <v>27</v>
      </c>
      <c r="F2591" t="s">
        <v>44</v>
      </c>
      <c r="G2591" t="s">
        <v>21</v>
      </c>
      <c r="H2591">
        <v>114</v>
      </c>
      <c r="I2591">
        <v>57</v>
      </c>
      <c r="J2591" t="s">
        <v>15</v>
      </c>
      <c r="K2591">
        <v>234581</v>
      </c>
      <c r="L2591" t="s">
        <v>22</v>
      </c>
    </row>
    <row r="2592" spans="1:12" x14ac:dyDescent="0.3">
      <c r="A2592">
        <v>2015</v>
      </c>
      <c r="B2592" t="s">
        <v>46</v>
      </c>
      <c r="C2592">
        <v>82</v>
      </c>
      <c r="D2592">
        <v>2903.1</v>
      </c>
      <c r="E2592">
        <v>27</v>
      </c>
      <c r="F2592" t="s">
        <v>44</v>
      </c>
      <c r="G2592" t="s">
        <v>21</v>
      </c>
      <c r="H2592">
        <v>3</v>
      </c>
      <c r="I2592">
        <v>60</v>
      </c>
      <c r="J2592" t="s">
        <v>15</v>
      </c>
      <c r="K2592">
        <v>646</v>
      </c>
      <c r="L2592" t="s">
        <v>22</v>
      </c>
    </row>
    <row r="2593" spans="1:12" x14ac:dyDescent="0.3">
      <c r="A2593">
        <v>2016</v>
      </c>
      <c r="B2593" t="s">
        <v>46</v>
      </c>
      <c r="C2593">
        <v>74</v>
      </c>
      <c r="D2593">
        <v>2903.1</v>
      </c>
      <c r="E2593">
        <v>27</v>
      </c>
      <c r="F2593" t="s">
        <v>44</v>
      </c>
      <c r="G2593" t="s">
        <v>21</v>
      </c>
      <c r="H2593">
        <v>95</v>
      </c>
      <c r="I2593">
        <v>57</v>
      </c>
      <c r="J2593" t="s">
        <v>15</v>
      </c>
      <c r="K2593">
        <v>43562</v>
      </c>
      <c r="L2593" t="s">
        <v>22</v>
      </c>
    </row>
    <row r="2594" spans="1:12" x14ac:dyDescent="0.3">
      <c r="A2594">
        <v>2017</v>
      </c>
      <c r="B2594" t="s">
        <v>46</v>
      </c>
      <c r="C2594">
        <v>18</v>
      </c>
      <c r="D2594">
        <v>2903.1</v>
      </c>
      <c r="E2594">
        <v>27</v>
      </c>
      <c r="F2594" t="s">
        <v>44</v>
      </c>
      <c r="G2594" t="s">
        <v>21</v>
      </c>
      <c r="H2594">
        <v>19</v>
      </c>
      <c r="I2594">
        <v>57</v>
      </c>
      <c r="J2594" t="s">
        <v>15</v>
      </c>
      <c r="K2594">
        <v>200000</v>
      </c>
      <c r="L2594" t="s">
        <v>22</v>
      </c>
    </row>
    <row r="2595" spans="1:12" x14ac:dyDescent="0.3">
      <c r="A2595">
        <v>2018</v>
      </c>
      <c r="B2595" t="s">
        <v>46</v>
      </c>
      <c r="C2595">
        <v>37</v>
      </c>
      <c r="D2595">
        <v>2996.6</v>
      </c>
      <c r="E2595">
        <v>27</v>
      </c>
      <c r="F2595" t="s">
        <v>44</v>
      </c>
      <c r="G2595" t="s">
        <v>21</v>
      </c>
      <c r="H2595">
        <v>54</v>
      </c>
      <c r="I2595">
        <v>54</v>
      </c>
      <c r="J2595" t="s">
        <v>15</v>
      </c>
      <c r="K2595">
        <v>4847</v>
      </c>
      <c r="L2595" t="s">
        <v>22</v>
      </c>
    </row>
    <row r="2596" spans="1:12" x14ac:dyDescent="0.3">
      <c r="A2596">
        <v>2004</v>
      </c>
      <c r="B2596" t="s">
        <v>46</v>
      </c>
      <c r="C2596">
        <v>35</v>
      </c>
      <c r="D2596">
        <v>2996.6</v>
      </c>
      <c r="E2596">
        <v>27.2</v>
      </c>
      <c r="F2596" t="s">
        <v>44</v>
      </c>
      <c r="G2596" t="s">
        <v>21</v>
      </c>
      <c r="H2596">
        <v>13</v>
      </c>
      <c r="I2596">
        <v>54.5</v>
      </c>
      <c r="J2596" t="s">
        <v>15</v>
      </c>
      <c r="K2596">
        <v>51239</v>
      </c>
      <c r="L2596" t="s">
        <v>22</v>
      </c>
    </row>
    <row r="2597" spans="1:12" x14ac:dyDescent="0.3">
      <c r="A2597">
        <v>2005</v>
      </c>
      <c r="B2597" t="s">
        <v>46</v>
      </c>
      <c r="C2597">
        <v>5974</v>
      </c>
      <c r="D2597">
        <v>2996.6</v>
      </c>
      <c r="E2597">
        <v>27.2</v>
      </c>
      <c r="F2597" t="s">
        <v>44</v>
      </c>
      <c r="G2597" t="s">
        <v>21</v>
      </c>
      <c r="H2597">
        <v>123</v>
      </c>
      <c r="I2597">
        <v>56.6</v>
      </c>
      <c r="J2597" t="s">
        <v>15</v>
      </c>
      <c r="K2597">
        <v>216396</v>
      </c>
      <c r="L2597" t="s">
        <v>22</v>
      </c>
    </row>
    <row r="2598" spans="1:12" x14ac:dyDescent="0.3">
      <c r="A2598">
        <v>2006</v>
      </c>
      <c r="B2598" t="s">
        <v>46</v>
      </c>
      <c r="C2598">
        <v>6631</v>
      </c>
      <c r="D2598">
        <v>2903.1</v>
      </c>
      <c r="E2598">
        <v>27.2</v>
      </c>
      <c r="F2598" t="s">
        <v>44</v>
      </c>
      <c r="G2598" t="s">
        <v>21</v>
      </c>
      <c r="H2598">
        <v>19</v>
      </c>
      <c r="I2598">
        <v>55.5</v>
      </c>
      <c r="J2598" t="s">
        <v>15</v>
      </c>
      <c r="K2598">
        <v>2644</v>
      </c>
      <c r="L2598" t="s">
        <v>22</v>
      </c>
    </row>
    <row r="2599" spans="1:12" x14ac:dyDescent="0.3">
      <c r="A2599">
        <v>2007</v>
      </c>
      <c r="B2599" t="s">
        <v>46</v>
      </c>
      <c r="C2599">
        <v>6705</v>
      </c>
      <c r="D2599">
        <v>2903.1</v>
      </c>
      <c r="E2599">
        <v>27</v>
      </c>
      <c r="F2599" t="s">
        <v>44</v>
      </c>
      <c r="G2599" t="s">
        <v>21</v>
      </c>
      <c r="H2599">
        <v>32</v>
      </c>
      <c r="I2599">
        <v>58.5</v>
      </c>
      <c r="J2599" t="s">
        <v>15</v>
      </c>
      <c r="K2599">
        <v>44235</v>
      </c>
      <c r="L2599" t="s">
        <v>22</v>
      </c>
    </row>
    <row r="2600" spans="1:12" x14ac:dyDescent="0.3">
      <c r="A2600">
        <v>2008</v>
      </c>
      <c r="B2600" t="s">
        <v>46</v>
      </c>
      <c r="C2600">
        <v>5876</v>
      </c>
      <c r="D2600">
        <v>2903.1</v>
      </c>
      <c r="E2600">
        <v>27</v>
      </c>
      <c r="F2600" t="s">
        <v>44</v>
      </c>
      <c r="G2600" t="s">
        <v>21</v>
      </c>
      <c r="H2600">
        <v>8</v>
      </c>
      <c r="I2600">
        <v>59.5</v>
      </c>
      <c r="J2600" t="s">
        <v>15</v>
      </c>
      <c r="K2600">
        <v>203317</v>
      </c>
      <c r="L2600" t="s">
        <v>22</v>
      </c>
    </row>
    <row r="2601" spans="1:12" x14ac:dyDescent="0.3">
      <c r="A2601">
        <v>2009</v>
      </c>
      <c r="B2601" t="s">
        <v>46</v>
      </c>
      <c r="C2601">
        <v>326</v>
      </c>
      <c r="D2601">
        <v>2996.6</v>
      </c>
      <c r="E2601">
        <v>27</v>
      </c>
      <c r="F2601" t="s">
        <v>44</v>
      </c>
      <c r="G2601" t="s">
        <v>21</v>
      </c>
      <c r="H2601">
        <v>50</v>
      </c>
      <c r="I2601">
        <v>55</v>
      </c>
      <c r="J2601" t="s">
        <v>15</v>
      </c>
      <c r="K2601">
        <v>2134</v>
      </c>
      <c r="L2601" t="s">
        <v>22</v>
      </c>
    </row>
    <row r="2602" spans="1:12" x14ac:dyDescent="0.3">
      <c r="A2602">
        <v>2010</v>
      </c>
      <c r="B2602" t="s">
        <v>46</v>
      </c>
      <c r="C2602">
        <v>6470</v>
      </c>
      <c r="D2602">
        <v>2996.6</v>
      </c>
      <c r="E2602">
        <v>27</v>
      </c>
      <c r="F2602" t="s">
        <v>59</v>
      </c>
      <c r="G2602" t="s">
        <v>21</v>
      </c>
      <c r="H2602">
        <v>10</v>
      </c>
      <c r="I2602">
        <v>53</v>
      </c>
      <c r="J2602" t="s">
        <v>15</v>
      </c>
      <c r="K2602">
        <v>45186</v>
      </c>
      <c r="L2602" t="s">
        <v>22</v>
      </c>
    </row>
    <row r="2603" spans="1:12" x14ac:dyDescent="0.3">
      <c r="A2603">
        <v>2011</v>
      </c>
      <c r="B2603" t="s">
        <v>46</v>
      </c>
      <c r="C2603">
        <v>6709</v>
      </c>
      <c r="D2603">
        <v>2996.6</v>
      </c>
      <c r="E2603">
        <v>27</v>
      </c>
      <c r="F2603" t="s">
        <v>59</v>
      </c>
      <c r="G2603" t="s">
        <v>21</v>
      </c>
      <c r="H2603">
        <v>29</v>
      </c>
      <c r="I2603">
        <v>53.5</v>
      </c>
      <c r="J2603" t="s">
        <v>15</v>
      </c>
      <c r="K2603">
        <v>238542</v>
      </c>
      <c r="L2603" t="s">
        <v>22</v>
      </c>
    </row>
    <row r="2604" spans="1:12" x14ac:dyDescent="0.3">
      <c r="A2604">
        <v>2012</v>
      </c>
      <c r="B2604" t="s">
        <v>46</v>
      </c>
      <c r="C2604">
        <v>6186</v>
      </c>
      <c r="D2604">
        <v>3522.8</v>
      </c>
      <c r="E2604">
        <v>27</v>
      </c>
      <c r="F2604" t="s">
        <v>59</v>
      </c>
      <c r="G2604" t="s">
        <v>21</v>
      </c>
      <c r="H2604">
        <v>44</v>
      </c>
      <c r="I2604">
        <v>52.5</v>
      </c>
      <c r="J2604" t="s">
        <v>15</v>
      </c>
      <c r="K2604">
        <v>1516</v>
      </c>
      <c r="L2604" t="s">
        <v>22</v>
      </c>
    </row>
    <row r="2605" spans="1:12" x14ac:dyDescent="0.3">
      <c r="A2605">
        <v>2013</v>
      </c>
      <c r="B2605" t="s">
        <v>46</v>
      </c>
      <c r="C2605">
        <v>6503</v>
      </c>
      <c r="D2605">
        <v>3522.8</v>
      </c>
      <c r="E2605">
        <v>27.2</v>
      </c>
      <c r="F2605" t="s">
        <v>59</v>
      </c>
      <c r="G2605" t="s">
        <v>21</v>
      </c>
      <c r="H2605">
        <v>33</v>
      </c>
      <c r="I2605">
        <v>56</v>
      </c>
      <c r="J2605" t="s">
        <v>15</v>
      </c>
      <c r="K2605">
        <v>57259</v>
      </c>
      <c r="L2605" t="s">
        <v>22</v>
      </c>
    </row>
    <row r="2606" spans="1:12" x14ac:dyDescent="0.3">
      <c r="A2606">
        <v>2014</v>
      </c>
      <c r="B2606" t="s">
        <v>46</v>
      </c>
      <c r="C2606">
        <v>5220</v>
      </c>
      <c r="D2606">
        <v>3522.8</v>
      </c>
      <c r="E2606">
        <v>27.2</v>
      </c>
      <c r="F2606" t="s">
        <v>59</v>
      </c>
      <c r="G2606" t="s">
        <v>21</v>
      </c>
      <c r="H2606">
        <v>14</v>
      </c>
      <c r="I2606">
        <v>57</v>
      </c>
      <c r="J2606" t="s">
        <v>15</v>
      </c>
      <c r="K2606">
        <v>234779</v>
      </c>
      <c r="L2606" t="s">
        <v>22</v>
      </c>
    </row>
    <row r="2607" spans="1:12" x14ac:dyDescent="0.3">
      <c r="A2607">
        <v>2015</v>
      </c>
      <c r="B2607" t="s">
        <v>46</v>
      </c>
      <c r="C2607">
        <v>4677</v>
      </c>
      <c r="D2607">
        <v>3729.8</v>
      </c>
      <c r="E2607">
        <v>27.2</v>
      </c>
      <c r="F2607" t="s">
        <v>59</v>
      </c>
      <c r="G2607" t="s">
        <v>21</v>
      </c>
      <c r="H2607">
        <v>56</v>
      </c>
      <c r="I2607">
        <v>57.5</v>
      </c>
      <c r="J2607" t="s">
        <v>15</v>
      </c>
      <c r="K2607">
        <v>1493</v>
      </c>
      <c r="L2607" t="s">
        <v>22</v>
      </c>
    </row>
    <row r="2608" spans="1:12" x14ac:dyDescent="0.3">
      <c r="A2608">
        <v>2016</v>
      </c>
      <c r="B2608" t="s">
        <v>46</v>
      </c>
      <c r="C2608">
        <v>4803</v>
      </c>
      <c r="D2608">
        <v>3729.8</v>
      </c>
      <c r="E2608">
        <v>27.1</v>
      </c>
      <c r="F2608" t="s">
        <v>59</v>
      </c>
      <c r="G2608" t="s">
        <v>21</v>
      </c>
      <c r="H2608">
        <v>26</v>
      </c>
      <c r="I2608">
        <v>57</v>
      </c>
      <c r="J2608" t="s">
        <v>15</v>
      </c>
      <c r="K2608">
        <v>64409</v>
      </c>
      <c r="L2608" t="s">
        <v>22</v>
      </c>
    </row>
    <row r="2609" spans="1:12" x14ac:dyDescent="0.3">
      <c r="A2609">
        <v>2017</v>
      </c>
      <c r="B2609" t="s">
        <v>46</v>
      </c>
      <c r="C2609">
        <v>3739</v>
      </c>
      <c r="D2609">
        <v>3729.8</v>
      </c>
      <c r="E2609">
        <v>27.1</v>
      </c>
      <c r="F2609" t="s">
        <v>59</v>
      </c>
      <c r="G2609" t="s">
        <v>21</v>
      </c>
      <c r="H2609">
        <v>98</v>
      </c>
      <c r="I2609">
        <v>55</v>
      </c>
      <c r="J2609" t="s">
        <v>15</v>
      </c>
      <c r="K2609">
        <v>249978</v>
      </c>
      <c r="L2609" t="s">
        <v>22</v>
      </c>
    </row>
    <row r="2610" spans="1:12" x14ac:dyDescent="0.3">
      <c r="A2610">
        <v>2017</v>
      </c>
      <c r="B2610" t="s">
        <v>46</v>
      </c>
      <c r="C2610">
        <v>3529</v>
      </c>
      <c r="D2610">
        <v>2746.2</v>
      </c>
      <c r="E2610">
        <v>27.1</v>
      </c>
      <c r="F2610" t="s">
        <v>59</v>
      </c>
      <c r="G2610" t="s">
        <v>21</v>
      </c>
      <c r="H2610">
        <v>3</v>
      </c>
      <c r="I2610">
        <v>56</v>
      </c>
      <c r="J2610" t="s">
        <v>15</v>
      </c>
      <c r="K2610">
        <v>200000</v>
      </c>
      <c r="L2610" t="s">
        <v>22</v>
      </c>
    </row>
    <row r="2611" spans="1:12" x14ac:dyDescent="0.3">
      <c r="A2611">
        <v>2016</v>
      </c>
      <c r="B2611" t="s">
        <v>18</v>
      </c>
      <c r="C2611">
        <v>3649</v>
      </c>
      <c r="D2611">
        <v>2746.2</v>
      </c>
      <c r="E2611">
        <v>26.8</v>
      </c>
      <c r="F2611" t="s">
        <v>59</v>
      </c>
      <c r="G2611" t="s">
        <v>21</v>
      </c>
      <c r="H2611">
        <v>58637</v>
      </c>
      <c r="I2611">
        <v>54</v>
      </c>
      <c r="J2611" t="s">
        <v>15</v>
      </c>
      <c r="K2611">
        <v>4847</v>
      </c>
      <c r="L2611" t="s">
        <v>22</v>
      </c>
    </row>
    <row r="2612" spans="1:12" x14ac:dyDescent="0.3">
      <c r="A2612">
        <v>2017</v>
      </c>
      <c r="B2612" t="s">
        <v>18</v>
      </c>
      <c r="C2612">
        <v>1374</v>
      </c>
      <c r="D2612">
        <v>2746.2</v>
      </c>
      <c r="E2612">
        <v>26.8</v>
      </c>
      <c r="F2612" t="s">
        <v>59</v>
      </c>
      <c r="G2612" t="s">
        <v>21</v>
      </c>
      <c r="H2612">
        <v>59777</v>
      </c>
      <c r="I2612">
        <v>58</v>
      </c>
      <c r="J2612" t="s">
        <v>15</v>
      </c>
      <c r="K2612">
        <v>51239</v>
      </c>
      <c r="L2612" t="s">
        <v>22</v>
      </c>
    </row>
    <row r="2613" spans="1:12" x14ac:dyDescent="0.3">
      <c r="A2613">
        <v>2018</v>
      </c>
      <c r="B2613" t="s">
        <v>18</v>
      </c>
      <c r="C2613">
        <v>933</v>
      </c>
      <c r="D2613">
        <v>3360</v>
      </c>
      <c r="E2613">
        <v>26.8</v>
      </c>
      <c r="F2613" t="s">
        <v>59</v>
      </c>
      <c r="G2613" t="s">
        <v>21</v>
      </c>
      <c r="H2613">
        <v>60528</v>
      </c>
      <c r="I2613">
        <v>58</v>
      </c>
      <c r="J2613" t="s">
        <v>15</v>
      </c>
      <c r="K2613">
        <v>216396</v>
      </c>
      <c r="L2613" t="s">
        <v>22</v>
      </c>
    </row>
    <row r="2614" spans="1:12" x14ac:dyDescent="0.3">
      <c r="A2614">
        <v>2013</v>
      </c>
      <c r="B2614" t="s">
        <v>18</v>
      </c>
      <c r="C2614">
        <v>345</v>
      </c>
      <c r="D2614">
        <v>3360</v>
      </c>
      <c r="E2614">
        <v>37</v>
      </c>
      <c r="F2614" t="s">
        <v>59</v>
      </c>
      <c r="G2614" t="s">
        <v>21</v>
      </c>
      <c r="H2614">
        <v>61126</v>
      </c>
      <c r="I2614">
        <v>59</v>
      </c>
      <c r="J2614" t="s">
        <v>15</v>
      </c>
      <c r="K2614">
        <v>2644</v>
      </c>
      <c r="L2614" t="s">
        <v>22</v>
      </c>
    </row>
    <row r="2615" spans="1:12" x14ac:dyDescent="0.3">
      <c r="A2615">
        <v>2014</v>
      </c>
      <c r="B2615" t="s">
        <v>18</v>
      </c>
      <c r="C2615">
        <v>29</v>
      </c>
      <c r="D2615">
        <v>3360</v>
      </c>
      <c r="E2615">
        <v>37</v>
      </c>
      <c r="F2615" t="s">
        <v>59</v>
      </c>
      <c r="G2615" t="s">
        <v>21</v>
      </c>
      <c r="H2615">
        <v>623687</v>
      </c>
      <c r="I2615">
        <v>50</v>
      </c>
      <c r="J2615" t="s">
        <v>15</v>
      </c>
      <c r="K2615">
        <v>44235</v>
      </c>
      <c r="L2615" t="s">
        <v>22</v>
      </c>
    </row>
    <row r="2616" spans="1:12" x14ac:dyDescent="0.3">
      <c r="A2616">
        <v>2015</v>
      </c>
      <c r="B2616" t="s">
        <v>18</v>
      </c>
      <c r="C2616">
        <v>11</v>
      </c>
      <c r="D2616">
        <v>3605.4</v>
      </c>
      <c r="E2616">
        <v>37</v>
      </c>
      <c r="F2616" t="s">
        <v>59</v>
      </c>
      <c r="G2616" t="s">
        <v>21</v>
      </c>
      <c r="H2616">
        <v>63504</v>
      </c>
      <c r="I2616">
        <v>54</v>
      </c>
      <c r="J2616" t="s">
        <v>15</v>
      </c>
      <c r="K2616">
        <v>203317</v>
      </c>
      <c r="L2616" t="s">
        <v>22</v>
      </c>
    </row>
    <row r="2617" spans="1:12" x14ac:dyDescent="0.3">
      <c r="A2617">
        <v>2016</v>
      </c>
      <c r="B2617" t="s">
        <v>18</v>
      </c>
      <c r="C2617">
        <v>10</v>
      </c>
      <c r="D2617">
        <v>3605.4</v>
      </c>
      <c r="E2617">
        <v>38</v>
      </c>
      <c r="F2617" t="s">
        <v>59</v>
      </c>
      <c r="G2617" t="s">
        <v>21</v>
      </c>
      <c r="H2617">
        <v>63931</v>
      </c>
      <c r="I2617">
        <v>53</v>
      </c>
      <c r="J2617" t="s">
        <v>15</v>
      </c>
      <c r="K2617">
        <v>2134</v>
      </c>
      <c r="L2617" t="s">
        <v>22</v>
      </c>
    </row>
    <row r="2618" spans="1:12" x14ac:dyDescent="0.3">
      <c r="A2618">
        <v>2017</v>
      </c>
      <c r="B2618" t="s">
        <v>18</v>
      </c>
      <c r="C2618">
        <v>7</v>
      </c>
      <c r="D2618">
        <v>3605.4</v>
      </c>
      <c r="E2618">
        <v>38</v>
      </c>
      <c r="F2618" t="s">
        <v>59</v>
      </c>
      <c r="G2618" t="s">
        <v>21</v>
      </c>
      <c r="H2618">
        <v>73730</v>
      </c>
      <c r="I2618">
        <v>52</v>
      </c>
      <c r="J2618" t="s">
        <v>15</v>
      </c>
      <c r="K2618">
        <v>45186</v>
      </c>
      <c r="L2618" t="s">
        <v>22</v>
      </c>
    </row>
    <row r="2619" spans="1:12" x14ac:dyDescent="0.3">
      <c r="A2619">
        <v>2018</v>
      </c>
      <c r="B2619" t="s">
        <v>18</v>
      </c>
      <c r="C2619">
        <v>10</v>
      </c>
      <c r="D2619">
        <v>3512.4</v>
      </c>
      <c r="E2619">
        <v>38</v>
      </c>
      <c r="F2619" t="s">
        <v>59</v>
      </c>
      <c r="G2619" t="s">
        <v>21</v>
      </c>
      <c r="H2619">
        <v>118416</v>
      </c>
      <c r="I2619">
        <v>51</v>
      </c>
      <c r="J2619" t="s">
        <v>15</v>
      </c>
      <c r="K2619">
        <v>238542</v>
      </c>
      <c r="L2619" t="s">
        <v>22</v>
      </c>
    </row>
    <row r="2620" spans="1:12" x14ac:dyDescent="0.3">
      <c r="A2620">
        <v>2004</v>
      </c>
      <c r="B2620" t="s">
        <v>18</v>
      </c>
      <c r="C2620">
        <v>56</v>
      </c>
      <c r="D2620">
        <v>3512.4</v>
      </c>
      <c r="E2620">
        <v>39</v>
      </c>
      <c r="F2620" t="s">
        <v>59</v>
      </c>
      <c r="G2620" t="s">
        <v>21</v>
      </c>
      <c r="H2620">
        <v>130132</v>
      </c>
      <c r="I2620">
        <v>57</v>
      </c>
      <c r="J2620" t="s">
        <v>15</v>
      </c>
      <c r="K2620">
        <v>1516</v>
      </c>
      <c r="L2620" t="s">
        <v>22</v>
      </c>
    </row>
    <row r="2621" spans="1:12" x14ac:dyDescent="0.3">
      <c r="A2621">
        <v>2005</v>
      </c>
      <c r="B2621" t="s">
        <v>18</v>
      </c>
      <c r="C2621">
        <v>68</v>
      </c>
      <c r="D2621">
        <v>3512.4</v>
      </c>
      <c r="E2621">
        <v>39</v>
      </c>
      <c r="F2621" t="s">
        <v>59</v>
      </c>
      <c r="G2621" t="s">
        <v>21</v>
      </c>
      <c r="H2621">
        <v>154889</v>
      </c>
      <c r="I2621">
        <v>57</v>
      </c>
      <c r="J2621" t="s">
        <v>15</v>
      </c>
      <c r="K2621">
        <v>57259</v>
      </c>
      <c r="L2621" t="s">
        <v>22</v>
      </c>
    </row>
    <row r="2622" spans="1:12" x14ac:dyDescent="0.3">
      <c r="A2622">
        <v>2006</v>
      </c>
      <c r="B2622" t="s">
        <v>18</v>
      </c>
      <c r="C2622">
        <v>56</v>
      </c>
      <c r="D2622">
        <v>3296</v>
      </c>
      <c r="E2622">
        <v>39</v>
      </c>
      <c r="F2622" t="s">
        <v>59</v>
      </c>
      <c r="G2622" t="s">
        <v>21</v>
      </c>
      <c r="H2622">
        <v>171739</v>
      </c>
      <c r="I2622">
        <v>60</v>
      </c>
      <c r="J2622" t="s">
        <v>15</v>
      </c>
      <c r="K2622">
        <v>234779</v>
      </c>
      <c r="L2622" t="s">
        <v>22</v>
      </c>
    </row>
    <row r="2623" spans="1:12" x14ac:dyDescent="0.3">
      <c r="A2623">
        <v>2007</v>
      </c>
      <c r="B2623" t="s">
        <v>18</v>
      </c>
      <c r="C2623">
        <v>66</v>
      </c>
      <c r="D2623">
        <v>3296</v>
      </c>
      <c r="E2623">
        <v>40</v>
      </c>
      <c r="F2623" t="s">
        <v>59</v>
      </c>
      <c r="G2623" t="s">
        <v>21</v>
      </c>
      <c r="H2623">
        <v>172475</v>
      </c>
      <c r="I2623">
        <v>57</v>
      </c>
      <c r="J2623" t="s">
        <v>15</v>
      </c>
      <c r="K2623">
        <v>1493</v>
      </c>
      <c r="L2623" t="s">
        <v>22</v>
      </c>
    </row>
    <row r="2624" spans="1:12" x14ac:dyDescent="0.3">
      <c r="A2624">
        <v>2008</v>
      </c>
      <c r="B2624" t="s">
        <v>18</v>
      </c>
      <c r="C2624">
        <v>55</v>
      </c>
      <c r="D2624">
        <v>3296</v>
      </c>
      <c r="E2624">
        <v>40</v>
      </c>
      <c r="F2624" t="s">
        <v>59</v>
      </c>
      <c r="G2624" t="s">
        <v>21</v>
      </c>
      <c r="H2624">
        <v>177939</v>
      </c>
      <c r="I2624">
        <v>57</v>
      </c>
      <c r="J2624" t="s">
        <v>15</v>
      </c>
      <c r="K2624">
        <v>64409</v>
      </c>
      <c r="L2624" t="s">
        <v>22</v>
      </c>
    </row>
    <row r="2625" spans="1:12" x14ac:dyDescent="0.3">
      <c r="A2625">
        <v>2009</v>
      </c>
      <c r="B2625" t="s">
        <v>18</v>
      </c>
      <c r="C2625">
        <v>42</v>
      </c>
      <c r="D2625">
        <v>3550</v>
      </c>
      <c r="E2625">
        <v>40</v>
      </c>
      <c r="F2625" t="s">
        <v>59</v>
      </c>
      <c r="G2625" t="s">
        <v>21</v>
      </c>
      <c r="H2625">
        <v>313547</v>
      </c>
      <c r="I2625">
        <v>54</v>
      </c>
      <c r="J2625" t="s">
        <v>15</v>
      </c>
      <c r="K2625">
        <v>249978</v>
      </c>
      <c r="L2625" t="s">
        <v>22</v>
      </c>
    </row>
    <row r="2626" spans="1:12" x14ac:dyDescent="0.3">
      <c r="A2626">
        <v>2010</v>
      </c>
      <c r="B2626" t="s">
        <v>18</v>
      </c>
      <c r="C2626">
        <v>51179</v>
      </c>
      <c r="D2626">
        <v>3550</v>
      </c>
      <c r="E2626">
        <v>41</v>
      </c>
      <c r="F2626" t="s">
        <v>59</v>
      </c>
      <c r="G2626" t="s">
        <v>21</v>
      </c>
      <c r="H2626">
        <v>2783</v>
      </c>
      <c r="I2626">
        <v>54.5</v>
      </c>
      <c r="J2626" t="s">
        <v>15</v>
      </c>
      <c r="K2626">
        <v>637</v>
      </c>
      <c r="L2626" t="s">
        <v>22</v>
      </c>
    </row>
    <row r="2627" spans="1:12" x14ac:dyDescent="0.3">
      <c r="A2627">
        <v>2011</v>
      </c>
      <c r="B2627" t="s">
        <v>18</v>
      </c>
      <c r="C2627">
        <v>468</v>
      </c>
      <c r="D2627">
        <v>3550</v>
      </c>
      <c r="E2627">
        <v>41</v>
      </c>
      <c r="F2627" t="s">
        <v>59</v>
      </c>
      <c r="G2627" t="s">
        <v>21</v>
      </c>
      <c r="H2627">
        <v>1533</v>
      </c>
      <c r="I2627">
        <v>56.6</v>
      </c>
      <c r="J2627" t="s">
        <v>15</v>
      </c>
      <c r="K2627">
        <v>43311</v>
      </c>
      <c r="L2627" t="s">
        <v>22</v>
      </c>
    </row>
    <row r="2628" spans="1:12" x14ac:dyDescent="0.3">
      <c r="A2628">
        <v>2012</v>
      </c>
      <c r="B2628" t="s">
        <v>18</v>
      </c>
      <c r="C2628">
        <v>11841</v>
      </c>
      <c r="D2628">
        <v>3654</v>
      </c>
      <c r="E2628">
        <v>41</v>
      </c>
      <c r="F2628" t="s">
        <v>59</v>
      </c>
      <c r="G2628" t="s">
        <v>21</v>
      </c>
      <c r="H2628">
        <v>1647</v>
      </c>
      <c r="I2628">
        <v>55.5</v>
      </c>
      <c r="J2628" t="s">
        <v>15</v>
      </c>
      <c r="K2628">
        <v>24848</v>
      </c>
      <c r="L2628" t="s">
        <v>22</v>
      </c>
    </row>
    <row r="2629" spans="1:12" x14ac:dyDescent="0.3">
      <c r="A2629">
        <v>2013</v>
      </c>
      <c r="B2629" t="s">
        <v>18</v>
      </c>
      <c r="C2629">
        <v>50975</v>
      </c>
      <c r="D2629">
        <v>3654</v>
      </c>
      <c r="E2629">
        <v>42</v>
      </c>
      <c r="F2629" t="s">
        <v>59</v>
      </c>
      <c r="G2629" t="s">
        <v>21</v>
      </c>
      <c r="H2629">
        <v>975</v>
      </c>
      <c r="I2629">
        <v>58.5</v>
      </c>
      <c r="J2629" t="s">
        <v>15</v>
      </c>
      <c r="K2629">
        <v>761</v>
      </c>
      <c r="L2629" t="s">
        <v>22</v>
      </c>
    </row>
    <row r="2630" spans="1:12" x14ac:dyDescent="0.3">
      <c r="A2630">
        <v>2014</v>
      </c>
      <c r="B2630" t="s">
        <v>18</v>
      </c>
      <c r="C2630">
        <v>206</v>
      </c>
      <c r="D2630">
        <v>3654</v>
      </c>
      <c r="E2630">
        <v>42</v>
      </c>
      <c r="F2630" t="s">
        <v>59</v>
      </c>
      <c r="G2630" t="s">
        <v>21</v>
      </c>
      <c r="H2630">
        <v>2</v>
      </c>
      <c r="I2630">
        <v>59.5</v>
      </c>
      <c r="J2630" t="s">
        <v>15</v>
      </c>
      <c r="K2630">
        <v>45608</v>
      </c>
      <c r="L2630" t="s">
        <v>22</v>
      </c>
    </row>
    <row r="2631" spans="1:12" x14ac:dyDescent="0.3">
      <c r="A2631">
        <v>2015</v>
      </c>
      <c r="B2631" t="s">
        <v>18</v>
      </c>
      <c r="C2631">
        <v>10922</v>
      </c>
      <c r="D2631">
        <v>233</v>
      </c>
      <c r="E2631">
        <v>42</v>
      </c>
      <c r="F2631" t="s">
        <v>59</v>
      </c>
      <c r="G2631" t="s">
        <v>21</v>
      </c>
      <c r="H2631">
        <v>836</v>
      </c>
      <c r="I2631">
        <v>55</v>
      </c>
      <c r="J2631" t="s">
        <v>15</v>
      </c>
      <c r="K2631">
        <v>234581</v>
      </c>
      <c r="L2631" t="s">
        <v>22</v>
      </c>
    </row>
    <row r="2632" spans="1:12" x14ac:dyDescent="0.3">
      <c r="A2632">
        <v>2016</v>
      </c>
      <c r="B2632" t="s">
        <v>18</v>
      </c>
      <c r="C2632">
        <v>51390</v>
      </c>
      <c r="D2632">
        <v>233</v>
      </c>
      <c r="E2632">
        <v>43</v>
      </c>
      <c r="F2632" t="s">
        <v>59</v>
      </c>
      <c r="G2632" t="s">
        <v>21</v>
      </c>
      <c r="H2632">
        <v>806</v>
      </c>
      <c r="I2632">
        <v>53</v>
      </c>
      <c r="J2632" t="s">
        <v>15</v>
      </c>
      <c r="K2632">
        <v>646</v>
      </c>
      <c r="L2632" t="s">
        <v>22</v>
      </c>
    </row>
    <row r="2633" spans="1:12" x14ac:dyDescent="0.3">
      <c r="A2633">
        <v>2017</v>
      </c>
      <c r="B2633" t="s">
        <v>18</v>
      </c>
      <c r="C2633">
        <v>177</v>
      </c>
      <c r="D2633">
        <v>233</v>
      </c>
      <c r="E2633">
        <v>27</v>
      </c>
      <c r="F2633" t="s">
        <v>59</v>
      </c>
      <c r="G2633" t="s">
        <v>26</v>
      </c>
      <c r="H2633">
        <v>880</v>
      </c>
      <c r="I2633">
        <v>53.5</v>
      </c>
      <c r="J2633" t="s">
        <v>15</v>
      </c>
      <c r="K2633">
        <v>43562</v>
      </c>
      <c r="L2633" t="s">
        <v>22</v>
      </c>
    </row>
    <row r="2634" spans="1:12" x14ac:dyDescent="0.3">
      <c r="A2634">
        <v>2004</v>
      </c>
      <c r="B2634" t="s">
        <v>18</v>
      </c>
      <c r="C2634">
        <v>10723</v>
      </c>
      <c r="D2634">
        <v>234</v>
      </c>
      <c r="E2634">
        <v>27</v>
      </c>
      <c r="F2634" t="s">
        <v>59</v>
      </c>
      <c r="G2634" t="s">
        <v>26</v>
      </c>
      <c r="H2634">
        <v>770</v>
      </c>
      <c r="I2634">
        <v>52.5</v>
      </c>
      <c r="J2634" t="s">
        <v>15</v>
      </c>
      <c r="K2634">
        <v>200000</v>
      </c>
      <c r="L2634" t="s">
        <v>22</v>
      </c>
    </row>
    <row r="2635" spans="1:12" x14ac:dyDescent="0.3">
      <c r="A2635">
        <v>2004</v>
      </c>
      <c r="B2635" t="s">
        <v>18</v>
      </c>
      <c r="C2635">
        <v>51709</v>
      </c>
      <c r="D2635">
        <v>234</v>
      </c>
      <c r="E2635">
        <v>27</v>
      </c>
      <c r="F2635" t="s">
        <v>59</v>
      </c>
      <c r="G2635" t="s">
        <v>26</v>
      </c>
      <c r="H2635">
        <v>395</v>
      </c>
      <c r="I2635">
        <v>56</v>
      </c>
      <c r="J2635" t="s">
        <v>15</v>
      </c>
      <c r="K2635">
        <v>4847</v>
      </c>
      <c r="L2635" t="s">
        <v>22</v>
      </c>
    </row>
    <row r="2636" spans="1:12" x14ac:dyDescent="0.3">
      <c r="A2636">
        <v>2004</v>
      </c>
      <c r="B2636" t="s">
        <v>18</v>
      </c>
      <c r="C2636">
        <v>146</v>
      </c>
      <c r="D2636">
        <v>234</v>
      </c>
      <c r="E2636">
        <v>27</v>
      </c>
      <c r="F2636" t="s">
        <v>59</v>
      </c>
      <c r="G2636" t="s">
        <v>26</v>
      </c>
      <c r="H2636">
        <v>187</v>
      </c>
      <c r="I2636">
        <v>57</v>
      </c>
      <c r="J2636" t="s">
        <v>15</v>
      </c>
      <c r="K2636">
        <v>51239</v>
      </c>
      <c r="L2636" t="s">
        <v>22</v>
      </c>
    </row>
    <row r="2637" spans="1:12" x14ac:dyDescent="0.3">
      <c r="A2637">
        <v>2004</v>
      </c>
      <c r="B2637" t="s">
        <v>18</v>
      </c>
      <c r="C2637">
        <v>10910</v>
      </c>
      <c r="D2637">
        <v>3105</v>
      </c>
      <c r="E2637">
        <v>27</v>
      </c>
      <c r="F2637" t="s">
        <v>59</v>
      </c>
      <c r="G2637" t="s">
        <v>26</v>
      </c>
      <c r="H2637">
        <v>187</v>
      </c>
      <c r="I2637">
        <v>57.5</v>
      </c>
      <c r="J2637" t="s">
        <v>15</v>
      </c>
      <c r="K2637">
        <v>216396</v>
      </c>
      <c r="L2637" t="s">
        <v>22</v>
      </c>
    </row>
    <row r="2638" spans="1:12" x14ac:dyDescent="0.3">
      <c r="A2638">
        <v>2004</v>
      </c>
      <c r="B2638" t="s">
        <v>18</v>
      </c>
      <c r="C2638">
        <v>51355</v>
      </c>
      <c r="D2638">
        <v>3105</v>
      </c>
      <c r="E2638">
        <v>27</v>
      </c>
      <c r="F2638" t="s">
        <v>59</v>
      </c>
      <c r="G2638" t="s">
        <v>26</v>
      </c>
      <c r="H2638">
        <v>121</v>
      </c>
      <c r="I2638">
        <v>57</v>
      </c>
      <c r="J2638" t="s">
        <v>15</v>
      </c>
      <c r="K2638">
        <v>2644</v>
      </c>
      <c r="L2638" t="s">
        <v>22</v>
      </c>
    </row>
    <row r="2639" spans="1:12" x14ac:dyDescent="0.3">
      <c r="A2639">
        <v>2004</v>
      </c>
      <c r="B2639" t="s">
        <v>18</v>
      </c>
      <c r="C2639">
        <v>160</v>
      </c>
      <c r="D2639">
        <v>3105</v>
      </c>
      <c r="E2639">
        <v>27.2</v>
      </c>
      <c r="F2639" t="s">
        <v>59</v>
      </c>
      <c r="G2639" t="s">
        <v>26</v>
      </c>
      <c r="H2639">
        <v>103</v>
      </c>
      <c r="I2639">
        <v>55</v>
      </c>
      <c r="J2639" t="s">
        <v>15</v>
      </c>
      <c r="K2639">
        <v>44235</v>
      </c>
      <c r="L2639" t="s">
        <v>22</v>
      </c>
    </row>
    <row r="2640" spans="1:12" x14ac:dyDescent="0.3">
      <c r="A2640">
        <v>2004</v>
      </c>
      <c r="B2640" t="s">
        <v>18</v>
      </c>
      <c r="C2640">
        <v>10912</v>
      </c>
      <c r="D2640">
        <v>236</v>
      </c>
      <c r="E2640">
        <v>27.2</v>
      </c>
      <c r="F2640" t="s">
        <v>59</v>
      </c>
      <c r="G2640" t="s">
        <v>26</v>
      </c>
      <c r="H2640">
        <v>71</v>
      </c>
      <c r="I2640">
        <v>56</v>
      </c>
      <c r="J2640" t="s">
        <v>15</v>
      </c>
      <c r="K2640">
        <v>203317</v>
      </c>
      <c r="L2640" t="s">
        <v>22</v>
      </c>
    </row>
    <row r="2641" spans="1:12" x14ac:dyDescent="0.3">
      <c r="A2641">
        <v>2004</v>
      </c>
      <c r="B2641" t="s">
        <v>20</v>
      </c>
      <c r="C2641">
        <v>51353</v>
      </c>
      <c r="D2641">
        <v>236</v>
      </c>
      <c r="E2641">
        <v>27.2</v>
      </c>
      <c r="F2641" t="s">
        <v>59</v>
      </c>
      <c r="G2641" t="s">
        <v>26</v>
      </c>
      <c r="H2641">
        <v>3961</v>
      </c>
      <c r="I2641">
        <v>54</v>
      </c>
      <c r="J2641" t="s">
        <v>15</v>
      </c>
      <c r="K2641">
        <v>2134</v>
      </c>
      <c r="L2641" t="s">
        <v>22</v>
      </c>
    </row>
    <row r="2642" spans="1:12" x14ac:dyDescent="0.3">
      <c r="A2642">
        <v>2004</v>
      </c>
      <c r="B2642" t="s">
        <v>20</v>
      </c>
      <c r="C2642">
        <v>142</v>
      </c>
      <c r="D2642">
        <v>2903.1</v>
      </c>
      <c r="E2642">
        <v>27</v>
      </c>
      <c r="F2642" t="s">
        <v>59</v>
      </c>
      <c r="G2642" t="s">
        <v>26</v>
      </c>
      <c r="H2642">
        <v>4247</v>
      </c>
      <c r="I2642">
        <v>58</v>
      </c>
      <c r="J2642" t="s">
        <v>15</v>
      </c>
      <c r="K2642">
        <v>45186</v>
      </c>
      <c r="L2642" t="s">
        <v>22</v>
      </c>
    </row>
    <row r="2643" spans="1:12" x14ac:dyDescent="0.3">
      <c r="A2643">
        <v>2004</v>
      </c>
      <c r="B2643" t="s">
        <v>20</v>
      </c>
      <c r="C2643">
        <v>10505</v>
      </c>
      <c r="D2643">
        <v>2903.1</v>
      </c>
      <c r="E2643">
        <v>27</v>
      </c>
      <c r="F2643" t="s">
        <v>59</v>
      </c>
      <c r="G2643" t="s">
        <v>26</v>
      </c>
      <c r="H2643">
        <v>3290</v>
      </c>
      <c r="I2643">
        <v>58</v>
      </c>
      <c r="J2643" t="s">
        <v>15</v>
      </c>
      <c r="K2643">
        <v>238542</v>
      </c>
      <c r="L2643" t="s">
        <v>22</v>
      </c>
    </row>
    <row r="2644" spans="1:12" x14ac:dyDescent="0.3">
      <c r="A2644">
        <v>2004</v>
      </c>
      <c r="B2644" t="s">
        <v>20</v>
      </c>
      <c r="C2644">
        <v>51040</v>
      </c>
      <c r="D2644">
        <v>2903.1</v>
      </c>
      <c r="E2644">
        <v>27</v>
      </c>
      <c r="F2644" t="s">
        <v>59</v>
      </c>
      <c r="G2644" t="s">
        <v>26</v>
      </c>
      <c r="H2644">
        <v>3138</v>
      </c>
      <c r="I2644">
        <v>59</v>
      </c>
      <c r="J2644" t="s">
        <v>15</v>
      </c>
      <c r="K2644">
        <v>1516</v>
      </c>
      <c r="L2644" t="s">
        <v>22</v>
      </c>
    </row>
    <row r="2645" spans="1:12" x14ac:dyDescent="0.3">
      <c r="A2645">
        <v>2004</v>
      </c>
      <c r="B2645" t="s">
        <v>20</v>
      </c>
      <c r="C2645">
        <v>154</v>
      </c>
      <c r="D2645">
        <v>2996.6</v>
      </c>
      <c r="E2645">
        <v>27</v>
      </c>
      <c r="F2645" t="s">
        <v>59</v>
      </c>
      <c r="G2645" t="s">
        <v>26</v>
      </c>
      <c r="H2645">
        <v>3423</v>
      </c>
      <c r="I2645">
        <v>50</v>
      </c>
      <c r="J2645" t="s">
        <v>15</v>
      </c>
      <c r="K2645">
        <v>57259</v>
      </c>
      <c r="L2645" t="s">
        <v>22</v>
      </c>
    </row>
    <row r="2646" spans="1:12" x14ac:dyDescent="0.3">
      <c r="A2646">
        <v>2004</v>
      </c>
      <c r="B2646" t="s">
        <v>20</v>
      </c>
      <c r="C2646">
        <v>10318</v>
      </c>
      <c r="D2646">
        <v>2996.6</v>
      </c>
      <c r="E2646">
        <v>27</v>
      </c>
      <c r="F2646" t="s">
        <v>59</v>
      </c>
      <c r="G2646" t="s">
        <v>26</v>
      </c>
      <c r="H2646">
        <v>3899</v>
      </c>
      <c r="I2646">
        <v>54</v>
      </c>
      <c r="J2646" t="s">
        <v>15</v>
      </c>
      <c r="K2646">
        <v>234779</v>
      </c>
      <c r="L2646" t="s">
        <v>22</v>
      </c>
    </row>
    <row r="2647" spans="1:12" x14ac:dyDescent="0.3">
      <c r="A2647">
        <v>2004</v>
      </c>
      <c r="B2647" t="s">
        <v>20</v>
      </c>
      <c r="C2647">
        <v>48083</v>
      </c>
      <c r="D2647">
        <v>2996.6</v>
      </c>
      <c r="E2647">
        <v>27</v>
      </c>
      <c r="F2647" t="s">
        <v>59</v>
      </c>
      <c r="G2647" t="s">
        <v>26</v>
      </c>
      <c r="H2647">
        <v>4015</v>
      </c>
      <c r="I2647">
        <v>53</v>
      </c>
      <c r="J2647" t="s">
        <v>15</v>
      </c>
      <c r="K2647">
        <v>1493</v>
      </c>
      <c r="L2647" t="s">
        <v>22</v>
      </c>
    </row>
    <row r="2648" spans="1:12" x14ac:dyDescent="0.3">
      <c r="A2648">
        <v>2004</v>
      </c>
      <c r="B2648" t="s">
        <v>20</v>
      </c>
      <c r="C2648">
        <v>143</v>
      </c>
      <c r="D2648">
        <v>3522.8</v>
      </c>
      <c r="E2648">
        <v>27.2</v>
      </c>
      <c r="F2648" t="s">
        <v>59</v>
      </c>
      <c r="G2648" t="s">
        <v>26</v>
      </c>
      <c r="H2648">
        <v>4279</v>
      </c>
      <c r="I2648">
        <v>52</v>
      </c>
      <c r="J2648" t="s">
        <v>15</v>
      </c>
      <c r="K2648">
        <v>64409</v>
      </c>
      <c r="L2648" t="s">
        <v>22</v>
      </c>
    </row>
    <row r="2649" spans="1:12" x14ac:dyDescent="0.3">
      <c r="A2649">
        <v>2004</v>
      </c>
      <c r="B2649" t="s">
        <v>20</v>
      </c>
      <c r="C2649">
        <v>9283</v>
      </c>
      <c r="D2649">
        <v>3522.8</v>
      </c>
      <c r="E2649">
        <v>27.2</v>
      </c>
      <c r="F2649" t="s">
        <v>59</v>
      </c>
      <c r="G2649" t="s">
        <v>26</v>
      </c>
      <c r="H2649">
        <v>4167</v>
      </c>
      <c r="I2649">
        <v>51</v>
      </c>
      <c r="J2649" t="s">
        <v>15</v>
      </c>
      <c r="K2649">
        <v>249978</v>
      </c>
      <c r="L2649" t="s">
        <v>22</v>
      </c>
    </row>
    <row r="2650" spans="1:12" x14ac:dyDescent="0.3">
      <c r="A2650">
        <v>2004</v>
      </c>
      <c r="B2650" t="s">
        <v>20</v>
      </c>
      <c r="C2650">
        <v>47200</v>
      </c>
      <c r="D2650">
        <v>3522.8</v>
      </c>
      <c r="E2650">
        <v>27.2</v>
      </c>
      <c r="F2650" t="s">
        <v>59</v>
      </c>
      <c r="G2650" t="s">
        <v>26</v>
      </c>
      <c r="H2650">
        <v>4479</v>
      </c>
      <c r="I2650">
        <v>57</v>
      </c>
      <c r="J2650" t="s">
        <v>15</v>
      </c>
      <c r="K2650">
        <v>637</v>
      </c>
      <c r="L2650" t="s">
        <v>22</v>
      </c>
    </row>
    <row r="2651" spans="1:12" x14ac:dyDescent="0.3">
      <c r="A2651">
        <v>2004</v>
      </c>
      <c r="B2651" t="s">
        <v>20</v>
      </c>
      <c r="C2651">
        <v>158</v>
      </c>
      <c r="D2651">
        <v>3729.8</v>
      </c>
      <c r="E2651">
        <v>27.1</v>
      </c>
      <c r="F2651" t="s">
        <v>44</v>
      </c>
      <c r="G2651" t="s">
        <v>26</v>
      </c>
      <c r="H2651">
        <v>3699</v>
      </c>
      <c r="I2651">
        <v>57</v>
      </c>
      <c r="J2651" t="s">
        <v>15</v>
      </c>
      <c r="K2651">
        <v>43311</v>
      </c>
      <c r="L2651" t="s">
        <v>22</v>
      </c>
    </row>
    <row r="2652" spans="1:12" x14ac:dyDescent="0.3">
      <c r="A2652">
        <v>2004</v>
      </c>
      <c r="B2652" t="s">
        <v>20</v>
      </c>
      <c r="C2652">
        <v>8982</v>
      </c>
      <c r="D2652">
        <v>3729.8</v>
      </c>
      <c r="E2652">
        <v>27.1</v>
      </c>
      <c r="F2652" t="s">
        <v>44</v>
      </c>
      <c r="G2652" t="s">
        <v>26</v>
      </c>
      <c r="H2652">
        <v>4904</v>
      </c>
      <c r="I2652">
        <v>60</v>
      </c>
      <c r="J2652" t="s">
        <v>15</v>
      </c>
      <c r="K2652">
        <v>24848</v>
      </c>
      <c r="L2652" t="s">
        <v>22</v>
      </c>
    </row>
    <row r="2653" spans="1:12" x14ac:dyDescent="0.3">
      <c r="A2653">
        <v>2004</v>
      </c>
      <c r="B2653" t="s">
        <v>20</v>
      </c>
      <c r="C2653">
        <v>46990</v>
      </c>
      <c r="D2653">
        <v>3729.8</v>
      </c>
      <c r="E2653">
        <v>27.1</v>
      </c>
      <c r="F2653" t="s">
        <v>44</v>
      </c>
      <c r="G2653" t="s">
        <v>26</v>
      </c>
      <c r="H2653">
        <v>2821</v>
      </c>
      <c r="I2653">
        <v>57</v>
      </c>
      <c r="J2653" t="s">
        <v>15</v>
      </c>
      <c r="K2653">
        <v>761</v>
      </c>
      <c r="L2653" t="s">
        <v>22</v>
      </c>
    </row>
    <row r="2654" spans="1:12" x14ac:dyDescent="0.3">
      <c r="A2654">
        <v>2004</v>
      </c>
      <c r="B2654" t="s">
        <v>20</v>
      </c>
      <c r="C2654">
        <v>103</v>
      </c>
      <c r="D2654">
        <v>2746.2</v>
      </c>
      <c r="E2654">
        <v>26.8</v>
      </c>
      <c r="F2654" t="s">
        <v>44</v>
      </c>
      <c r="G2654" t="s">
        <v>26</v>
      </c>
      <c r="H2654">
        <v>3472</v>
      </c>
      <c r="I2654">
        <v>57</v>
      </c>
      <c r="J2654" t="s">
        <v>15</v>
      </c>
      <c r="K2654">
        <v>45608</v>
      </c>
      <c r="L2654" t="s">
        <v>22</v>
      </c>
    </row>
    <row r="2655" spans="1:12" x14ac:dyDescent="0.3">
      <c r="A2655">
        <v>2004</v>
      </c>
      <c r="B2655" t="s">
        <v>20</v>
      </c>
      <c r="C2655">
        <v>8239</v>
      </c>
      <c r="D2655">
        <v>2746.2</v>
      </c>
      <c r="E2655">
        <v>26.8</v>
      </c>
      <c r="F2655" t="s">
        <v>44</v>
      </c>
      <c r="G2655" t="s">
        <v>26</v>
      </c>
      <c r="H2655">
        <v>3647</v>
      </c>
      <c r="I2655">
        <v>54</v>
      </c>
      <c r="J2655" t="s">
        <v>15</v>
      </c>
      <c r="K2655">
        <v>234581</v>
      </c>
      <c r="L2655" t="s">
        <v>22</v>
      </c>
    </row>
    <row r="2656" spans="1:12" x14ac:dyDescent="0.3">
      <c r="A2656">
        <v>2004</v>
      </c>
      <c r="B2656" t="s">
        <v>20</v>
      </c>
      <c r="C2656">
        <v>44563</v>
      </c>
      <c r="D2656">
        <v>2746.2</v>
      </c>
      <c r="E2656">
        <v>26.8</v>
      </c>
      <c r="F2656" t="s">
        <v>44</v>
      </c>
      <c r="G2656" t="s">
        <v>26</v>
      </c>
      <c r="H2656">
        <v>393</v>
      </c>
      <c r="I2656">
        <v>54.5</v>
      </c>
      <c r="J2656" t="s">
        <v>15</v>
      </c>
      <c r="K2656">
        <v>646</v>
      </c>
      <c r="L2656" t="s">
        <v>22</v>
      </c>
    </row>
    <row r="2657" spans="1:12" x14ac:dyDescent="0.3">
      <c r="A2657">
        <v>2004</v>
      </c>
      <c r="B2657" t="s">
        <v>20</v>
      </c>
      <c r="C2657">
        <v>96</v>
      </c>
      <c r="D2657">
        <v>3360</v>
      </c>
      <c r="E2657">
        <v>37</v>
      </c>
      <c r="F2657" t="s">
        <v>44</v>
      </c>
      <c r="G2657" t="s">
        <v>26</v>
      </c>
      <c r="H2657">
        <v>167</v>
      </c>
      <c r="I2657">
        <v>56.6</v>
      </c>
      <c r="J2657" t="s">
        <v>15</v>
      </c>
      <c r="K2657">
        <v>43562</v>
      </c>
      <c r="L2657" t="s">
        <v>22</v>
      </c>
    </row>
    <row r="2658" spans="1:12" x14ac:dyDescent="0.3">
      <c r="A2658">
        <v>2004</v>
      </c>
      <c r="B2658" t="s">
        <v>20</v>
      </c>
      <c r="C2658">
        <v>6949</v>
      </c>
      <c r="D2658">
        <v>3360</v>
      </c>
      <c r="E2658">
        <v>37</v>
      </c>
      <c r="F2658" t="s">
        <v>44</v>
      </c>
      <c r="G2658" t="s">
        <v>26</v>
      </c>
      <c r="H2658">
        <v>71</v>
      </c>
      <c r="I2658">
        <v>55.5</v>
      </c>
      <c r="J2658" t="s">
        <v>15</v>
      </c>
      <c r="K2658">
        <v>200000</v>
      </c>
      <c r="L2658" t="s">
        <v>22</v>
      </c>
    </row>
    <row r="2659" spans="1:12" x14ac:dyDescent="0.3">
      <c r="A2659">
        <v>2004</v>
      </c>
      <c r="B2659" t="s">
        <v>20</v>
      </c>
      <c r="C2659">
        <v>44663</v>
      </c>
      <c r="D2659">
        <v>3360</v>
      </c>
      <c r="E2659">
        <v>37</v>
      </c>
      <c r="F2659" t="s">
        <v>44</v>
      </c>
      <c r="G2659" t="s">
        <v>26</v>
      </c>
      <c r="H2659">
        <v>52</v>
      </c>
      <c r="I2659">
        <v>58.5</v>
      </c>
      <c r="J2659" t="s">
        <v>15</v>
      </c>
      <c r="K2659">
        <v>4847</v>
      </c>
      <c r="L2659" t="s">
        <v>22</v>
      </c>
    </row>
    <row r="2660" spans="1:12" x14ac:dyDescent="0.3">
      <c r="A2660">
        <v>2004</v>
      </c>
      <c r="B2660" t="s">
        <v>20</v>
      </c>
      <c r="C2660">
        <v>110</v>
      </c>
      <c r="D2660">
        <v>3605.4</v>
      </c>
      <c r="E2660">
        <v>38</v>
      </c>
      <c r="F2660" t="s">
        <v>44</v>
      </c>
      <c r="G2660" t="s">
        <v>26</v>
      </c>
      <c r="H2660">
        <v>12</v>
      </c>
      <c r="I2660">
        <v>59.5</v>
      </c>
      <c r="J2660" t="s">
        <v>15</v>
      </c>
      <c r="K2660">
        <v>51239</v>
      </c>
      <c r="L2660" t="s">
        <v>22</v>
      </c>
    </row>
    <row r="2661" spans="1:12" x14ac:dyDescent="0.3">
      <c r="A2661">
        <v>2004</v>
      </c>
      <c r="B2661" t="s">
        <v>20</v>
      </c>
      <c r="C2661">
        <v>6824</v>
      </c>
      <c r="D2661">
        <v>3605.4</v>
      </c>
      <c r="E2661">
        <v>38</v>
      </c>
      <c r="F2661" t="s">
        <v>44</v>
      </c>
      <c r="G2661" t="s">
        <v>26</v>
      </c>
      <c r="H2661">
        <v>51</v>
      </c>
      <c r="I2661">
        <v>55</v>
      </c>
      <c r="J2661" t="s">
        <v>15</v>
      </c>
      <c r="K2661">
        <v>216396</v>
      </c>
      <c r="L2661" t="s">
        <v>22</v>
      </c>
    </row>
    <row r="2662" spans="1:12" x14ac:dyDescent="0.3">
      <c r="A2662">
        <v>2004</v>
      </c>
      <c r="B2662" t="s">
        <v>20</v>
      </c>
      <c r="C2662">
        <v>43013</v>
      </c>
      <c r="D2662">
        <v>3605.4</v>
      </c>
      <c r="E2662">
        <v>38</v>
      </c>
      <c r="F2662" t="s">
        <v>44</v>
      </c>
      <c r="G2662" t="s">
        <v>26</v>
      </c>
      <c r="H2662">
        <v>61</v>
      </c>
      <c r="I2662">
        <v>53</v>
      </c>
      <c r="J2662" t="s">
        <v>15</v>
      </c>
      <c r="K2662">
        <v>2644</v>
      </c>
      <c r="L2662" t="s">
        <v>22</v>
      </c>
    </row>
    <row r="2663" spans="1:12" x14ac:dyDescent="0.3">
      <c r="A2663">
        <v>2004</v>
      </c>
      <c r="B2663" t="s">
        <v>20</v>
      </c>
      <c r="C2663">
        <v>95</v>
      </c>
      <c r="D2663">
        <v>3512.4</v>
      </c>
      <c r="E2663">
        <v>39</v>
      </c>
      <c r="F2663" t="s">
        <v>44</v>
      </c>
      <c r="G2663" t="s">
        <v>26</v>
      </c>
      <c r="H2663">
        <v>67</v>
      </c>
      <c r="I2663">
        <v>53.5</v>
      </c>
      <c r="J2663" t="s">
        <v>15</v>
      </c>
      <c r="K2663">
        <v>44235</v>
      </c>
      <c r="L2663" t="s">
        <v>22</v>
      </c>
    </row>
    <row r="2664" spans="1:12" x14ac:dyDescent="0.3">
      <c r="A2664">
        <v>2004</v>
      </c>
      <c r="B2664" t="s">
        <v>20</v>
      </c>
      <c r="C2664">
        <v>6441</v>
      </c>
      <c r="D2664">
        <v>3512.4</v>
      </c>
      <c r="E2664">
        <v>39</v>
      </c>
      <c r="F2664" t="s">
        <v>44</v>
      </c>
      <c r="G2664" t="s">
        <v>26</v>
      </c>
      <c r="H2664">
        <v>62</v>
      </c>
      <c r="I2664">
        <v>52.5</v>
      </c>
      <c r="J2664" t="s">
        <v>15</v>
      </c>
      <c r="K2664">
        <v>203317</v>
      </c>
      <c r="L2664" t="s">
        <v>22</v>
      </c>
    </row>
    <row r="2665" spans="1:12" x14ac:dyDescent="0.3">
      <c r="A2665">
        <v>2004</v>
      </c>
      <c r="B2665" t="s">
        <v>20</v>
      </c>
      <c r="C2665">
        <v>4012</v>
      </c>
      <c r="D2665">
        <v>3512.4</v>
      </c>
      <c r="E2665">
        <v>39</v>
      </c>
      <c r="F2665" t="s">
        <v>44</v>
      </c>
      <c r="G2665" t="s">
        <v>26</v>
      </c>
      <c r="H2665">
        <v>32</v>
      </c>
      <c r="I2665">
        <v>56</v>
      </c>
      <c r="J2665" t="s">
        <v>15</v>
      </c>
      <c r="K2665">
        <v>2134</v>
      </c>
      <c r="L2665" t="s">
        <v>22</v>
      </c>
    </row>
    <row r="2666" spans="1:12" x14ac:dyDescent="0.3">
      <c r="A2666">
        <v>2004</v>
      </c>
      <c r="B2666" t="s">
        <v>20</v>
      </c>
      <c r="C2666">
        <v>4877</v>
      </c>
      <c r="D2666">
        <v>3296</v>
      </c>
      <c r="E2666">
        <v>40</v>
      </c>
      <c r="F2666" t="s">
        <v>44</v>
      </c>
      <c r="G2666" t="s">
        <v>26</v>
      </c>
      <c r="H2666">
        <v>22</v>
      </c>
      <c r="I2666">
        <v>57</v>
      </c>
      <c r="J2666" t="s">
        <v>15</v>
      </c>
      <c r="K2666">
        <v>45186</v>
      </c>
      <c r="L2666" t="s">
        <v>22</v>
      </c>
    </row>
    <row r="2667" spans="1:12" x14ac:dyDescent="0.3">
      <c r="A2667">
        <v>2004</v>
      </c>
      <c r="B2667" t="s">
        <v>20</v>
      </c>
      <c r="C2667">
        <v>4930</v>
      </c>
      <c r="D2667">
        <v>3296</v>
      </c>
      <c r="E2667">
        <v>40</v>
      </c>
      <c r="F2667" t="s">
        <v>44</v>
      </c>
      <c r="G2667" t="s">
        <v>26</v>
      </c>
      <c r="H2667">
        <v>25</v>
      </c>
      <c r="I2667">
        <v>57.5</v>
      </c>
      <c r="J2667" t="s">
        <v>15</v>
      </c>
      <c r="K2667">
        <v>238542</v>
      </c>
      <c r="L2667" t="s">
        <v>22</v>
      </c>
    </row>
    <row r="2668" spans="1:12" x14ac:dyDescent="0.3">
      <c r="A2668">
        <v>2004</v>
      </c>
      <c r="B2668" t="s">
        <v>20</v>
      </c>
      <c r="C2668">
        <v>4954</v>
      </c>
      <c r="D2668">
        <v>3296</v>
      </c>
      <c r="E2668">
        <v>40</v>
      </c>
      <c r="F2668" t="s">
        <v>44</v>
      </c>
      <c r="G2668" t="s">
        <v>26</v>
      </c>
      <c r="H2668">
        <v>4</v>
      </c>
      <c r="I2668">
        <v>57</v>
      </c>
      <c r="J2668" t="s">
        <v>15</v>
      </c>
      <c r="K2668">
        <v>1516</v>
      </c>
      <c r="L2668" t="s">
        <v>22</v>
      </c>
    </row>
    <row r="2669" spans="1:12" x14ac:dyDescent="0.3">
      <c r="A2669">
        <v>2004</v>
      </c>
      <c r="B2669" t="s">
        <v>20</v>
      </c>
      <c r="C2669">
        <v>5019</v>
      </c>
      <c r="D2669">
        <v>3550</v>
      </c>
      <c r="E2669">
        <v>41</v>
      </c>
      <c r="F2669" t="s">
        <v>44</v>
      </c>
      <c r="G2669" t="s">
        <v>26</v>
      </c>
      <c r="H2669">
        <v>9</v>
      </c>
      <c r="I2669">
        <v>55</v>
      </c>
      <c r="J2669" t="s">
        <v>15</v>
      </c>
      <c r="K2669">
        <v>200000</v>
      </c>
      <c r="L2669" t="s">
        <v>22</v>
      </c>
    </row>
    <row r="2670" spans="1:12" x14ac:dyDescent="0.3">
      <c r="A2670">
        <v>2004</v>
      </c>
      <c r="B2670" t="s">
        <v>20</v>
      </c>
      <c r="C2670">
        <v>5127</v>
      </c>
      <c r="D2670">
        <v>3550</v>
      </c>
      <c r="E2670">
        <v>41</v>
      </c>
      <c r="F2670" t="s">
        <v>44</v>
      </c>
      <c r="G2670" t="s">
        <v>26</v>
      </c>
      <c r="H2670">
        <v>12</v>
      </c>
      <c r="I2670">
        <v>56</v>
      </c>
      <c r="J2670" t="s">
        <v>15</v>
      </c>
      <c r="K2670">
        <v>4847</v>
      </c>
      <c r="L2670" t="s">
        <v>22</v>
      </c>
    </row>
    <row r="2671" spans="1:12" x14ac:dyDescent="0.3">
      <c r="A2671">
        <v>2004</v>
      </c>
      <c r="B2671" t="s">
        <v>23</v>
      </c>
      <c r="C2671">
        <v>5174</v>
      </c>
      <c r="D2671">
        <v>3550</v>
      </c>
      <c r="E2671">
        <v>41</v>
      </c>
      <c r="F2671" t="s">
        <v>44</v>
      </c>
      <c r="G2671" t="s">
        <v>26</v>
      </c>
      <c r="H2671">
        <v>2089</v>
      </c>
      <c r="I2671">
        <v>54</v>
      </c>
      <c r="J2671" t="s">
        <v>15</v>
      </c>
      <c r="K2671">
        <v>51239</v>
      </c>
      <c r="L2671" t="s">
        <v>22</v>
      </c>
    </row>
    <row r="2672" spans="1:12" x14ac:dyDescent="0.3">
      <c r="A2672">
        <v>2004</v>
      </c>
      <c r="B2672" t="s">
        <v>23</v>
      </c>
      <c r="C2672">
        <v>5294</v>
      </c>
      <c r="D2672">
        <v>3654</v>
      </c>
      <c r="E2672">
        <v>42</v>
      </c>
      <c r="F2672" t="s">
        <v>44</v>
      </c>
      <c r="G2672" t="s">
        <v>26</v>
      </c>
      <c r="H2672">
        <v>2810</v>
      </c>
      <c r="I2672">
        <v>58</v>
      </c>
      <c r="J2672" t="s">
        <v>15</v>
      </c>
      <c r="K2672">
        <v>216396</v>
      </c>
      <c r="L2672" t="s">
        <v>22</v>
      </c>
    </row>
    <row r="2673" spans="1:12" x14ac:dyDescent="0.3">
      <c r="A2673">
        <v>2004</v>
      </c>
      <c r="B2673" t="s">
        <v>23</v>
      </c>
      <c r="C2673">
        <v>5474</v>
      </c>
      <c r="D2673">
        <v>3654</v>
      </c>
      <c r="E2673">
        <v>42</v>
      </c>
      <c r="F2673" t="s">
        <v>44</v>
      </c>
      <c r="G2673" t="s">
        <v>26</v>
      </c>
      <c r="H2673">
        <v>841</v>
      </c>
      <c r="I2673">
        <v>58</v>
      </c>
      <c r="J2673" t="s">
        <v>15</v>
      </c>
      <c r="K2673">
        <v>2644</v>
      </c>
      <c r="L2673" t="s">
        <v>22</v>
      </c>
    </row>
    <row r="2674" spans="1:12" x14ac:dyDescent="0.3">
      <c r="A2674">
        <v>2004</v>
      </c>
      <c r="B2674" t="s">
        <v>23</v>
      </c>
      <c r="C2674">
        <v>5864</v>
      </c>
      <c r="D2674">
        <v>3654</v>
      </c>
      <c r="E2674">
        <v>42</v>
      </c>
      <c r="F2674" t="s">
        <v>44</v>
      </c>
      <c r="G2674" t="s">
        <v>26</v>
      </c>
      <c r="H2674">
        <v>3550</v>
      </c>
      <c r="I2674">
        <v>59</v>
      </c>
      <c r="J2674" t="s">
        <v>15</v>
      </c>
      <c r="K2674">
        <v>44235</v>
      </c>
      <c r="L2674" t="s">
        <v>22</v>
      </c>
    </row>
    <row r="2675" spans="1:12" x14ac:dyDescent="0.3">
      <c r="A2675">
        <v>2004</v>
      </c>
      <c r="B2675" t="s">
        <v>23</v>
      </c>
      <c r="C2675">
        <v>7028</v>
      </c>
      <c r="D2675">
        <v>233</v>
      </c>
      <c r="E2675">
        <v>43</v>
      </c>
      <c r="F2675" t="s">
        <v>44</v>
      </c>
      <c r="G2675" t="s">
        <v>26</v>
      </c>
      <c r="H2675">
        <v>109</v>
      </c>
      <c r="I2675">
        <v>50</v>
      </c>
      <c r="J2675" t="s">
        <v>15</v>
      </c>
      <c r="K2675">
        <v>203317</v>
      </c>
      <c r="L2675" t="s">
        <v>22</v>
      </c>
    </row>
    <row r="2676" spans="1:12" x14ac:dyDescent="0.3">
      <c r="A2676">
        <v>2004</v>
      </c>
      <c r="B2676" t="s">
        <v>23</v>
      </c>
      <c r="C2676">
        <v>7403</v>
      </c>
      <c r="D2676">
        <v>233</v>
      </c>
      <c r="E2676">
        <v>43</v>
      </c>
      <c r="F2676" t="s">
        <v>44</v>
      </c>
      <c r="G2676" t="s">
        <v>26</v>
      </c>
      <c r="H2676">
        <v>3368</v>
      </c>
      <c r="I2676">
        <v>54</v>
      </c>
      <c r="J2676" t="s">
        <v>15</v>
      </c>
      <c r="K2676">
        <v>2134</v>
      </c>
      <c r="L2676" t="s">
        <v>22</v>
      </c>
    </row>
    <row r="2677" spans="1:12" x14ac:dyDescent="0.3">
      <c r="A2677">
        <v>2004</v>
      </c>
      <c r="B2677" t="s">
        <v>23</v>
      </c>
      <c r="C2677">
        <v>7501</v>
      </c>
      <c r="D2677">
        <v>233</v>
      </c>
      <c r="E2677">
        <v>128</v>
      </c>
      <c r="F2677" t="s">
        <v>44</v>
      </c>
      <c r="G2677" t="s">
        <v>14</v>
      </c>
      <c r="H2677">
        <v>3671</v>
      </c>
      <c r="I2677">
        <v>53</v>
      </c>
      <c r="J2677" t="s">
        <v>28</v>
      </c>
      <c r="K2677">
        <v>45186</v>
      </c>
      <c r="L2677" t="s">
        <v>22</v>
      </c>
    </row>
    <row r="2678" spans="1:12" x14ac:dyDescent="0.3">
      <c r="A2678">
        <v>2004</v>
      </c>
      <c r="B2678" t="s">
        <v>23</v>
      </c>
      <c r="C2678">
        <v>7714</v>
      </c>
      <c r="D2678">
        <v>2903.1</v>
      </c>
      <c r="E2678">
        <v>129</v>
      </c>
      <c r="F2678" t="s">
        <v>44</v>
      </c>
      <c r="G2678" t="s">
        <v>14</v>
      </c>
      <c r="H2678">
        <v>2404</v>
      </c>
      <c r="I2678">
        <v>52</v>
      </c>
      <c r="J2678" t="s">
        <v>28</v>
      </c>
      <c r="K2678">
        <v>238542</v>
      </c>
      <c r="L2678" t="s">
        <v>22</v>
      </c>
    </row>
    <row r="2679" spans="1:12" x14ac:dyDescent="0.3">
      <c r="A2679">
        <v>2004</v>
      </c>
      <c r="B2679" t="s">
        <v>23</v>
      </c>
      <c r="C2679">
        <v>7856</v>
      </c>
      <c r="D2679">
        <v>2903.1</v>
      </c>
      <c r="E2679">
        <v>130</v>
      </c>
      <c r="F2679" t="s">
        <v>44</v>
      </c>
      <c r="G2679" t="s">
        <v>14</v>
      </c>
      <c r="H2679">
        <v>2805</v>
      </c>
      <c r="I2679">
        <v>51</v>
      </c>
      <c r="J2679" t="s">
        <v>28</v>
      </c>
      <c r="K2679">
        <v>1516</v>
      </c>
      <c r="L2679" t="s">
        <v>22</v>
      </c>
    </row>
    <row r="2680" spans="1:12" x14ac:dyDescent="0.3">
      <c r="A2680">
        <v>2004</v>
      </c>
      <c r="B2680" t="s">
        <v>23</v>
      </c>
      <c r="C2680">
        <v>32</v>
      </c>
      <c r="D2680">
        <v>2903.1</v>
      </c>
      <c r="E2680">
        <v>131</v>
      </c>
      <c r="F2680" t="s">
        <v>44</v>
      </c>
      <c r="G2680" t="s">
        <v>14</v>
      </c>
      <c r="H2680">
        <v>2331</v>
      </c>
      <c r="I2680">
        <v>57</v>
      </c>
      <c r="J2680" t="s">
        <v>28</v>
      </c>
      <c r="K2680">
        <v>57259</v>
      </c>
      <c r="L2680" t="s">
        <v>22</v>
      </c>
    </row>
    <row r="2681" spans="1:12" x14ac:dyDescent="0.3">
      <c r="A2681">
        <v>2004</v>
      </c>
      <c r="B2681" t="s">
        <v>23</v>
      </c>
      <c r="C2681">
        <v>1</v>
      </c>
      <c r="D2681">
        <v>2996.6</v>
      </c>
      <c r="E2681">
        <v>132</v>
      </c>
      <c r="F2681" t="s">
        <v>44</v>
      </c>
      <c r="G2681" t="s">
        <v>14</v>
      </c>
      <c r="H2681">
        <v>2088</v>
      </c>
      <c r="I2681">
        <v>57</v>
      </c>
      <c r="J2681" t="s">
        <v>28</v>
      </c>
      <c r="K2681">
        <v>234779</v>
      </c>
      <c r="L2681" t="s">
        <v>22</v>
      </c>
    </row>
    <row r="2682" spans="1:12" x14ac:dyDescent="0.3">
      <c r="A2682">
        <v>2004</v>
      </c>
      <c r="B2682" t="s">
        <v>23</v>
      </c>
      <c r="C2682">
        <v>30</v>
      </c>
      <c r="D2682">
        <v>2996.6</v>
      </c>
      <c r="E2682">
        <v>133</v>
      </c>
      <c r="F2682" t="s">
        <v>44</v>
      </c>
      <c r="G2682" t="s">
        <v>14</v>
      </c>
      <c r="H2682">
        <v>2628</v>
      </c>
      <c r="I2682">
        <v>60</v>
      </c>
      <c r="J2682" t="s">
        <v>28</v>
      </c>
      <c r="K2682">
        <v>1493</v>
      </c>
      <c r="L2682" t="s">
        <v>22</v>
      </c>
    </row>
    <row r="2683" spans="1:12" x14ac:dyDescent="0.3">
      <c r="A2683">
        <v>2004</v>
      </c>
      <c r="B2683" t="s">
        <v>23</v>
      </c>
      <c r="C2683">
        <v>6</v>
      </c>
      <c r="D2683">
        <v>2996.6</v>
      </c>
      <c r="E2683">
        <v>134</v>
      </c>
      <c r="F2683" t="s">
        <v>44</v>
      </c>
      <c r="G2683" t="s">
        <v>14</v>
      </c>
      <c r="H2683">
        <v>1939</v>
      </c>
      <c r="I2683">
        <v>57</v>
      </c>
      <c r="J2683" t="s">
        <v>29</v>
      </c>
      <c r="K2683">
        <v>64409</v>
      </c>
      <c r="L2683" t="s">
        <v>22</v>
      </c>
    </row>
    <row r="2684" spans="1:12" x14ac:dyDescent="0.3">
      <c r="A2684">
        <v>2004</v>
      </c>
      <c r="B2684" t="s">
        <v>23</v>
      </c>
      <c r="C2684">
        <v>15</v>
      </c>
      <c r="D2684">
        <v>3522.8</v>
      </c>
      <c r="E2684">
        <v>135</v>
      </c>
      <c r="F2684" t="s">
        <v>44</v>
      </c>
      <c r="G2684" t="s">
        <v>14</v>
      </c>
      <c r="H2684">
        <v>1871</v>
      </c>
      <c r="I2684">
        <v>57</v>
      </c>
      <c r="J2684" t="s">
        <v>29</v>
      </c>
      <c r="K2684">
        <v>249978</v>
      </c>
      <c r="L2684" t="s">
        <v>22</v>
      </c>
    </row>
    <row r="2685" spans="1:12" x14ac:dyDescent="0.3">
      <c r="A2685">
        <v>2004</v>
      </c>
      <c r="B2685" t="s">
        <v>23</v>
      </c>
      <c r="C2685">
        <v>4</v>
      </c>
      <c r="D2685">
        <v>3522.8</v>
      </c>
      <c r="E2685">
        <v>136</v>
      </c>
      <c r="F2685" t="s">
        <v>44</v>
      </c>
      <c r="G2685" t="s">
        <v>14</v>
      </c>
      <c r="H2685">
        <v>1868</v>
      </c>
      <c r="I2685">
        <v>54</v>
      </c>
      <c r="J2685" t="s">
        <v>29</v>
      </c>
      <c r="K2685">
        <v>637</v>
      </c>
      <c r="L2685" t="s">
        <v>22</v>
      </c>
    </row>
    <row r="2686" spans="1:12" x14ac:dyDescent="0.3">
      <c r="A2686">
        <v>2004</v>
      </c>
      <c r="B2686" t="s">
        <v>23</v>
      </c>
      <c r="C2686">
        <v>39</v>
      </c>
      <c r="D2686">
        <v>3522.8</v>
      </c>
      <c r="E2686">
        <v>137</v>
      </c>
      <c r="F2686" t="s">
        <v>44</v>
      </c>
      <c r="G2686" t="s">
        <v>14</v>
      </c>
      <c r="H2686">
        <v>127919</v>
      </c>
      <c r="I2686">
        <v>54.5</v>
      </c>
      <c r="J2686" t="s">
        <v>29</v>
      </c>
      <c r="K2686">
        <v>43311</v>
      </c>
      <c r="L2686" t="s">
        <v>22</v>
      </c>
    </row>
    <row r="2687" spans="1:12" x14ac:dyDescent="0.3">
      <c r="A2687">
        <v>2004</v>
      </c>
      <c r="B2687" t="s">
        <v>23</v>
      </c>
      <c r="C2687">
        <v>6</v>
      </c>
      <c r="D2687">
        <v>3729.8</v>
      </c>
      <c r="E2687">
        <v>138</v>
      </c>
      <c r="F2687" t="s">
        <v>44</v>
      </c>
      <c r="G2687" t="s">
        <v>14</v>
      </c>
      <c r="H2687">
        <v>75340</v>
      </c>
      <c r="I2687">
        <v>56.6</v>
      </c>
      <c r="J2687" t="s">
        <v>29</v>
      </c>
      <c r="K2687">
        <v>24848</v>
      </c>
      <c r="L2687" t="s">
        <v>22</v>
      </c>
    </row>
    <row r="2688" spans="1:12" x14ac:dyDescent="0.3">
      <c r="A2688">
        <v>2004</v>
      </c>
      <c r="B2688" t="s">
        <v>23</v>
      </c>
      <c r="C2688">
        <v>12</v>
      </c>
      <c r="D2688">
        <v>3729.8</v>
      </c>
      <c r="E2688">
        <v>139</v>
      </c>
      <c r="F2688" t="s">
        <v>44</v>
      </c>
      <c r="G2688" t="s">
        <v>14</v>
      </c>
      <c r="H2688">
        <v>29170</v>
      </c>
      <c r="I2688">
        <v>55.5</v>
      </c>
      <c r="J2688" t="s">
        <v>29</v>
      </c>
      <c r="K2688">
        <v>761</v>
      </c>
      <c r="L2688" t="s">
        <v>22</v>
      </c>
    </row>
    <row r="2689" spans="1:12" x14ac:dyDescent="0.3">
      <c r="A2689">
        <v>2004</v>
      </c>
      <c r="B2689" t="s">
        <v>23</v>
      </c>
      <c r="C2689">
        <v>3</v>
      </c>
      <c r="D2689">
        <v>3729.8</v>
      </c>
      <c r="E2689">
        <v>140</v>
      </c>
      <c r="F2689" t="s">
        <v>44</v>
      </c>
      <c r="G2689" t="s">
        <v>14</v>
      </c>
      <c r="H2689">
        <v>1901</v>
      </c>
      <c r="I2689">
        <v>58.5</v>
      </c>
      <c r="J2689" t="s">
        <v>29</v>
      </c>
      <c r="K2689">
        <v>45608</v>
      </c>
      <c r="L2689" t="s">
        <v>22</v>
      </c>
    </row>
    <row r="2690" spans="1:12" x14ac:dyDescent="0.3">
      <c r="A2690">
        <v>2004</v>
      </c>
      <c r="B2690" t="s">
        <v>23</v>
      </c>
      <c r="C2690">
        <v>17</v>
      </c>
      <c r="D2690">
        <v>2746.2</v>
      </c>
      <c r="E2690">
        <v>141</v>
      </c>
      <c r="F2690" t="s">
        <v>44</v>
      </c>
      <c r="G2690" t="s">
        <v>14</v>
      </c>
      <c r="H2690">
        <v>972</v>
      </c>
      <c r="I2690">
        <v>59.5</v>
      </c>
      <c r="J2690" t="s">
        <v>29</v>
      </c>
      <c r="K2690">
        <v>234581</v>
      </c>
      <c r="L2690" t="s">
        <v>22</v>
      </c>
    </row>
    <row r="2691" spans="1:12" x14ac:dyDescent="0.3">
      <c r="A2691">
        <v>2004</v>
      </c>
      <c r="B2691" t="s">
        <v>23</v>
      </c>
      <c r="C2691">
        <v>3</v>
      </c>
      <c r="D2691">
        <v>2746.2</v>
      </c>
      <c r="E2691">
        <v>142</v>
      </c>
      <c r="F2691" t="s">
        <v>44</v>
      </c>
      <c r="G2691" t="s">
        <v>14</v>
      </c>
      <c r="H2691">
        <v>874</v>
      </c>
      <c r="I2691">
        <v>55</v>
      </c>
      <c r="J2691" t="s">
        <v>29</v>
      </c>
      <c r="K2691">
        <v>646</v>
      </c>
      <c r="L2691" t="s">
        <v>22</v>
      </c>
    </row>
    <row r="2692" spans="1:12" x14ac:dyDescent="0.3">
      <c r="A2692">
        <v>2004</v>
      </c>
      <c r="B2692" t="s">
        <v>23</v>
      </c>
      <c r="C2692">
        <v>9</v>
      </c>
      <c r="D2692">
        <v>2746.2</v>
      </c>
      <c r="E2692">
        <v>143</v>
      </c>
      <c r="F2692" t="s">
        <v>44</v>
      </c>
      <c r="G2692" t="s">
        <v>14</v>
      </c>
      <c r="H2692">
        <v>592</v>
      </c>
      <c r="I2692">
        <v>53</v>
      </c>
      <c r="J2692" t="s">
        <v>29</v>
      </c>
      <c r="K2692">
        <v>43562</v>
      </c>
      <c r="L2692" t="s">
        <v>22</v>
      </c>
    </row>
    <row r="2693" spans="1:12" x14ac:dyDescent="0.3">
      <c r="A2693">
        <v>2004</v>
      </c>
      <c r="B2693" t="s">
        <v>23</v>
      </c>
      <c r="C2693">
        <v>21</v>
      </c>
      <c r="D2693">
        <v>3360</v>
      </c>
      <c r="E2693">
        <v>144</v>
      </c>
      <c r="F2693" t="s">
        <v>44</v>
      </c>
      <c r="G2693" t="s">
        <v>14</v>
      </c>
      <c r="H2693">
        <v>864</v>
      </c>
      <c r="I2693">
        <v>53.5</v>
      </c>
      <c r="J2693" t="s">
        <v>29</v>
      </c>
      <c r="K2693">
        <v>200000</v>
      </c>
      <c r="L2693" t="s">
        <v>22</v>
      </c>
    </row>
    <row r="2694" spans="1:12" x14ac:dyDescent="0.3">
      <c r="A2694">
        <v>2004</v>
      </c>
      <c r="B2694" t="s">
        <v>23</v>
      </c>
      <c r="C2694">
        <v>11</v>
      </c>
      <c r="D2694">
        <v>3360</v>
      </c>
      <c r="E2694">
        <v>27</v>
      </c>
      <c r="F2694" t="s">
        <v>44</v>
      </c>
      <c r="G2694" t="s">
        <v>14</v>
      </c>
      <c r="H2694">
        <v>5373</v>
      </c>
      <c r="I2694">
        <v>52.5</v>
      </c>
      <c r="J2694" t="s">
        <v>29</v>
      </c>
      <c r="K2694">
        <v>4847</v>
      </c>
      <c r="L2694" t="s">
        <v>22</v>
      </c>
    </row>
    <row r="2695" spans="1:12" x14ac:dyDescent="0.3">
      <c r="A2695">
        <v>2004</v>
      </c>
      <c r="B2695" t="s">
        <v>23</v>
      </c>
      <c r="C2695">
        <v>4</v>
      </c>
      <c r="D2695">
        <v>3360</v>
      </c>
      <c r="E2695">
        <v>27</v>
      </c>
      <c r="F2695" t="s">
        <v>44</v>
      </c>
      <c r="G2695" t="s">
        <v>14</v>
      </c>
      <c r="H2695">
        <v>6589</v>
      </c>
      <c r="I2695">
        <v>56</v>
      </c>
      <c r="J2695" t="s">
        <v>29</v>
      </c>
      <c r="K2695">
        <v>51239</v>
      </c>
      <c r="L2695" t="s">
        <v>22</v>
      </c>
    </row>
    <row r="2696" spans="1:12" x14ac:dyDescent="0.3">
      <c r="A2696">
        <v>2004</v>
      </c>
      <c r="B2696" t="s">
        <v>23</v>
      </c>
      <c r="C2696">
        <v>15</v>
      </c>
      <c r="D2696">
        <v>3605.4</v>
      </c>
      <c r="E2696">
        <v>27</v>
      </c>
      <c r="F2696" t="s">
        <v>44</v>
      </c>
      <c r="G2696" t="s">
        <v>14</v>
      </c>
      <c r="H2696">
        <v>5107</v>
      </c>
      <c r="I2696">
        <v>57</v>
      </c>
      <c r="J2696" t="s">
        <v>29</v>
      </c>
      <c r="K2696">
        <v>216396</v>
      </c>
      <c r="L2696" t="s">
        <v>22</v>
      </c>
    </row>
    <row r="2697" spans="1:12" x14ac:dyDescent="0.3">
      <c r="A2697">
        <v>2004</v>
      </c>
      <c r="B2697" t="s">
        <v>23</v>
      </c>
      <c r="C2697">
        <v>8</v>
      </c>
      <c r="D2697">
        <v>3605.4</v>
      </c>
      <c r="E2697">
        <v>27</v>
      </c>
      <c r="F2697" t="s">
        <v>44</v>
      </c>
      <c r="G2697" t="s">
        <v>14</v>
      </c>
      <c r="H2697">
        <v>5518</v>
      </c>
      <c r="I2697">
        <v>57.5</v>
      </c>
      <c r="J2697" t="s">
        <v>29</v>
      </c>
      <c r="K2697">
        <v>2644</v>
      </c>
      <c r="L2697" t="s">
        <v>22</v>
      </c>
    </row>
    <row r="2698" spans="1:12" x14ac:dyDescent="0.3">
      <c r="A2698">
        <v>2004</v>
      </c>
      <c r="B2698" t="s">
        <v>23</v>
      </c>
      <c r="C2698">
        <v>29</v>
      </c>
      <c r="D2698">
        <v>3605.4</v>
      </c>
      <c r="E2698">
        <v>27</v>
      </c>
      <c r="F2698" t="s">
        <v>44</v>
      </c>
      <c r="G2698" t="s">
        <v>14</v>
      </c>
      <c r="H2698">
        <v>4912</v>
      </c>
      <c r="I2698">
        <v>57</v>
      </c>
      <c r="J2698" t="s">
        <v>30</v>
      </c>
      <c r="K2698">
        <v>44235</v>
      </c>
      <c r="L2698" t="s">
        <v>22</v>
      </c>
    </row>
    <row r="2699" spans="1:12" x14ac:dyDescent="0.3">
      <c r="A2699">
        <v>2004</v>
      </c>
      <c r="B2699" t="s">
        <v>23</v>
      </c>
      <c r="C2699">
        <v>1</v>
      </c>
      <c r="D2699">
        <v>3512.4</v>
      </c>
      <c r="E2699">
        <v>27</v>
      </c>
      <c r="F2699" t="s">
        <v>44</v>
      </c>
      <c r="G2699" t="s">
        <v>14</v>
      </c>
      <c r="H2699">
        <v>3830</v>
      </c>
      <c r="I2699">
        <v>55</v>
      </c>
      <c r="J2699" t="s">
        <v>30</v>
      </c>
      <c r="K2699">
        <v>203317</v>
      </c>
      <c r="L2699" t="s">
        <v>22</v>
      </c>
    </row>
    <row r="2700" spans="1:12" x14ac:dyDescent="0.3">
      <c r="A2700">
        <v>2004</v>
      </c>
      <c r="B2700" t="s">
        <v>23</v>
      </c>
      <c r="C2700">
        <v>13736</v>
      </c>
      <c r="D2700">
        <v>3512.4</v>
      </c>
      <c r="E2700">
        <v>27.2</v>
      </c>
      <c r="F2700" t="s">
        <v>44</v>
      </c>
      <c r="G2700" t="s">
        <v>14</v>
      </c>
      <c r="H2700">
        <v>4</v>
      </c>
      <c r="I2700">
        <v>56</v>
      </c>
      <c r="J2700" t="s">
        <v>30</v>
      </c>
      <c r="K2700">
        <v>2134</v>
      </c>
      <c r="L2700" t="s">
        <v>22</v>
      </c>
    </row>
    <row r="2701" spans="1:12" x14ac:dyDescent="0.3">
      <c r="A2701">
        <v>2004</v>
      </c>
      <c r="B2701" t="s">
        <v>23</v>
      </c>
      <c r="C2701">
        <v>14003</v>
      </c>
      <c r="D2701">
        <v>3512.4</v>
      </c>
      <c r="E2701">
        <v>27.2</v>
      </c>
      <c r="F2701" t="s">
        <v>44</v>
      </c>
      <c r="G2701" t="s">
        <v>14</v>
      </c>
      <c r="H2701">
        <v>9</v>
      </c>
      <c r="I2701">
        <v>54</v>
      </c>
      <c r="J2701" t="s">
        <v>30</v>
      </c>
      <c r="K2701">
        <v>45186</v>
      </c>
      <c r="L2701" t="s">
        <v>22</v>
      </c>
    </row>
    <row r="2702" spans="1:12" x14ac:dyDescent="0.3">
      <c r="A2702">
        <v>2004</v>
      </c>
      <c r="B2702" t="s">
        <v>23</v>
      </c>
      <c r="C2702">
        <v>14179</v>
      </c>
      <c r="D2702">
        <v>3296</v>
      </c>
      <c r="E2702">
        <v>27.2</v>
      </c>
      <c r="F2702" t="s">
        <v>13</v>
      </c>
      <c r="G2702" t="s">
        <v>14</v>
      </c>
      <c r="H2702">
        <v>12</v>
      </c>
      <c r="I2702">
        <v>58</v>
      </c>
      <c r="J2702" t="s">
        <v>30</v>
      </c>
      <c r="K2702">
        <v>238542</v>
      </c>
      <c r="L2702" t="s">
        <v>22</v>
      </c>
    </row>
    <row r="2703" spans="1:12" x14ac:dyDescent="0.3">
      <c r="A2703">
        <v>2004</v>
      </c>
      <c r="B2703" t="s">
        <v>23</v>
      </c>
      <c r="C2703">
        <v>14319</v>
      </c>
      <c r="D2703">
        <v>3296</v>
      </c>
      <c r="E2703">
        <v>27</v>
      </c>
      <c r="F2703" t="s">
        <v>13</v>
      </c>
      <c r="G2703" t="s">
        <v>14</v>
      </c>
      <c r="H2703">
        <v>2089</v>
      </c>
      <c r="I2703">
        <v>58</v>
      </c>
      <c r="J2703" t="s">
        <v>30</v>
      </c>
      <c r="K2703">
        <v>1516</v>
      </c>
      <c r="L2703" t="s">
        <v>22</v>
      </c>
    </row>
    <row r="2704" spans="1:12" x14ac:dyDescent="0.3">
      <c r="A2704">
        <v>2004</v>
      </c>
      <c r="B2704" t="s">
        <v>23</v>
      </c>
      <c r="C2704">
        <v>14464</v>
      </c>
      <c r="D2704">
        <v>3296</v>
      </c>
      <c r="E2704">
        <v>27</v>
      </c>
      <c r="F2704" t="s">
        <v>13</v>
      </c>
      <c r="G2704" t="s">
        <v>14</v>
      </c>
      <c r="H2704">
        <v>2810</v>
      </c>
      <c r="I2704">
        <v>59</v>
      </c>
      <c r="J2704" t="s">
        <v>30</v>
      </c>
      <c r="K2704">
        <v>57259</v>
      </c>
      <c r="L2704" t="s">
        <v>22</v>
      </c>
    </row>
    <row r="2705" spans="1:12" x14ac:dyDescent="0.3">
      <c r="A2705">
        <v>2004</v>
      </c>
      <c r="B2705" t="s">
        <v>23</v>
      </c>
      <c r="C2705">
        <v>14876</v>
      </c>
      <c r="D2705">
        <v>3550</v>
      </c>
      <c r="E2705">
        <v>27</v>
      </c>
      <c r="F2705" t="s">
        <v>13</v>
      </c>
      <c r="G2705" t="s">
        <v>14</v>
      </c>
      <c r="H2705">
        <v>841</v>
      </c>
      <c r="I2705">
        <v>50</v>
      </c>
      <c r="J2705" t="s">
        <v>30</v>
      </c>
      <c r="K2705">
        <v>234779</v>
      </c>
      <c r="L2705" t="s">
        <v>22</v>
      </c>
    </row>
    <row r="2706" spans="1:12" x14ac:dyDescent="0.3">
      <c r="A2706">
        <v>2004</v>
      </c>
      <c r="B2706" t="s">
        <v>23</v>
      </c>
      <c r="C2706">
        <v>14976</v>
      </c>
      <c r="D2706">
        <v>3550</v>
      </c>
      <c r="E2706">
        <v>27</v>
      </c>
      <c r="F2706" t="s">
        <v>13</v>
      </c>
      <c r="G2706" t="s">
        <v>14</v>
      </c>
      <c r="H2706">
        <v>3550</v>
      </c>
      <c r="I2706">
        <v>54</v>
      </c>
      <c r="J2706" t="s">
        <v>30</v>
      </c>
      <c r="K2706">
        <v>1493</v>
      </c>
      <c r="L2706" t="s">
        <v>22</v>
      </c>
    </row>
    <row r="2707" spans="1:12" x14ac:dyDescent="0.3">
      <c r="A2707">
        <v>2004</v>
      </c>
      <c r="B2707" t="s">
        <v>23</v>
      </c>
      <c r="C2707">
        <v>15009</v>
      </c>
      <c r="D2707">
        <v>3550</v>
      </c>
      <c r="E2707">
        <v>27</v>
      </c>
      <c r="F2707" t="s">
        <v>13</v>
      </c>
      <c r="G2707" t="s">
        <v>14</v>
      </c>
      <c r="H2707">
        <v>109</v>
      </c>
      <c r="I2707">
        <v>53</v>
      </c>
      <c r="J2707" t="s">
        <v>30</v>
      </c>
      <c r="K2707">
        <v>64409</v>
      </c>
      <c r="L2707" t="s">
        <v>22</v>
      </c>
    </row>
    <row r="2708" spans="1:12" x14ac:dyDescent="0.3">
      <c r="A2708">
        <v>2004</v>
      </c>
      <c r="B2708" t="s">
        <v>31</v>
      </c>
      <c r="C2708">
        <v>15114</v>
      </c>
      <c r="D2708">
        <v>3654</v>
      </c>
      <c r="E2708">
        <v>27</v>
      </c>
      <c r="F2708" t="s">
        <v>13</v>
      </c>
      <c r="G2708" t="s">
        <v>14</v>
      </c>
      <c r="H2708">
        <v>3368</v>
      </c>
      <c r="I2708">
        <v>52</v>
      </c>
      <c r="J2708" t="s">
        <v>30</v>
      </c>
      <c r="K2708">
        <v>249978</v>
      </c>
      <c r="L2708" t="s">
        <v>22</v>
      </c>
    </row>
    <row r="2709" spans="1:12" x14ac:dyDescent="0.3">
      <c r="A2709">
        <v>2004</v>
      </c>
      <c r="B2709" t="s">
        <v>31</v>
      </c>
      <c r="C2709">
        <v>16224</v>
      </c>
      <c r="D2709">
        <v>3654</v>
      </c>
      <c r="E2709">
        <v>27.2</v>
      </c>
      <c r="F2709" t="s">
        <v>13</v>
      </c>
      <c r="G2709" t="s">
        <v>14</v>
      </c>
      <c r="H2709">
        <v>3671</v>
      </c>
      <c r="I2709">
        <v>51</v>
      </c>
      <c r="J2709" t="s">
        <v>30</v>
      </c>
      <c r="K2709">
        <v>637</v>
      </c>
      <c r="L2709" t="s">
        <v>22</v>
      </c>
    </row>
    <row r="2710" spans="1:12" x14ac:dyDescent="0.3">
      <c r="A2710">
        <v>2004</v>
      </c>
      <c r="B2710" t="s">
        <v>31</v>
      </c>
      <c r="C2710">
        <v>17095</v>
      </c>
      <c r="D2710">
        <v>3654</v>
      </c>
      <c r="E2710">
        <v>27.2</v>
      </c>
      <c r="F2710" t="s">
        <v>13</v>
      </c>
      <c r="G2710" t="s">
        <v>14</v>
      </c>
      <c r="H2710">
        <v>2404</v>
      </c>
      <c r="I2710">
        <v>57</v>
      </c>
      <c r="J2710" t="s">
        <v>30</v>
      </c>
      <c r="K2710">
        <v>43311</v>
      </c>
      <c r="L2710" t="s">
        <v>22</v>
      </c>
    </row>
    <row r="2711" spans="1:12" x14ac:dyDescent="0.3">
      <c r="A2711">
        <v>2004</v>
      </c>
      <c r="B2711" t="s">
        <v>31</v>
      </c>
      <c r="C2711">
        <v>17512</v>
      </c>
      <c r="D2711">
        <v>233</v>
      </c>
      <c r="E2711">
        <v>27.2</v>
      </c>
      <c r="F2711" t="s">
        <v>13</v>
      </c>
      <c r="G2711" t="s">
        <v>14</v>
      </c>
      <c r="H2711">
        <v>2805</v>
      </c>
      <c r="I2711">
        <v>57</v>
      </c>
      <c r="J2711" t="s">
        <v>30</v>
      </c>
      <c r="K2711">
        <v>24848</v>
      </c>
      <c r="L2711" t="s">
        <v>22</v>
      </c>
    </row>
    <row r="2712" spans="1:12" x14ac:dyDescent="0.3">
      <c r="A2712">
        <v>2004</v>
      </c>
      <c r="B2712" t="s">
        <v>31</v>
      </c>
      <c r="C2712">
        <v>17587</v>
      </c>
      <c r="D2712">
        <v>233</v>
      </c>
      <c r="E2712">
        <v>27.1</v>
      </c>
      <c r="F2712" t="s">
        <v>13</v>
      </c>
      <c r="G2712" t="s">
        <v>14</v>
      </c>
      <c r="H2712">
        <v>2331</v>
      </c>
      <c r="I2712">
        <v>60</v>
      </c>
      <c r="J2712" t="s">
        <v>30</v>
      </c>
      <c r="K2712">
        <v>761</v>
      </c>
      <c r="L2712" t="s">
        <v>22</v>
      </c>
    </row>
    <row r="2713" spans="1:12" x14ac:dyDescent="0.3">
      <c r="A2713">
        <v>2004</v>
      </c>
      <c r="B2713" t="s">
        <v>31</v>
      </c>
      <c r="C2713">
        <v>17771</v>
      </c>
      <c r="D2713">
        <v>233</v>
      </c>
      <c r="E2713">
        <v>27.1</v>
      </c>
      <c r="F2713" t="s">
        <v>13</v>
      </c>
      <c r="G2713" t="s">
        <v>14</v>
      </c>
      <c r="H2713">
        <v>2088</v>
      </c>
      <c r="I2713">
        <v>57</v>
      </c>
      <c r="J2713" t="s">
        <v>32</v>
      </c>
      <c r="K2713">
        <v>45608</v>
      </c>
      <c r="L2713" t="s">
        <v>22</v>
      </c>
    </row>
    <row r="2714" spans="1:12" x14ac:dyDescent="0.3">
      <c r="A2714">
        <v>2004</v>
      </c>
      <c r="B2714" t="s">
        <v>31</v>
      </c>
      <c r="C2714">
        <v>17825</v>
      </c>
      <c r="D2714">
        <v>234</v>
      </c>
      <c r="E2714">
        <v>27.1</v>
      </c>
      <c r="F2714" t="s">
        <v>13</v>
      </c>
      <c r="G2714" t="s">
        <v>14</v>
      </c>
      <c r="H2714">
        <v>2628</v>
      </c>
      <c r="I2714">
        <v>57</v>
      </c>
      <c r="J2714" t="s">
        <v>32</v>
      </c>
      <c r="K2714">
        <v>234581</v>
      </c>
      <c r="L2714" t="s">
        <v>22</v>
      </c>
    </row>
    <row r="2715" spans="1:12" x14ac:dyDescent="0.3">
      <c r="A2715">
        <v>2004</v>
      </c>
      <c r="B2715" t="s">
        <v>31</v>
      </c>
      <c r="C2715">
        <v>3147</v>
      </c>
      <c r="D2715">
        <v>234</v>
      </c>
      <c r="E2715">
        <v>26.8</v>
      </c>
      <c r="F2715" t="s">
        <v>13</v>
      </c>
      <c r="G2715" t="s">
        <v>14</v>
      </c>
      <c r="H2715">
        <v>1939</v>
      </c>
      <c r="I2715">
        <v>54</v>
      </c>
      <c r="J2715" t="s">
        <v>32</v>
      </c>
      <c r="K2715">
        <v>646</v>
      </c>
      <c r="L2715" t="s">
        <v>22</v>
      </c>
    </row>
    <row r="2716" spans="1:12" x14ac:dyDescent="0.3">
      <c r="A2716">
        <v>2004</v>
      </c>
      <c r="B2716" t="s">
        <v>31</v>
      </c>
      <c r="C2716">
        <v>2578</v>
      </c>
      <c r="D2716">
        <v>234</v>
      </c>
      <c r="E2716">
        <v>26.8</v>
      </c>
      <c r="F2716" t="s">
        <v>13</v>
      </c>
      <c r="G2716" t="s">
        <v>14</v>
      </c>
      <c r="H2716">
        <v>1871</v>
      </c>
      <c r="I2716">
        <v>54.5</v>
      </c>
      <c r="J2716" t="s">
        <v>32</v>
      </c>
      <c r="K2716">
        <v>43562</v>
      </c>
      <c r="L2716" t="s">
        <v>22</v>
      </c>
    </row>
    <row r="2717" spans="1:12" x14ac:dyDescent="0.3">
      <c r="A2717">
        <v>2004</v>
      </c>
      <c r="B2717" t="s">
        <v>31</v>
      </c>
      <c r="C2717">
        <v>1591</v>
      </c>
      <c r="D2717">
        <v>3105</v>
      </c>
      <c r="E2717">
        <v>26.8</v>
      </c>
      <c r="F2717" t="s">
        <v>13</v>
      </c>
      <c r="G2717" t="s">
        <v>14</v>
      </c>
      <c r="H2717">
        <v>1868</v>
      </c>
      <c r="I2717">
        <v>56.6</v>
      </c>
      <c r="J2717" t="s">
        <v>32</v>
      </c>
      <c r="K2717">
        <v>200000</v>
      </c>
      <c r="L2717" t="s">
        <v>22</v>
      </c>
    </row>
    <row r="2718" spans="1:12" x14ac:dyDescent="0.3">
      <c r="A2718">
        <v>2004</v>
      </c>
      <c r="B2718" t="s">
        <v>31</v>
      </c>
      <c r="C2718">
        <v>1298</v>
      </c>
      <c r="D2718">
        <v>3105</v>
      </c>
      <c r="E2718">
        <v>37</v>
      </c>
      <c r="F2718" t="s">
        <v>13</v>
      </c>
      <c r="G2718" t="s">
        <v>14</v>
      </c>
      <c r="H2718">
        <v>127919</v>
      </c>
      <c r="I2718">
        <v>55.5</v>
      </c>
      <c r="J2718" t="s">
        <v>32</v>
      </c>
      <c r="K2718">
        <v>4847</v>
      </c>
      <c r="L2718" t="s">
        <v>22</v>
      </c>
    </row>
    <row r="2719" spans="1:12" x14ac:dyDescent="0.3">
      <c r="A2719">
        <v>2004</v>
      </c>
      <c r="B2719" t="s">
        <v>31</v>
      </c>
      <c r="C2719">
        <v>4</v>
      </c>
      <c r="D2719">
        <v>3105</v>
      </c>
      <c r="E2719">
        <v>37</v>
      </c>
      <c r="F2719" t="s">
        <v>13</v>
      </c>
      <c r="G2719" t="s">
        <v>14</v>
      </c>
      <c r="H2719">
        <v>75340</v>
      </c>
      <c r="I2719">
        <v>58.5</v>
      </c>
      <c r="J2719" t="s">
        <v>32</v>
      </c>
      <c r="K2719">
        <v>51239</v>
      </c>
      <c r="L2719" t="s">
        <v>22</v>
      </c>
    </row>
    <row r="2720" spans="1:12" x14ac:dyDescent="0.3">
      <c r="A2720">
        <v>2004</v>
      </c>
      <c r="B2720" t="s">
        <v>31</v>
      </c>
      <c r="C2720">
        <v>1122</v>
      </c>
      <c r="D2720">
        <v>236</v>
      </c>
      <c r="E2720">
        <v>37</v>
      </c>
      <c r="F2720" t="s">
        <v>13</v>
      </c>
      <c r="G2720" t="s">
        <v>14</v>
      </c>
      <c r="H2720">
        <v>29170</v>
      </c>
      <c r="I2720">
        <v>59.5</v>
      </c>
      <c r="J2720" t="s">
        <v>32</v>
      </c>
      <c r="K2720">
        <v>216396</v>
      </c>
      <c r="L2720" t="s">
        <v>22</v>
      </c>
    </row>
    <row r="2721" spans="1:12" x14ac:dyDescent="0.3">
      <c r="A2721">
        <v>2004</v>
      </c>
      <c r="B2721" t="s">
        <v>31</v>
      </c>
      <c r="C2721">
        <v>917</v>
      </c>
      <c r="D2721">
        <v>236</v>
      </c>
      <c r="E2721">
        <v>38</v>
      </c>
      <c r="F2721" t="s">
        <v>13</v>
      </c>
      <c r="G2721" t="s">
        <v>21</v>
      </c>
      <c r="H2721">
        <v>1901</v>
      </c>
      <c r="I2721">
        <v>55</v>
      </c>
      <c r="J2721" t="s">
        <v>32</v>
      </c>
      <c r="K2721">
        <v>2644</v>
      </c>
      <c r="L2721" t="s">
        <v>22</v>
      </c>
    </row>
    <row r="2722" spans="1:12" x14ac:dyDescent="0.3">
      <c r="A2722">
        <v>2004</v>
      </c>
      <c r="B2722" t="s">
        <v>31</v>
      </c>
      <c r="C2722">
        <v>819</v>
      </c>
      <c r="D2722">
        <v>2903.1</v>
      </c>
      <c r="E2722">
        <v>38</v>
      </c>
      <c r="F2722" t="s">
        <v>13</v>
      </c>
      <c r="G2722" t="s">
        <v>21</v>
      </c>
      <c r="H2722">
        <v>972</v>
      </c>
      <c r="I2722">
        <v>53</v>
      </c>
      <c r="J2722" t="s">
        <v>32</v>
      </c>
      <c r="K2722">
        <v>44235</v>
      </c>
      <c r="L2722" t="s">
        <v>22</v>
      </c>
    </row>
    <row r="2723" spans="1:12" x14ac:dyDescent="0.3">
      <c r="A2723">
        <v>2004</v>
      </c>
      <c r="B2723" t="s">
        <v>31</v>
      </c>
      <c r="C2723">
        <v>619</v>
      </c>
      <c r="D2723">
        <v>2903.1</v>
      </c>
      <c r="E2723">
        <v>38</v>
      </c>
      <c r="F2723" t="s">
        <v>13</v>
      </c>
      <c r="G2723" t="s">
        <v>21</v>
      </c>
      <c r="H2723">
        <v>874</v>
      </c>
      <c r="I2723">
        <v>53.5</v>
      </c>
      <c r="J2723" t="s">
        <v>32</v>
      </c>
      <c r="K2723">
        <v>203317</v>
      </c>
      <c r="L2723" t="s">
        <v>22</v>
      </c>
    </row>
    <row r="2724" spans="1:12" x14ac:dyDescent="0.3">
      <c r="A2724">
        <v>2004</v>
      </c>
      <c r="B2724" t="s">
        <v>31</v>
      </c>
      <c r="C2724">
        <v>391</v>
      </c>
      <c r="D2724">
        <v>2903.1</v>
      </c>
      <c r="E2724">
        <v>39</v>
      </c>
      <c r="F2724" t="s">
        <v>59</v>
      </c>
      <c r="G2724" t="s">
        <v>21</v>
      </c>
      <c r="H2724">
        <v>592</v>
      </c>
      <c r="I2724">
        <v>52.5</v>
      </c>
      <c r="J2724" t="s">
        <v>32</v>
      </c>
      <c r="K2724">
        <v>2134</v>
      </c>
      <c r="L2724" t="s">
        <v>22</v>
      </c>
    </row>
    <row r="2725" spans="1:12" x14ac:dyDescent="0.3">
      <c r="A2725">
        <v>2004</v>
      </c>
      <c r="B2725" t="s">
        <v>31</v>
      </c>
      <c r="C2725">
        <v>211</v>
      </c>
      <c r="D2725">
        <v>2996.6</v>
      </c>
      <c r="E2725">
        <v>39</v>
      </c>
      <c r="F2725" t="s">
        <v>59</v>
      </c>
      <c r="G2725" t="s">
        <v>21</v>
      </c>
      <c r="H2725">
        <v>864</v>
      </c>
      <c r="I2725">
        <v>56</v>
      </c>
      <c r="J2725" t="s">
        <v>32</v>
      </c>
      <c r="K2725">
        <v>45186</v>
      </c>
      <c r="L2725" t="s">
        <v>22</v>
      </c>
    </row>
    <row r="2726" spans="1:12" x14ac:dyDescent="0.3">
      <c r="A2726">
        <v>2004</v>
      </c>
      <c r="B2726" t="s">
        <v>31</v>
      </c>
      <c r="C2726">
        <v>153</v>
      </c>
      <c r="D2726">
        <v>2996.6</v>
      </c>
      <c r="E2726">
        <v>39</v>
      </c>
      <c r="F2726" t="s">
        <v>59</v>
      </c>
      <c r="G2726" t="s">
        <v>21</v>
      </c>
      <c r="H2726">
        <v>5373</v>
      </c>
      <c r="I2726">
        <v>57</v>
      </c>
      <c r="J2726" t="s">
        <v>32</v>
      </c>
      <c r="K2726">
        <v>238542</v>
      </c>
      <c r="L2726" t="s">
        <v>22</v>
      </c>
    </row>
    <row r="2727" spans="1:12" x14ac:dyDescent="0.3">
      <c r="A2727">
        <v>2004</v>
      </c>
      <c r="B2727" t="s">
        <v>31</v>
      </c>
      <c r="C2727">
        <v>111</v>
      </c>
      <c r="D2727">
        <v>2996.6</v>
      </c>
      <c r="E2727">
        <v>40</v>
      </c>
      <c r="F2727" t="s">
        <v>59</v>
      </c>
      <c r="G2727" t="s">
        <v>21</v>
      </c>
      <c r="H2727">
        <v>6589</v>
      </c>
      <c r="I2727">
        <v>57.5</v>
      </c>
      <c r="J2727" t="s">
        <v>32</v>
      </c>
      <c r="K2727">
        <v>1516</v>
      </c>
      <c r="L2727" t="s">
        <v>22</v>
      </c>
    </row>
    <row r="2728" spans="1:12" x14ac:dyDescent="0.3">
      <c r="A2728">
        <v>2004</v>
      </c>
      <c r="B2728" t="s">
        <v>31</v>
      </c>
      <c r="C2728">
        <v>76</v>
      </c>
      <c r="D2728">
        <v>3522.8</v>
      </c>
      <c r="E2728">
        <v>40</v>
      </c>
      <c r="F2728" t="s">
        <v>59</v>
      </c>
      <c r="G2728" t="s">
        <v>21</v>
      </c>
      <c r="H2728">
        <v>5107</v>
      </c>
      <c r="I2728">
        <v>57</v>
      </c>
      <c r="J2728" t="s">
        <v>33</v>
      </c>
      <c r="K2728">
        <v>200000</v>
      </c>
      <c r="L2728" t="s">
        <v>22</v>
      </c>
    </row>
    <row r="2729" spans="1:12" x14ac:dyDescent="0.3">
      <c r="A2729">
        <v>2004</v>
      </c>
      <c r="B2729" t="s">
        <v>31</v>
      </c>
      <c r="C2729">
        <v>53</v>
      </c>
      <c r="D2729">
        <v>3522.8</v>
      </c>
      <c r="E2729">
        <v>40</v>
      </c>
      <c r="F2729" t="s">
        <v>59</v>
      </c>
      <c r="G2729" t="s">
        <v>21</v>
      </c>
      <c r="H2729">
        <v>5518</v>
      </c>
      <c r="I2729">
        <v>55</v>
      </c>
      <c r="J2729" t="s">
        <v>33</v>
      </c>
      <c r="K2729">
        <v>4847</v>
      </c>
      <c r="L2729" t="s">
        <v>22</v>
      </c>
    </row>
    <row r="2730" spans="1:12" x14ac:dyDescent="0.3">
      <c r="A2730">
        <v>2004</v>
      </c>
      <c r="B2730" t="s">
        <v>31</v>
      </c>
      <c r="C2730">
        <v>2688</v>
      </c>
      <c r="D2730">
        <v>3522.8</v>
      </c>
      <c r="E2730">
        <v>41</v>
      </c>
      <c r="F2730" t="s">
        <v>59</v>
      </c>
      <c r="G2730" t="s">
        <v>21</v>
      </c>
      <c r="H2730">
        <v>4912</v>
      </c>
      <c r="I2730">
        <v>56</v>
      </c>
      <c r="J2730" t="s">
        <v>33</v>
      </c>
      <c r="K2730">
        <v>51239</v>
      </c>
      <c r="L2730" t="s">
        <v>22</v>
      </c>
    </row>
    <row r="2731" spans="1:12" x14ac:dyDescent="0.3">
      <c r="A2731">
        <v>2004</v>
      </c>
      <c r="B2731" t="s">
        <v>31</v>
      </c>
      <c r="C2731">
        <v>2311</v>
      </c>
      <c r="D2731">
        <v>3729.8</v>
      </c>
      <c r="E2731">
        <v>41</v>
      </c>
      <c r="F2731" t="s">
        <v>59</v>
      </c>
      <c r="G2731" t="s">
        <v>21</v>
      </c>
      <c r="H2731">
        <v>3830</v>
      </c>
      <c r="I2731">
        <v>54</v>
      </c>
      <c r="J2731" t="s">
        <v>33</v>
      </c>
      <c r="K2731">
        <v>216396</v>
      </c>
      <c r="L2731" t="s">
        <v>22</v>
      </c>
    </row>
    <row r="2732" spans="1:12" x14ac:dyDescent="0.3">
      <c r="A2732">
        <v>2004</v>
      </c>
      <c r="B2732" t="s">
        <v>31</v>
      </c>
      <c r="C2732">
        <v>2188</v>
      </c>
      <c r="D2732">
        <v>3729.8</v>
      </c>
      <c r="E2732">
        <v>41</v>
      </c>
      <c r="F2732" t="s">
        <v>59</v>
      </c>
      <c r="G2732" t="s">
        <v>21</v>
      </c>
      <c r="H2732">
        <v>4</v>
      </c>
      <c r="I2732">
        <v>58</v>
      </c>
      <c r="J2732" t="s">
        <v>33</v>
      </c>
      <c r="K2732">
        <v>2644</v>
      </c>
      <c r="L2732" t="s">
        <v>22</v>
      </c>
    </row>
    <row r="2733" spans="1:12" x14ac:dyDescent="0.3">
      <c r="A2733">
        <v>2004</v>
      </c>
      <c r="B2733" t="s">
        <v>31</v>
      </c>
      <c r="C2733">
        <v>1998</v>
      </c>
      <c r="D2733">
        <v>3729.8</v>
      </c>
      <c r="E2733">
        <v>42</v>
      </c>
      <c r="F2733" t="s">
        <v>59</v>
      </c>
      <c r="G2733" t="s">
        <v>21</v>
      </c>
      <c r="H2733">
        <v>9</v>
      </c>
      <c r="I2733">
        <v>58</v>
      </c>
      <c r="J2733" t="s">
        <v>33</v>
      </c>
      <c r="K2733">
        <v>44235</v>
      </c>
      <c r="L2733" t="s">
        <v>22</v>
      </c>
    </row>
    <row r="2734" spans="1:12" x14ac:dyDescent="0.3">
      <c r="A2734">
        <v>2004</v>
      </c>
      <c r="B2734" t="s">
        <v>31</v>
      </c>
      <c r="C2734">
        <v>2006</v>
      </c>
      <c r="D2734">
        <v>2746.2</v>
      </c>
      <c r="E2734">
        <v>42</v>
      </c>
      <c r="F2734" t="s">
        <v>59</v>
      </c>
      <c r="G2734" t="s">
        <v>21</v>
      </c>
      <c r="H2734">
        <v>12</v>
      </c>
      <c r="I2734">
        <v>59</v>
      </c>
      <c r="J2734" t="s">
        <v>33</v>
      </c>
      <c r="K2734">
        <v>203317</v>
      </c>
      <c r="L2734" t="s">
        <v>22</v>
      </c>
    </row>
    <row r="2735" spans="1:12" x14ac:dyDescent="0.3">
      <c r="A2735">
        <v>2004</v>
      </c>
      <c r="B2735" t="s">
        <v>31</v>
      </c>
      <c r="C2735">
        <v>2034</v>
      </c>
      <c r="D2735">
        <v>2746.2</v>
      </c>
      <c r="E2735">
        <v>42</v>
      </c>
      <c r="F2735" t="s">
        <v>59</v>
      </c>
      <c r="G2735" t="s">
        <v>21</v>
      </c>
      <c r="H2735">
        <v>2089</v>
      </c>
      <c r="I2735">
        <v>50</v>
      </c>
      <c r="J2735" t="s">
        <v>33</v>
      </c>
      <c r="K2735">
        <v>2134</v>
      </c>
      <c r="L2735" t="s">
        <v>22</v>
      </c>
    </row>
    <row r="2736" spans="1:12" x14ac:dyDescent="0.3">
      <c r="A2736">
        <v>2004</v>
      </c>
      <c r="B2736" t="s">
        <v>31</v>
      </c>
      <c r="C2736">
        <v>2035</v>
      </c>
      <c r="D2736">
        <v>2746.2</v>
      </c>
      <c r="E2736">
        <v>43</v>
      </c>
      <c r="F2736" t="s">
        <v>59</v>
      </c>
      <c r="G2736" t="s">
        <v>21</v>
      </c>
      <c r="H2736">
        <v>2810</v>
      </c>
      <c r="I2736">
        <v>54</v>
      </c>
      <c r="J2736" t="s">
        <v>33</v>
      </c>
      <c r="K2736">
        <v>45186</v>
      </c>
      <c r="L2736" t="s">
        <v>22</v>
      </c>
    </row>
    <row r="2737" spans="1:12" x14ac:dyDescent="0.3">
      <c r="A2737">
        <v>2004</v>
      </c>
      <c r="B2737" t="s">
        <v>31</v>
      </c>
      <c r="C2737">
        <v>2074</v>
      </c>
      <c r="D2737">
        <v>3360</v>
      </c>
      <c r="E2737">
        <v>43</v>
      </c>
      <c r="F2737" t="s">
        <v>59</v>
      </c>
      <c r="G2737" t="s">
        <v>21</v>
      </c>
      <c r="H2737">
        <v>841</v>
      </c>
      <c r="I2737">
        <v>53</v>
      </c>
      <c r="J2737" t="s">
        <v>33</v>
      </c>
      <c r="K2737">
        <v>238542</v>
      </c>
      <c r="L2737" t="s">
        <v>22</v>
      </c>
    </row>
    <row r="2738" spans="1:12" x14ac:dyDescent="0.3">
      <c r="A2738">
        <v>2004</v>
      </c>
      <c r="B2738" t="s">
        <v>53</v>
      </c>
      <c r="C2738">
        <v>2127</v>
      </c>
      <c r="D2738">
        <v>3360</v>
      </c>
      <c r="E2738">
        <v>27</v>
      </c>
      <c r="F2738" t="s">
        <v>59</v>
      </c>
      <c r="G2738" t="s">
        <v>21</v>
      </c>
      <c r="H2738">
        <v>3550</v>
      </c>
      <c r="I2738">
        <v>52</v>
      </c>
      <c r="J2738" t="s">
        <v>33</v>
      </c>
      <c r="K2738">
        <v>1516</v>
      </c>
      <c r="L2738" t="s">
        <v>22</v>
      </c>
    </row>
    <row r="2739" spans="1:12" x14ac:dyDescent="0.3">
      <c r="A2739">
        <v>2004</v>
      </c>
      <c r="B2739" t="s">
        <v>53</v>
      </c>
      <c r="C2739">
        <v>2090</v>
      </c>
      <c r="D2739">
        <v>3360</v>
      </c>
      <c r="E2739">
        <v>27</v>
      </c>
      <c r="F2739" t="s">
        <v>59</v>
      </c>
      <c r="G2739" t="s">
        <v>21</v>
      </c>
      <c r="H2739">
        <v>109</v>
      </c>
      <c r="I2739">
        <v>51</v>
      </c>
      <c r="J2739" t="s">
        <v>33</v>
      </c>
      <c r="K2739">
        <v>57259</v>
      </c>
      <c r="L2739" t="s">
        <v>22</v>
      </c>
    </row>
    <row r="2740" spans="1:12" x14ac:dyDescent="0.3">
      <c r="A2740">
        <v>2004</v>
      </c>
      <c r="B2740" t="s">
        <v>53</v>
      </c>
      <c r="C2740">
        <v>2059</v>
      </c>
      <c r="D2740">
        <v>3605.4</v>
      </c>
      <c r="E2740">
        <v>27</v>
      </c>
      <c r="F2740" t="s">
        <v>59</v>
      </c>
      <c r="G2740" t="s">
        <v>21</v>
      </c>
      <c r="H2740">
        <v>3368</v>
      </c>
      <c r="I2740">
        <v>57</v>
      </c>
      <c r="J2740" t="s">
        <v>33</v>
      </c>
      <c r="K2740">
        <v>234779</v>
      </c>
      <c r="L2740" t="s">
        <v>22</v>
      </c>
    </row>
    <row r="2741" spans="1:12" x14ac:dyDescent="0.3">
      <c r="A2741">
        <v>2004</v>
      </c>
      <c r="B2741" t="s">
        <v>53</v>
      </c>
      <c r="C2741">
        <v>2050</v>
      </c>
      <c r="D2741">
        <v>3605.4</v>
      </c>
      <c r="E2741">
        <v>27</v>
      </c>
      <c r="F2741" t="s">
        <v>45</v>
      </c>
      <c r="G2741" t="s">
        <v>21</v>
      </c>
      <c r="H2741">
        <v>3671</v>
      </c>
      <c r="I2741">
        <v>57</v>
      </c>
      <c r="J2741" t="s">
        <v>33</v>
      </c>
      <c r="K2741">
        <v>1493</v>
      </c>
      <c r="L2741" t="s">
        <v>22</v>
      </c>
    </row>
    <row r="2742" spans="1:12" x14ac:dyDescent="0.3">
      <c r="A2742">
        <v>2004</v>
      </c>
      <c r="B2742" t="s">
        <v>53</v>
      </c>
      <c r="C2742">
        <v>1865</v>
      </c>
      <c r="D2742">
        <v>3605.4</v>
      </c>
      <c r="E2742">
        <v>27</v>
      </c>
      <c r="F2742" t="s">
        <v>45</v>
      </c>
      <c r="G2742" t="s">
        <v>21</v>
      </c>
      <c r="H2742">
        <v>2404</v>
      </c>
      <c r="I2742">
        <v>60</v>
      </c>
      <c r="J2742" t="s">
        <v>33</v>
      </c>
      <c r="K2742">
        <v>64409</v>
      </c>
      <c r="L2742" t="s">
        <v>22</v>
      </c>
    </row>
    <row r="2743" spans="1:12" x14ac:dyDescent="0.3">
      <c r="A2743">
        <v>2004</v>
      </c>
      <c r="B2743" t="s">
        <v>53</v>
      </c>
      <c r="C2743">
        <v>1841</v>
      </c>
      <c r="D2743">
        <v>3512.4</v>
      </c>
      <c r="E2743">
        <v>27</v>
      </c>
      <c r="F2743" t="s">
        <v>45</v>
      </c>
      <c r="G2743" t="s">
        <v>21</v>
      </c>
      <c r="H2743">
        <v>2805</v>
      </c>
      <c r="I2743">
        <v>57</v>
      </c>
      <c r="J2743" t="s">
        <v>35</v>
      </c>
      <c r="K2743">
        <v>249978</v>
      </c>
      <c r="L2743" t="s">
        <v>22</v>
      </c>
    </row>
    <row r="2744" spans="1:12" x14ac:dyDescent="0.3">
      <c r="A2744">
        <v>2004</v>
      </c>
      <c r="B2744" t="s">
        <v>53</v>
      </c>
      <c r="C2744">
        <v>1799</v>
      </c>
      <c r="D2744">
        <v>3512.4</v>
      </c>
      <c r="E2744">
        <v>27.2</v>
      </c>
      <c r="F2744" t="s">
        <v>45</v>
      </c>
      <c r="G2744" t="s">
        <v>21</v>
      </c>
      <c r="H2744">
        <v>2331</v>
      </c>
      <c r="I2744">
        <v>57</v>
      </c>
      <c r="J2744" t="s">
        <v>35</v>
      </c>
      <c r="K2744">
        <v>637</v>
      </c>
      <c r="L2744" t="s">
        <v>22</v>
      </c>
    </row>
    <row r="2745" spans="1:12" x14ac:dyDescent="0.3">
      <c r="A2745">
        <v>2004</v>
      </c>
      <c r="B2745" t="s">
        <v>53</v>
      </c>
      <c r="C2745">
        <v>1468</v>
      </c>
      <c r="D2745">
        <v>3512.4</v>
      </c>
      <c r="E2745">
        <v>27.2</v>
      </c>
      <c r="F2745" t="s">
        <v>45</v>
      </c>
      <c r="G2745" t="s">
        <v>21</v>
      </c>
      <c r="H2745">
        <v>2088</v>
      </c>
      <c r="I2745">
        <v>54</v>
      </c>
      <c r="J2745" t="s">
        <v>35</v>
      </c>
      <c r="K2745">
        <v>43311</v>
      </c>
      <c r="L2745" t="s">
        <v>22</v>
      </c>
    </row>
    <row r="2746" spans="1:12" x14ac:dyDescent="0.3">
      <c r="A2746">
        <v>2004</v>
      </c>
      <c r="B2746" t="s">
        <v>53</v>
      </c>
      <c r="C2746">
        <v>568</v>
      </c>
      <c r="D2746">
        <v>3296</v>
      </c>
      <c r="E2746">
        <v>27.2</v>
      </c>
      <c r="F2746" t="s">
        <v>45</v>
      </c>
      <c r="G2746" t="s">
        <v>21</v>
      </c>
      <c r="H2746">
        <v>2628</v>
      </c>
      <c r="I2746">
        <v>54.5</v>
      </c>
      <c r="J2746" t="s">
        <v>35</v>
      </c>
      <c r="K2746">
        <v>24848</v>
      </c>
      <c r="L2746" t="s">
        <v>22</v>
      </c>
    </row>
    <row r="2747" spans="1:12" x14ac:dyDescent="0.3">
      <c r="A2747">
        <v>2004</v>
      </c>
      <c r="B2747" t="s">
        <v>53</v>
      </c>
      <c r="C2747">
        <v>407</v>
      </c>
      <c r="D2747">
        <v>3296</v>
      </c>
      <c r="E2747">
        <v>27</v>
      </c>
      <c r="F2747" t="s">
        <v>45</v>
      </c>
      <c r="G2747" t="s">
        <v>21</v>
      </c>
      <c r="H2747">
        <v>1939</v>
      </c>
      <c r="I2747">
        <v>56.6</v>
      </c>
      <c r="J2747" t="s">
        <v>35</v>
      </c>
      <c r="K2747">
        <v>761</v>
      </c>
      <c r="L2747" t="s">
        <v>22</v>
      </c>
    </row>
    <row r="2748" spans="1:12" x14ac:dyDescent="0.3">
      <c r="A2748">
        <v>2004</v>
      </c>
      <c r="B2748" t="s">
        <v>53</v>
      </c>
      <c r="C2748">
        <v>177</v>
      </c>
      <c r="D2748">
        <v>3296</v>
      </c>
      <c r="E2748">
        <v>27</v>
      </c>
      <c r="F2748" t="s">
        <v>45</v>
      </c>
      <c r="G2748" t="s">
        <v>21</v>
      </c>
      <c r="H2748">
        <v>1871</v>
      </c>
      <c r="I2748">
        <v>55.5</v>
      </c>
      <c r="J2748" t="s">
        <v>35</v>
      </c>
      <c r="K2748">
        <v>45608</v>
      </c>
      <c r="L2748" t="s">
        <v>22</v>
      </c>
    </row>
    <row r="2749" spans="1:12" x14ac:dyDescent="0.3">
      <c r="A2749">
        <v>2004</v>
      </c>
      <c r="B2749" t="s">
        <v>53</v>
      </c>
      <c r="C2749">
        <v>51</v>
      </c>
      <c r="D2749">
        <v>3550</v>
      </c>
      <c r="E2749">
        <v>27</v>
      </c>
      <c r="F2749" t="s">
        <v>45</v>
      </c>
      <c r="G2749" t="s">
        <v>21</v>
      </c>
      <c r="H2749">
        <v>1868</v>
      </c>
      <c r="I2749">
        <v>58.5</v>
      </c>
      <c r="J2749" t="s">
        <v>35</v>
      </c>
      <c r="K2749">
        <v>234581</v>
      </c>
      <c r="L2749" t="s">
        <v>22</v>
      </c>
    </row>
    <row r="2750" spans="1:12" x14ac:dyDescent="0.3">
      <c r="A2750">
        <v>2004</v>
      </c>
      <c r="B2750" t="s">
        <v>53</v>
      </c>
      <c r="C2750">
        <v>173</v>
      </c>
      <c r="D2750">
        <v>3550</v>
      </c>
      <c r="E2750">
        <v>27</v>
      </c>
      <c r="F2750" t="s">
        <v>45</v>
      </c>
      <c r="G2750" t="s">
        <v>21</v>
      </c>
      <c r="H2750">
        <v>127919</v>
      </c>
      <c r="I2750">
        <v>59.5</v>
      </c>
      <c r="J2750" t="s">
        <v>35</v>
      </c>
      <c r="K2750">
        <v>646</v>
      </c>
      <c r="L2750" t="s">
        <v>22</v>
      </c>
    </row>
    <row r="2751" spans="1:12" x14ac:dyDescent="0.3">
      <c r="A2751">
        <v>2004</v>
      </c>
      <c r="B2751" t="s">
        <v>53</v>
      </c>
      <c r="C2751">
        <v>201</v>
      </c>
      <c r="D2751">
        <v>3550</v>
      </c>
      <c r="E2751">
        <v>27</v>
      </c>
      <c r="F2751" t="s">
        <v>45</v>
      </c>
      <c r="G2751" t="s">
        <v>21</v>
      </c>
      <c r="H2751">
        <v>75340</v>
      </c>
      <c r="I2751">
        <v>55</v>
      </c>
      <c r="J2751" t="s">
        <v>35</v>
      </c>
      <c r="K2751">
        <v>43562</v>
      </c>
      <c r="L2751" t="s">
        <v>22</v>
      </c>
    </row>
    <row r="2752" spans="1:12" x14ac:dyDescent="0.3">
      <c r="A2752">
        <v>2004</v>
      </c>
      <c r="B2752" t="s">
        <v>53</v>
      </c>
      <c r="C2752">
        <v>206</v>
      </c>
      <c r="D2752">
        <v>3654</v>
      </c>
      <c r="E2752">
        <v>27</v>
      </c>
      <c r="F2752" t="s">
        <v>45</v>
      </c>
      <c r="G2752" t="s">
        <v>21</v>
      </c>
      <c r="H2752">
        <v>29170</v>
      </c>
      <c r="I2752">
        <v>53</v>
      </c>
      <c r="J2752" t="s">
        <v>35</v>
      </c>
      <c r="K2752">
        <v>200000</v>
      </c>
      <c r="L2752" t="s">
        <v>22</v>
      </c>
    </row>
    <row r="2753" spans="1:12" x14ac:dyDescent="0.3">
      <c r="A2753">
        <v>2004</v>
      </c>
      <c r="B2753" t="s">
        <v>53</v>
      </c>
      <c r="C2753">
        <v>243</v>
      </c>
      <c r="D2753">
        <v>3654</v>
      </c>
      <c r="E2753">
        <v>27.2</v>
      </c>
      <c r="F2753" t="s">
        <v>45</v>
      </c>
      <c r="G2753" t="s">
        <v>21</v>
      </c>
      <c r="H2753">
        <v>1901</v>
      </c>
      <c r="I2753">
        <v>53.5</v>
      </c>
      <c r="J2753" t="s">
        <v>35</v>
      </c>
      <c r="K2753">
        <v>4847</v>
      </c>
      <c r="L2753" t="s">
        <v>22</v>
      </c>
    </row>
    <row r="2754" spans="1:12" x14ac:dyDescent="0.3">
      <c r="A2754">
        <v>2004</v>
      </c>
      <c r="B2754" t="s">
        <v>53</v>
      </c>
      <c r="C2754">
        <v>123</v>
      </c>
      <c r="D2754">
        <v>3654</v>
      </c>
      <c r="E2754">
        <v>27.2</v>
      </c>
      <c r="F2754" t="s">
        <v>45</v>
      </c>
      <c r="G2754" t="s">
        <v>21</v>
      </c>
      <c r="H2754">
        <v>972</v>
      </c>
      <c r="I2754">
        <v>52.5</v>
      </c>
      <c r="J2754" t="s">
        <v>35</v>
      </c>
      <c r="K2754">
        <v>51239</v>
      </c>
      <c r="L2754" t="s">
        <v>22</v>
      </c>
    </row>
    <row r="2755" spans="1:12" x14ac:dyDescent="0.3">
      <c r="A2755">
        <v>2004</v>
      </c>
      <c r="B2755" t="s">
        <v>53</v>
      </c>
      <c r="C2755">
        <v>82</v>
      </c>
      <c r="D2755">
        <v>233</v>
      </c>
      <c r="E2755">
        <v>27.2</v>
      </c>
      <c r="F2755" t="s">
        <v>45</v>
      </c>
      <c r="G2755" t="s">
        <v>21</v>
      </c>
      <c r="H2755">
        <v>874</v>
      </c>
      <c r="I2755">
        <v>56</v>
      </c>
      <c r="J2755" t="s">
        <v>35</v>
      </c>
      <c r="K2755">
        <v>216396</v>
      </c>
      <c r="L2755" t="s">
        <v>22</v>
      </c>
    </row>
    <row r="2756" spans="1:12" x14ac:dyDescent="0.3">
      <c r="A2756">
        <v>2004</v>
      </c>
      <c r="B2756" t="s">
        <v>53</v>
      </c>
      <c r="C2756">
        <v>74</v>
      </c>
      <c r="D2756">
        <v>233</v>
      </c>
      <c r="E2756">
        <v>27.1</v>
      </c>
      <c r="F2756" t="s">
        <v>45</v>
      </c>
      <c r="G2756" t="s">
        <v>21</v>
      </c>
      <c r="H2756">
        <v>592</v>
      </c>
      <c r="I2756">
        <v>57</v>
      </c>
      <c r="J2756" t="s">
        <v>35</v>
      </c>
      <c r="K2756">
        <v>2644</v>
      </c>
      <c r="L2756" t="s">
        <v>22</v>
      </c>
    </row>
    <row r="2757" spans="1:12" x14ac:dyDescent="0.3">
      <c r="A2757">
        <v>2004</v>
      </c>
      <c r="B2757" t="s">
        <v>53</v>
      </c>
      <c r="C2757">
        <v>18</v>
      </c>
      <c r="D2757">
        <v>233</v>
      </c>
      <c r="E2757">
        <v>27.1</v>
      </c>
      <c r="F2757" t="s">
        <v>45</v>
      </c>
      <c r="G2757" t="s">
        <v>21</v>
      </c>
      <c r="H2757">
        <v>864</v>
      </c>
      <c r="I2757">
        <v>57.5</v>
      </c>
      <c r="J2757" t="s">
        <v>35</v>
      </c>
      <c r="K2757">
        <v>44235</v>
      </c>
      <c r="L2757" t="s">
        <v>22</v>
      </c>
    </row>
    <row r="2758" spans="1:12" x14ac:dyDescent="0.3">
      <c r="A2758">
        <v>2004</v>
      </c>
      <c r="B2758" t="s">
        <v>53</v>
      </c>
      <c r="C2758">
        <v>37</v>
      </c>
      <c r="D2758">
        <v>2903.1</v>
      </c>
      <c r="E2758">
        <v>27.1</v>
      </c>
      <c r="F2758" t="s">
        <v>45</v>
      </c>
      <c r="G2758" t="s">
        <v>21</v>
      </c>
      <c r="H2758">
        <v>5373</v>
      </c>
      <c r="I2758">
        <v>57</v>
      </c>
      <c r="J2758" t="s">
        <v>37</v>
      </c>
      <c r="K2758">
        <v>203317</v>
      </c>
      <c r="L2758" t="s">
        <v>22</v>
      </c>
    </row>
    <row r="2759" spans="1:12" x14ac:dyDescent="0.3">
      <c r="A2759">
        <v>2004</v>
      </c>
      <c r="B2759" t="s">
        <v>53</v>
      </c>
      <c r="C2759">
        <v>35</v>
      </c>
      <c r="D2759">
        <v>2903.1</v>
      </c>
      <c r="E2759">
        <v>26.8</v>
      </c>
      <c r="F2759" t="s">
        <v>45</v>
      </c>
      <c r="G2759" t="s">
        <v>21</v>
      </c>
      <c r="H2759">
        <v>6589</v>
      </c>
      <c r="I2759">
        <v>55</v>
      </c>
      <c r="J2759" t="s">
        <v>37</v>
      </c>
      <c r="K2759">
        <v>2134</v>
      </c>
      <c r="L2759" t="s">
        <v>22</v>
      </c>
    </row>
    <row r="2760" spans="1:12" x14ac:dyDescent="0.3">
      <c r="A2760">
        <v>2004</v>
      </c>
      <c r="B2760" t="s">
        <v>53</v>
      </c>
      <c r="C2760">
        <v>5974</v>
      </c>
      <c r="D2760">
        <v>2903.1</v>
      </c>
      <c r="E2760">
        <v>26.8</v>
      </c>
      <c r="F2760" t="s">
        <v>45</v>
      </c>
      <c r="G2760" t="s">
        <v>21</v>
      </c>
      <c r="H2760">
        <v>5107</v>
      </c>
      <c r="I2760">
        <v>56</v>
      </c>
      <c r="J2760" t="s">
        <v>37</v>
      </c>
      <c r="K2760">
        <v>45186</v>
      </c>
      <c r="L2760" t="s">
        <v>22</v>
      </c>
    </row>
    <row r="2761" spans="1:12" x14ac:dyDescent="0.3">
      <c r="A2761">
        <v>2004</v>
      </c>
      <c r="B2761" t="s">
        <v>53</v>
      </c>
      <c r="C2761">
        <v>6631</v>
      </c>
      <c r="D2761">
        <v>2996.6</v>
      </c>
      <c r="E2761">
        <v>26.8</v>
      </c>
      <c r="F2761" t="s">
        <v>50</v>
      </c>
      <c r="G2761" t="s">
        <v>21</v>
      </c>
      <c r="H2761">
        <v>5518</v>
      </c>
      <c r="I2761">
        <v>54</v>
      </c>
      <c r="J2761" t="s">
        <v>37</v>
      </c>
      <c r="K2761">
        <v>238542</v>
      </c>
      <c r="L2761" t="s">
        <v>22</v>
      </c>
    </row>
    <row r="2762" spans="1:12" x14ac:dyDescent="0.3">
      <c r="A2762">
        <v>2004</v>
      </c>
      <c r="B2762" t="s">
        <v>53</v>
      </c>
      <c r="C2762">
        <v>6705</v>
      </c>
      <c r="D2762">
        <v>2996.6</v>
      </c>
      <c r="E2762">
        <v>37</v>
      </c>
      <c r="F2762" t="s">
        <v>50</v>
      </c>
      <c r="G2762" t="s">
        <v>21</v>
      </c>
      <c r="H2762">
        <v>4912</v>
      </c>
      <c r="I2762">
        <v>58</v>
      </c>
      <c r="J2762" t="s">
        <v>37</v>
      </c>
      <c r="K2762">
        <v>1516</v>
      </c>
      <c r="L2762" t="s">
        <v>22</v>
      </c>
    </row>
    <row r="2763" spans="1:12" x14ac:dyDescent="0.3">
      <c r="A2763">
        <v>2013</v>
      </c>
      <c r="B2763" t="s">
        <v>53</v>
      </c>
      <c r="C2763">
        <v>5876</v>
      </c>
      <c r="D2763">
        <v>2996.6</v>
      </c>
      <c r="E2763">
        <v>37</v>
      </c>
      <c r="F2763" t="s">
        <v>50</v>
      </c>
      <c r="G2763" t="s">
        <v>21</v>
      </c>
      <c r="H2763">
        <v>3830</v>
      </c>
      <c r="I2763">
        <v>58</v>
      </c>
      <c r="J2763" t="s">
        <v>37</v>
      </c>
      <c r="K2763">
        <v>57259</v>
      </c>
      <c r="L2763" t="s">
        <v>22</v>
      </c>
    </row>
    <row r="2764" spans="1:12" x14ac:dyDescent="0.3">
      <c r="A2764">
        <v>2014</v>
      </c>
      <c r="B2764" t="s">
        <v>53</v>
      </c>
      <c r="C2764">
        <v>326</v>
      </c>
      <c r="D2764">
        <v>3522.8</v>
      </c>
      <c r="E2764">
        <v>37</v>
      </c>
      <c r="F2764" t="s">
        <v>50</v>
      </c>
      <c r="G2764" t="s">
        <v>26</v>
      </c>
      <c r="H2764">
        <v>313547</v>
      </c>
      <c r="I2764">
        <v>59</v>
      </c>
      <c r="J2764" t="s">
        <v>37</v>
      </c>
      <c r="K2764">
        <v>234779</v>
      </c>
      <c r="L2764" t="s">
        <v>22</v>
      </c>
    </row>
    <row r="2765" spans="1:12" x14ac:dyDescent="0.3">
      <c r="A2765">
        <v>2015</v>
      </c>
      <c r="B2765" t="s">
        <v>53</v>
      </c>
      <c r="C2765">
        <v>6470</v>
      </c>
      <c r="D2765">
        <v>3522.8</v>
      </c>
      <c r="E2765">
        <v>38</v>
      </c>
      <c r="F2765" t="s">
        <v>50</v>
      </c>
      <c r="G2765" t="s">
        <v>26</v>
      </c>
      <c r="H2765">
        <v>2783</v>
      </c>
      <c r="I2765">
        <v>50</v>
      </c>
      <c r="J2765" t="s">
        <v>37</v>
      </c>
      <c r="K2765">
        <v>1493</v>
      </c>
      <c r="L2765" t="s">
        <v>25</v>
      </c>
    </row>
    <row r="2766" spans="1:12" x14ac:dyDescent="0.3">
      <c r="A2766">
        <v>2016</v>
      </c>
      <c r="B2766" t="s">
        <v>53</v>
      </c>
      <c r="C2766">
        <v>6709</v>
      </c>
      <c r="D2766">
        <v>3522.8</v>
      </c>
      <c r="E2766">
        <v>38</v>
      </c>
      <c r="F2766" t="s">
        <v>50</v>
      </c>
      <c r="G2766" t="s">
        <v>26</v>
      </c>
      <c r="H2766">
        <v>1533</v>
      </c>
      <c r="I2766">
        <v>54</v>
      </c>
      <c r="J2766" t="s">
        <v>37</v>
      </c>
      <c r="K2766">
        <v>64409</v>
      </c>
      <c r="L2766" t="s">
        <v>25</v>
      </c>
    </row>
    <row r="2767" spans="1:12" x14ac:dyDescent="0.3">
      <c r="A2767">
        <v>2017</v>
      </c>
      <c r="B2767" t="s">
        <v>53</v>
      </c>
      <c r="C2767">
        <v>6186</v>
      </c>
      <c r="D2767">
        <v>3729.8</v>
      </c>
      <c r="E2767">
        <v>38</v>
      </c>
      <c r="F2767" t="s">
        <v>50</v>
      </c>
      <c r="G2767" t="s">
        <v>26</v>
      </c>
      <c r="H2767">
        <v>1647</v>
      </c>
      <c r="I2767">
        <v>53</v>
      </c>
      <c r="J2767" t="s">
        <v>37</v>
      </c>
      <c r="K2767">
        <v>249978</v>
      </c>
      <c r="L2767" t="s">
        <v>25</v>
      </c>
    </row>
    <row r="2768" spans="1:12" x14ac:dyDescent="0.3">
      <c r="A2768">
        <v>2018</v>
      </c>
      <c r="B2768" t="s">
        <v>53</v>
      </c>
      <c r="C2768">
        <v>6503</v>
      </c>
      <c r="D2768">
        <v>3729.8</v>
      </c>
      <c r="E2768">
        <v>39</v>
      </c>
      <c r="F2768" t="s">
        <v>50</v>
      </c>
      <c r="G2768" t="s">
        <v>26</v>
      </c>
      <c r="H2768">
        <v>975</v>
      </c>
      <c r="I2768">
        <v>52</v>
      </c>
      <c r="J2768" t="s">
        <v>37</v>
      </c>
      <c r="K2768">
        <v>637</v>
      </c>
      <c r="L2768" t="s">
        <v>25</v>
      </c>
    </row>
    <row r="2769" spans="1:12" x14ac:dyDescent="0.3">
      <c r="A2769">
        <v>2004</v>
      </c>
      <c r="B2769" t="s">
        <v>53</v>
      </c>
      <c r="C2769">
        <v>5220</v>
      </c>
      <c r="D2769">
        <v>3729.8</v>
      </c>
      <c r="E2769">
        <v>39</v>
      </c>
      <c r="F2769" t="s">
        <v>50</v>
      </c>
      <c r="G2769" t="s">
        <v>26</v>
      </c>
      <c r="H2769">
        <v>2</v>
      </c>
      <c r="I2769">
        <v>51</v>
      </c>
      <c r="J2769" t="s">
        <v>37</v>
      </c>
      <c r="K2769">
        <v>43311</v>
      </c>
      <c r="L2769" t="s">
        <v>25</v>
      </c>
    </row>
    <row r="2770" spans="1:12" x14ac:dyDescent="0.3">
      <c r="A2770">
        <v>2005</v>
      </c>
      <c r="B2770" t="s">
        <v>53</v>
      </c>
      <c r="C2770">
        <v>4677</v>
      </c>
      <c r="D2770">
        <v>2746.2</v>
      </c>
      <c r="E2770">
        <v>39</v>
      </c>
      <c r="F2770" t="s">
        <v>50</v>
      </c>
      <c r="G2770" t="s">
        <v>26</v>
      </c>
      <c r="H2770">
        <v>836</v>
      </c>
      <c r="I2770">
        <v>57</v>
      </c>
      <c r="J2770" t="s">
        <v>37</v>
      </c>
      <c r="K2770">
        <v>24848</v>
      </c>
      <c r="L2770" t="s">
        <v>25</v>
      </c>
    </row>
    <row r="2771" spans="1:12" x14ac:dyDescent="0.3">
      <c r="A2771">
        <v>2006</v>
      </c>
      <c r="B2771" t="s">
        <v>53</v>
      </c>
      <c r="C2771">
        <v>4803</v>
      </c>
      <c r="D2771">
        <v>2746.2</v>
      </c>
      <c r="E2771">
        <v>40</v>
      </c>
      <c r="F2771" t="s">
        <v>50</v>
      </c>
      <c r="G2771" t="s">
        <v>26</v>
      </c>
      <c r="H2771">
        <v>806</v>
      </c>
      <c r="I2771">
        <v>57</v>
      </c>
      <c r="J2771" t="s">
        <v>37</v>
      </c>
      <c r="K2771">
        <v>761</v>
      </c>
      <c r="L2771" t="s">
        <v>25</v>
      </c>
    </row>
    <row r="2772" spans="1:12" x14ac:dyDescent="0.3">
      <c r="A2772">
        <v>2007</v>
      </c>
      <c r="B2772" t="s">
        <v>53</v>
      </c>
      <c r="C2772">
        <v>3739</v>
      </c>
      <c r="D2772">
        <v>2746.2</v>
      </c>
      <c r="E2772">
        <v>40</v>
      </c>
      <c r="F2772" t="s">
        <v>50</v>
      </c>
      <c r="G2772" t="s">
        <v>26</v>
      </c>
      <c r="H2772">
        <v>880</v>
      </c>
      <c r="I2772">
        <v>60</v>
      </c>
      <c r="J2772" t="s">
        <v>37</v>
      </c>
      <c r="K2772">
        <v>45608</v>
      </c>
      <c r="L2772" t="s">
        <v>25</v>
      </c>
    </row>
    <row r="2773" spans="1:12" x14ac:dyDescent="0.3">
      <c r="A2773">
        <v>2008</v>
      </c>
      <c r="B2773" t="s">
        <v>53</v>
      </c>
      <c r="C2773">
        <v>3529</v>
      </c>
      <c r="D2773">
        <v>3360</v>
      </c>
      <c r="E2773">
        <v>40</v>
      </c>
      <c r="F2773" t="s">
        <v>50</v>
      </c>
      <c r="G2773" t="s">
        <v>26</v>
      </c>
      <c r="H2773">
        <v>770</v>
      </c>
      <c r="I2773">
        <v>57</v>
      </c>
      <c r="J2773" t="s">
        <v>39</v>
      </c>
      <c r="K2773">
        <v>234581</v>
      </c>
      <c r="L2773" t="s">
        <v>25</v>
      </c>
    </row>
    <row r="2774" spans="1:12" x14ac:dyDescent="0.3">
      <c r="A2774">
        <v>2009</v>
      </c>
      <c r="B2774" t="s">
        <v>53</v>
      </c>
      <c r="C2774">
        <v>3649</v>
      </c>
      <c r="D2774">
        <v>3360</v>
      </c>
      <c r="E2774">
        <v>41</v>
      </c>
      <c r="F2774" t="s">
        <v>50</v>
      </c>
      <c r="G2774" t="s">
        <v>26</v>
      </c>
      <c r="H2774">
        <v>395</v>
      </c>
      <c r="I2774">
        <v>57</v>
      </c>
      <c r="J2774" t="s">
        <v>39</v>
      </c>
      <c r="K2774">
        <v>646</v>
      </c>
      <c r="L2774" t="s">
        <v>25</v>
      </c>
    </row>
    <row r="2775" spans="1:12" x14ac:dyDescent="0.3">
      <c r="A2775">
        <v>2010</v>
      </c>
      <c r="B2775" t="s">
        <v>53</v>
      </c>
      <c r="C2775">
        <v>1374</v>
      </c>
      <c r="D2775">
        <v>3360</v>
      </c>
      <c r="E2775">
        <v>41</v>
      </c>
      <c r="F2775" t="s">
        <v>50</v>
      </c>
      <c r="G2775" t="s">
        <v>26</v>
      </c>
      <c r="H2775">
        <v>187</v>
      </c>
      <c r="I2775">
        <v>54</v>
      </c>
      <c r="J2775" t="s">
        <v>39</v>
      </c>
      <c r="K2775">
        <v>43562</v>
      </c>
      <c r="L2775" t="s">
        <v>25</v>
      </c>
    </row>
    <row r="2776" spans="1:12" x14ac:dyDescent="0.3">
      <c r="A2776">
        <v>2011</v>
      </c>
      <c r="B2776" t="s">
        <v>53</v>
      </c>
      <c r="C2776">
        <v>1279</v>
      </c>
      <c r="D2776">
        <v>3605.4</v>
      </c>
      <c r="E2776">
        <v>41</v>
      </c>
      <c r="F2776" t="s">
        <v>50</v>
      </c>
      <c r="G2776" t="s">
        <v>26</v>
      </c>
      <c r="H2776">
        <v>187</v>
      </c>
      <c r="I2776">
        <v>54.5</v>
      </c>
      <c r="J2776" t="s">
        <v>39</v>
      </c>
      <c r="K2776">
        <v>200000</v>
      </c>
      <c r="L2776" t="s">
        <v>25</v>
      </c>
    </row>
    <row r="2777" spans="1:12" x14ac:dyDescent="0.3">
      <c r="A2777">
        <v>2012</v>
      </c>
      <c r="B2777" t="s">
        <v>53</v>
      </c>
      <c r="C2777">
        <v>13283</v>
      </c>
      <c r="D2777">
        <v>3605.4</v>
      </c>
      <c r="E2777">
        <v>42</v>
      </c>
      <c r="F2777" t="s">
        <v>50</v>
      </c>
      <c r="G2777" t="s">
        <v>26</v>
      </c>
      <c r="H2777">
        <v>121</v>
      </c>
      <c r="I2777">
        <v>56.6</v>
      </c>
      <c r="J2777" t="s">
        <v>39</v>
      </c>
      <c r="K2777">
        <v>4847</v>
      </c>
      <c r="L2777" t="s">
        <v>25</v>
      </c>
    </row>
    <row r="2778" spans="1:12" x14ac:dyDescent="0.3">
      <c r="A2778">
        <v>2013</v>
      </c>
      <c r="B2778" t="s">
        <v>53</v>
      </c>
      <c r="C2778">
        <v>52119</v>
      </c>
      <c r="D2778">
        <v>3605.4</v>
      </c>
      <c r="E2778">
        <v>42</v>
      </c>
      <c r="F2778" t="s">
        <v>50</v>
      </c>
      <c r="G2778" t="s">
        <v>26</v>
      </c>
      <c r="H2778">
        <v>103</v>
      </c>
      <c r="I2778">
        <v>55.5</v>
      </c>
      <c r="J2778" t="s">
        <v>39</v>
      </c>
      <c r="K2778">
        <v>51239</v>
      </c>
      <c r="L2778" t="s">
        <v>25</v>
      </c>
    </row>
    <row r="2779" spans="1:12" x14ac:dyDescent="0.3">
      <c r="A2779">
        <v>2014</v>
      </c>
      <c r="B2779" t="s">
        <v>53</v>
      </c>
      <c r="C2779">
        <v>725</v>
      </c>
      <c r="D2779">
        <v>3512.4</v>
      </c>
      <c r="E2779">
        <v>42</v>
      </c>
      <c r="F2779" t="s">
        <v>50</v>
      </c>
      <c r="G2779" t="s">
        <v>26</v>
      </c>
      <c r="H2779">
        <v>71</v>
      </c>
      <c r="I2779">
        <v>58.5</v>
      </c>
      <c r="J2779" t="s">
        <v>39</v>
      </c>
      <c r="K2779">
        <v>216396</v>
      </c>
      <c r="L2779" t="s">
        <v>25</v>
      </c>
    </row>
    <row r="2780" spans="1:12" x14ac:dyDescent="0.3">
      <c r="A2780">
        <v>2015</v>
      </c>
      <c r="B2780" t="s">
        <v>53</v>
      </c>
      <c r="C2780">
        <v>12885</v>
      </c>
      <c r="D2780">
        <v>3512.4</v>
      </c>
      <c r="E2780">
        <v>43</v>
      </c>
      <c r="F2780" t="s">
        <v>50</v>
      </c>
      <c r="G2780" t="s">
        <v>26</v>
      </c>
      <c r="H2780">
        <v>3961</v>
      </c>
      <c r="I2780">
        <v>59.5</v>
      </c>
      <c r="J2780" t="s">
        <v>39</v>
      </c>
      <c r="K2780">
        <v>2644</v>
      </c>
      <c r="L2780" t="s">
        <v>25</v>
      </c>
    </row>
    <row r="2781" spans="1:12" x14ac:dyDescent="0.3">
      <c r="A2781">
        <v>2016</v>
      </c>
      <c r="B2781" t="s">
        <v>53</v>
      </c>
      <c r="C2781">
        <v>51179</v>
      </c>
      <c r="D2781">
        <v>3512.4</v>
      </c>
      <c r="E2781">
        <v>27</v>
      </c>
      <c r="F2781" t="s">
        <v>66</v>
      </c>
      <c r="G2781" t="s">
        <v>26</v>
      </c>
      <c r="H2781">
        <v>4247</v>
      </c>
      <c r="I2781">
        <v>55</v>
      </c>
      <c r="J2781" t="s">
        <v>39</v>
      </c>
      <c r="K2781">
        <v>44235</v>
      </c>
      <c r="L2781" t="s">
        <v>25</v>
      </c>
    </row>
    <row r="2782" spans="1:12" x14ac:dyDescent="0.3">
      <c r="A2782">
        <v>2017</v>
      </c>
      <c r="B2782" t="s">
        <v>53</v>
      </c>
      <c r="C2782">
        <v>468</v>
      </c>
      <c r="D2782">
        <v>3296</v>
      </c>
      <c r="E2782">
        <v>27</v>
      </c>
      <c r="F2782" t="s">
        <v>66</v>
      </c>
      <c r="G2782" t="s">
        <v>26</v>
      </c>
      <c r="H2782">
        <v>3290</v>
      </c>
      <c r="I2782">
        <v>53</v>
      </c>
      <c r="J2782" t="s">
        <v>39</v>
      </c>
      <c r="K2782">
        <v>203317</v>
      </c>
      <c r="L2782" t="s">
        <v>25</v>
      </c>
    </row>
    <row r="2783" spans="1:12" x14ac:dyDescent="0.3">
      <c r="A2783">
        <v>2018</v>
      </c>
      <c r="B2783" t="s">
        <v>53</v>
      </c>
      <c r="C2783">
        <v>11841</v>
      </c>
      <c r="D2783">
        <v>3296</v>
      </c>
      <c r="E2783">
        <v>27</v>
      </c>
      <c r="F2783" t="s">
        <v>66</v>
      </c>
      <c r="G2783" t="s">
        <v>26</v>
      </c>
      <c r="H2783">
        <v>3138</v>
      </c>
      <c r="I2783">
        <v>53.5</v>
      </c>
      <c r="J2783" t="s">
        <v>39</v>
      </c>
      <c r="K2783">
        <v>2134</v>
      </c>
      <c r="L2783" t="s">
        <v>25</v>
      </c>
    </row>
    <row r="2784" spans="1:12" x14ac:dyDescent="0.3">
      <c r="A2784">
        <v>2004</v>
      </c>
      <c r="B2784" t="s">
        <v>53</v>
      </c>
      <c r="C2784">
        <v>50975</v>
      </c>
      <c r="D2784">
        <v>3296</v>
      </c>
      <c r="E2784">
        <v>27</v>
      </c>
      <c r="F2784" t="s">
        <v>66</v>
      </c>
      <c r="G2784" t="s">
        <v>26</v>
      </c>
      <c r="H2784">
        <v>3423</v>
      </c>
      <c r="I2784">
        <v>52.5</v>
      </c>
      <c r="J2784" t="s">
        <v>39</v>
      </c>
      <c r="K2784">
        <v>45186</v>
      </c>
      <c r="L2784" t="s">
        <v>25</v>
      </c>
    </row>
    <row r="2785" spans="1:12" x14ac:dyDescent="0.3">
      <c r="A2785">
        <v>2005</v>
      </c>
      <c r="B2785" t="s">
        <v>53</v>
      </c>
      <c r="C2785">
        <v>206</v>
      </c>
      <c r="D2785">
        <v>3550</v>
      </c>
      <c r="E2785">
        <v>27</v>
      </c>
      <c r="F2785" t="s">
        <v>66</v>
      </c>
      <c r="G2785" t="s">
        <v>26</v>
      </c>
      <c r="H2785">
        <v>3899</v>
      </c>
      <c r="I2785">
        <v>56</v>
      </c>
      <c r="J2785" t="s">
        <v>39</v>
      </c>
      <c r="K2785">
        <v>238542</v>
      </c>
      <c r="L2785" t="s">
        <v>25</v>
      </c>
    </row>
    <row r="2786" spans="1:12" x14ac:dyDescent="0.3">
      <c r="A2786">
        <v>2006</v>
      </c>
      <c r="B2786" t="s">
        <v>53</v>
      </c>
      <c r="C2786">
        <v>10922</v>
      </c>
      <c r="D2786">
        <v>3550</v>
      </c>
      <c r="E2786">
        <v>27</v>
      </c>
      <c r="F2786" t="s">
        <v>66</v>
      </c>
      <c r="G2786" t="s">
        <v>26</v>
      </c>
      <c r="H2786">
        <v>4015</v>
      </c>
      <c r="I2786">
        <v>57</v>
      </c>
      <c r="J2786" t="s">
        <v>39</v>
      </c>
      <c r="K2786">
        <v>1516</v>
      </c>
      <c r="L2786" t="s">
        <v>25</v>
      </c>
    </row>
    <row r="2787" spans="1:12" x14ac:dyDescent="0.3">
      <c r="A2787">
        <v>2007</v>
      </c>
      <c r="B2787" t="s">
        <v>53</v>
      </c>
      <c r="C2787">
        <v>51390</v>
      </c>
      <c r="D2787">
        <v>3550</v>
      </c>
      <c r="E2787">
        <v>27.2</v>
      </c>
      <c r="F2787" t="s">
        <v>66</v>
      </c>
      <c r="G2787" t="s">
        <v>26</v>
      </c>
      <c r="H2787">
        <v>4279</v>
      </c>
      <c r="I2787">
        <v>57.5</v>
      </c>
      <c r="J2787" t="s">
        <v>39</v>
      </c>
      <c r="K2787">
        <v>200000</v>
      </c>
      <c r="L2787" t="s">
        <v>25</v>
      </c>
    </row>
    <row r="2788" spans="1:12" x14ac:dyDescent="0.3">
      <c r="A2788">
        <v>2008</v>
      </c>
      <c r="B2788" t="s">
        <v>53</v>
      </c>
      <c r="C2788">
        <v>177</v>
      </c>
      <c r="D2788">
        <v>3654</v>
      </c>
      <c r="E2788">
        <v>27.2</v>
      </c>
      <c r="F2788" t="s">
        <v>66</v>
      </c>
      <c r="G2788" t="s">
        <v>26</v>
      </c>
      <c r="H2788">
        <v>4167</v>
      </c>
      <c r="I2788">
        <v>57</v>
      </c>
      <c r="J2788" t="s">
        <v>40</v>
      </c>
      <c r="K2788">
        <v>4847</v>
      </c>
      <c r="L2788" t="s">
        <v>25</v>
      </c>
    </row>
    <row r="2789" spans="1:12" x14ac:dyDescent="0.3">
      <c r="A2789">
        <v>2009</v>
      </c>
      <c r="B2789" t="s">
        <v>53</v>
      </c>
      <c r="C2789">
        <v>10723</v>
      </c>
      <c r="D2789">
        <v>3654</v>
      </c>
      <c r="E2789">
        <v>27.2</v>
      </c>
      <c r="F2789" t="s">
        <v>66</v>
      </c>
      <c r="G2789" t="s">
        <v>26</v>
      </c>
      <c r="H2789">
        <v>4479</v>
      </c>
      <c r="I2789">
        <v>55</v>
      </c>
      <c r="J2789" t="s">
        <v>40</v>
      </c>
      <c r="K2789">
        <v>51239</v>
      </c>
      <c r="L2789" t="s">
        <v>25</v>
      </c>
    </row>
    <row r="2790" spans="1:12" x14ac:dyDescent="0.3">
      <c r="A2790">
        <v>2010</v>
      </c>
      <c r="B2790" t="s">
        <v>53</v>
      </c>
      <c r="C2790">
        <v>51709</v>
      </c>
      <c r="D2790">
        <v>3654</v>
      </c>
      <c r="E2790">
        <v>27</v>
      </c>
      <c r="F2790" t="s">
        <v>66</v>
      </c>
      <c r="G2790" t="s">
        <v>26</v>
      </c>
      <c r="H2790">
        <v>3699</v>
      </c>
      <c r="I2790">
        <v>56</v>
      </c>
      <c r="J2790" t="s">
        <v>40</v>
      </c>
      <c r="K2790">
        <v>216396</v>
      </c>
      <c r="L2790" t="s">
        <v>25</v>
      </c>
    </row>
    <row r="2791" spans="1:12" x14ac:dyDescent="0.3">
      <c r="A2791">
        <v>2011</v>
      </c>
      <c r="B2791" t="s">
        <v>53</v>
      </c>
      <c r="C2791">
        <v>146</v>
      </c>
      <c r="D2791">
        <v>233</v>
      </c>
      <c r="E2791">
        <v>27</v>
      </c>
      <c r="F2791" t="s">
        <v>66</v>
      </c>
      <c r="G2791" t="s">
        <v>26</v>
      </c>
      <c r="H2791">
        <v>4904</v>
      </c>
      <c r="I2791">
        <v>54</v>
      </c>
      <c r="J2791" t="s">
        <v>40</v>
      </c>
      <c r="K2791">
        <v>2644</v>
      </c>
      <c r="L2791" t="s">
        <v>25</v>
      </c>
    </row>
    <row r="2792" spans="1:12" x14ac:dyDescent="0.3">
      <c r="A2792">
        <v>2012</v>
      </c>
      <c r="B2792" t="s">
        <v>53</v>
      </c>
      <c r="C2792">
        <v>10910</v>
      </c>
      <c r="D2792">
        <v>233</v>
      </c>
      <c r="E2792">
        <v>27</v>
      </c>
      <c r="F2792" t="s">
        <v>66</v>
      </c>
      <c r="G2792" t="s">
        <v>26</v>
      </c>
      <c r="H2792">
        <v>2821</v>
      </c>
      <c r="I2792">
        <v>58</v>
      </c>
      <c r="J2792" t="s">
        <v>40</v>
      </c>
      <c r="K2792">
        <v>44235</v>
      </c>
      <c r="L2792" t="s">
        <v>25</v>
      </c>
    </row>
    <row r="2793" spans="1:12" x14ac:dyDescent="0.3">
      <c r="A2793">
        <v>2013</v>
      </c>
      <c r="B2793" t="s">
        <v>53</v>
      </c>
      <c r="C2793">
        <v>51355</v>
      </c>
      <c r="D2793">
        <v>233</v>
      </c>
      <c r="E2793">
        <v>27</v>
      </c>
      <c r="F2793" t="s">
        <v>66</v>
      </c>
      <c r="G2793" t="s">
        <v>26</v>
      </c>
      <c r="H2793">
        <v>3472</v>
      </c>
      <c r="I2793">
        <v>58</v>
      </c>
      <c r="J2793" t="s">
        <v>40</v>
      </c>
      <c r="K2793">
        <v>203317</v>
      </c>
      <c r="L2793" t="s">
        <v>25</v>
      </c>
    </row>
    <row r="2794" spans="1:12" x14ac:dyDescent="0.3">
      <c r="A2794">
        <v>2014</v>
      </c>
      <c r="B2794" t="s">
        <v>53</v>
      </c>
      <c r="C2794">
        <v>160</v>
      </c>
      <c r="D2794">
        <v>234</v>
      </c>
      <c r="E2794">
        <v>27</v>
      </c>
      <c r="F2794" t="s">
        <v>66</v>
      </c>
      <c r="G2794" t="s">
        <v>26</v>
      </c>
      <c r="H2794">
        <v>3647</v>
      </c>
      <c r="I2794">
        <v>59</v>
      </c>
      <c r="J2794" t="s">
        <v>40</v>
      </c>
      <c r="K2794">
        <v>2134</v>
      </c>
      <c r="L2794" t="s">
        <v>25</v>
      </c>
    </row>
    <row r="2795" spans="1:12" x14ac:dyDescent="0.3">
      <c r="A2795">
        <v>2015</v>
      </c>
      <c r="B2795" t="s">
        <v>53</v>
      </c>
      <c r="C2795">
        <v>10912</v>
      </c>
      <c r="D2795">
        <v>234</v>
      </c>
      <c r="E2795">
        <v>27</v>
      </c>
      <c r="F2795" t="s">
        <v>66</v>
      </c>
      <c r="G2795" t="s">
        <v>26</v>
      </c>
      <c r="H2795">
        <v>393</v>
      </c>
      <c r="I2795">
        <v>50</v>
      </c>
      <c r="J2795" t="s">
        <v>40</v>
      </c>
      <c r="K2795">
        <v>45186</v>
      </c>
      <c r="L2795" t="s">
        <v>25</v>
      </c>
    </row>
    <row r="2796" spans="1:12" x14ac:dyDescent="0.3">
      <c r="A2796">
        <v>2016</v>
      </c>
      <c r="B2796" t="s">
        <v>53</v>
      </c>
      <c r="C2796">
        <v>51353</v>
      </c>
      <c r="D2796">
        <v>234</v>
      </c>
      <c r="E2796">
        <v>27.2</v>
      </c>
      <c r="F2796" t="s">
        <v>66</v>
      </c>
      <c r="G2796" t="s">
        <v>26</v>
      </c>
      <c r="H2796">
        <v>167</v>
      </c>
      <c r="I2796">
        <v>54</v>
      </c>
      <c r="J2796" t="s">
        <v>40</v>
      </c>
      <c r="K2796">
        <v>238542</v>
      </c>
      <c r="L2796" t="s">
        <v>25</v>
      </c>
    </row>
    <row r="2797" spans="1:12" x14ac:dyDescent="0.3">
      <c r="A2797">
        <v>2017</v>
      </c>
      <c r="B2797" t="s">
        <v>53</v>
      </c>
      <c r="C2797">
        <v>1279</v>
      </c>
      <c r="D2797">
        <v>3105</v>
      </c>
      <c r="E2797">
        <v>27.2</v>
      </c>
      <c r="F2797" t="s">
        <v>66</v>
      </c>
      <c r="G2797" t="s">
        <v>26</v>
      </c>
      <c r="H2797">
        <v>71</v>
      </c>
      <c r="I2797">
        <v>53</v>
      </c>
      <c r="J2797" t="s">
        <v>40</v>
      </c>
      <c r="K2797">
        <v>1516</v>
      </c>
      <c r="L2797" t="s">
        <v>25</v>
      </c>
    </row>
    <row r="2798" spans="1:12" x14ac:dyDescent="0.3">
      <c r="A2798">
        <v>2018</v>
      </c>
      <c r="B2798" t="s">
        <v>53</v>
      </c>
      <c r="C2798">
        <v>13283</v>
      </c>
      <c r="D2798">
        <v>3105</v>
      </c>
      <c r="E2798">
        <v>27.2</v>
      </c>
      <c r="F2798" t="s">
        <v>66</v>
      </c>
      <c r="G2798" t="s">
        <v>26</v>
      </c>
      <c r="H2798">
        <v>52</v>
      </c>
      <c r="I2798">
        <v>52</v>
      </c>
      <c r="J2798" t="s">
        <v>40</v>
      </c>
      <c r="K2798">
        <v>57259</v>
      </c>
      <c r="L2798" t="s">
        <v>25</v>
      </c>
    </row>
    <row r="2799" spans="1:12" x14ac:dyDescent="0.3">
      <c r="A2799">
        <v>2004</v>
      </c>
      <c r="B2799" t="s">
        <v>53</v>
      </c>
      <c r="C2799">
        <v>52119</v>
      </c>
      <c r="D2799">
        <v>3105</v>
      </c>
      <c r="E2799">
        <v>27.1</v>
      </c>
      <c r="F2799" t="s">
        <v>66</v>
      </c>
      <c r="G2799" t="s">
        <v>26</v>
      </c>
      <c r="H2799">
        <v>313547</v>
      </c>
      <c r="I2799">
        <v>51</v>
      </c>
      <c r="J2799" t="s">
        <v>40</v>
      </c>
      <c r="K2799">
        <v>234779</v>
      </c>
      <c r="L2799" t="s">
        <v>25</v>
      </c>
    </row>
    <row r="2800" spans="1:12" x14ac:dyDescent="0.3">
      <c r="A2800">
        <v>2005</v>
      </c>
      <c r="B2800" t="s">
        <v>53</v>
      </c>
      <c r="C2800">
        <v>725</v>
      </c>
      <c r="D2800">
        <v>236</v>
      </c>
      <c r="E2800">
        <v>27.1</v>
      </c>
      <c r="F2800" t="s">
        <v>66</v>
      </c>
      <c r="G2800" t="s">
        <v>26</v>
      </c>
      <c r="H2800">
        <v>2783</v>
      </c>
      <c r="I2800">
        <v>57</v>
      </c>
      <c r="J2800" t="s">
        <v>40</v>
      </c>
      <c r="K2800">
        <v>1493</v>
      </c>
      <c r="L2800" t="s">
        <v>25</v>
      </c>
    </row>
    <row r="2801" spans="1:12" x14ac:dyDescent="0.3">
      <c r="A2801">
        <v>2006</v>
      </c>
      <c r="B2801" t="s">
        <v>53</v>
      </c>
      <c r="C2801">
        <v>12885</v>
      </c>
      <c r="D2801">
        <v>236</v>
      </c>
      <c r="E2801">
        <v>27.1</v>
      </c>
      <c r="F2801" t="s">
        <v>66</v>
      </c>
      <c r="G2801" t="s">
        <v>26</v>
      </c>
      <c r="H2801">
        <v>1533</v>
      </c>
      <c r="I2801">
        <v>57</v>
      </c>
      <c r="J2801" t="s">
        <v>40</v>
      </c>
      <c r="K2801">
        <v>64409</v>
      </c>
      <c r="L2801" t="s">
        <v>25</v>
      </c>
    </row>
    <row r="2802" spans="1:12" x14ac:dyDescent="0.3">
      <c r="A2802">
        <v>2007</v>
      </c>
      <c r="B2802" t="s">
        <v>53</v>
      </c>
      <c r="C2802">
        <v>51179</v>
      </c>
      <c r="D2802">
        <v>2903.1</v>
      </c>
      <c r="E2802">
        <v>26.8</v>
      </c>
      <c r="F2802" t="s">
        <v>13</v>
      </c>
      <c r="G2802" t="s">
        <v>26</v>
      </c>
      <c r="H2802">
        <v>1647</v>
      </c>
      <c r="I2802">
        <v>60</v>
      </c>
      <c r="J2802" t="s">
        <v>40</v>
      </c>
      <c r="K2802">
        <v>249978</v>
      </c>
      <c r="L2802" t="s">
        <v>25</v>
      </c>
    </row>
    <row r="2803" spans="1:12" x14ac:dyDescent="0.3">
      <c r="A2803">
        <v>2008</v>
      </c>
      <c r="B2803" t="s">
        <v>53</v>
      </c>
      <c r="C2803">
        <v>468</v>
      </c>
      <c r="D2803">
        <v>2903.1</v>
      </c>
      <c r="E2803">
        <v>26.8</v>
      </c>
      <c r="F2803" t="s">
        <v>13</v>
      </c>
      <c r="G2803" t="s">
        <v>26</v>
      </c>
      <c r="H2803">
        <v>975</v>
      </c>
      <c r="I2803">
        <v>57</v>
      </c>
      <c r="J2803" t="s">
        <v>42</v>
      </c>
      <c r="K2803">
        <v>637</v>
      </c>
      <c r="L2803" t="s">
        <v>25</v>
      </c>
    </row>
    <row r="2804" spans="1:12" x14ac:dyDescent="0.3">
      <c r="A2804">
        <v>2009</v>
      </c>
      <c r="B2804" t="s">
        <v>53</v>
      </c>
      <c r="C2804">
        <v>11841</v>
      </c>
      <c r="D2804">
        <v>2903.1</v>
      </c>
      <c r="E2804">
        <v>26.8</v>
      </c>
      <c r="F2804" t="s">
        <v>13</v>
      </c>
      <c r="G2804" t="s">
        <v>26</v>
      </c>
      <c r="H2804">
        <v>2</v>
      </c>
      <c r="I2804">
        <v>57</v>
      </c>
      <c r="J2804" t="s">
        <v>42</v>
      </c>
      <c r="K2804">
        <v>43311</v>
      </c>
      <c r="L2804" t="s">
        <v>25</v>
      </c>
    </row>
    <row r="2805" spans="1:12" x14ac:dyDescent="0.3">
      <c r="A2805">
        <v>2010</v>
      </c>
      <c r="B2805" t="s">
        <v>53</v>
      </c>
      <c r="C2805">
        <v>50975</v>
      </c>
      <c r="D2805">
        <v>2996.6</v>
      </c>
      <c r="E2805">
        <v>37</v>
      </c>
      <c r="F2805" t="s">
        <v>13</v>
      </c>
      <c r="G2805" t="s">
        <v>26</v>
      </c>
      <c r="H2805">
        <v>836</v>
      </c>
      <c r="I2805">
        <v>54</v>
      </c>
      <c r="J2805" t="s">
        <v>42</v>
      </c>
      <c r="K2805">
        <v>24848</v>
      </c>
      <c r="L2805" t="s">
        <v>25</v>
      </c>
    </row>
    <row r="2806" spans="1:12" x14ac:dyDescent="0.3">
      <c r="A2806">
        <v>2011</v>
      </c>
      <c r="B2806" t="s">
        <v>53</v>
      </c>
      <c r="C2806">
        <v>206</v>
      </c>
      <c r="D2806">
        <v>2996.6</v>
      </c>
      <c r="E2806">
        <v>37</v>
      </c>
      <c r="F2806" t="s">
        <v>13</v>
      </c>
      <c r="G2806" t="s">
        <v>26</v>
      </c>
      <c r="H2806">
        <v>806</v>
      </c>
      <c r="I2806">
        <v>54.5</v>
      </c>
      <c r="J2806" t="s">
        <v>42</v>
      </c>
      <c r="K2806">
        <v>761</v>
      </c>
      <c r="L2806" t="s">
        <v>25</v>
      </c>
    </row>
    <row r="2807" spans="1:12" x14ac:dyDescent="0.3">
      <c r="A2807">
        <v>2012</v>
      </c>
      <c r="B2807" t="s">
        <v>53</v>
      </c>
      <c r="C2807">
        <v>10922</v>
      </c>
      <c r="D2807">
        <v>2996.6</v>
      </c>
      <c r="E2807">
        <v>37</v>
      </c>
      <c r="F2807" t="s">
        <v>13</v>
      </c>
      <c r="G2807" t="s">
        <v>26</v>
      </c>
      <c r="H2807">
        <v>880</v>
      </c>
      <c r="I2807">
        <v>56.6</v>
      </c>
      <c r="J2807" t="s">
        <v>42</v>
      </c>
      <c r="K2807">
        <v>45608</v>
      </c>
      <c r="L2807" t="s">
        <v>25</v>
      </c>
    </row>
    <row r="2808" spans="1:12" x14ac:dyDescent="0.3">
      <c r="A2808">
        <v>2013</v>
      </c>
      <c r="B2808" t="s">
        <v>53</v>
      </c>
      <c r="C2808">
        <v>51390</v>
      </c>
      <c r="D2808">
        <v>3522.8</v>
      </c>
      <c r="E2808">
        <v>38</v>
      </c>
      <c r="F2808" t="s">
        <v>13</v>
      </c>
      <c r="G2808" t="s">
        <v>14</v>
      </c>
      <c r="H2808">
        <v>770</v>
      </c>
      <c r="I2808">
        <v>55.5</v>
      </c>
      <c r="J2808" t="s">
        <v>42</v>
      </c>
      <c r="K2808">
        <v>234581</v>
      </c>
      <c r="L2808" t="s">
        <v>25</v>
      </c>
    </row>
    <row r="2809" spans="1:12" x14ac:dyDescent="0.3">
      <c r="A2809">
        <v>2014</v>
      </c>
      <c r="B2809" t="s">
        <v>53</v>
      </c>
      <c r="C2809">
        <v>177</v>
      </c>
      <c r="D2809">
        <v>3522.8</v>
      </c>
      <c r="E2809">
        <v>38</v>
      </c>
      <c r="F2809" t="s">
        <v>13</v>
      </c>
      <c r="G2809" t="s">
        <v>14</v>
      </c>
      <c r="H2809">
        <v>395</v>
      </c>
      <c r="I2809">
        <v>58.5</v>
      </c>
      <c r="J2809" t="s">
        <v>42</v>
      </c>
      <c r="K2809">
        <v>646</v>
      </c>
      <c r="L2809" t="s">
        <v>25</v>
      </c>
    </row>
    <row r="2810" spans="1:12" x14ac:dyDescent="0.3">
      <c r="A2810">
        <v>2015</v>
      </c>
      <c r="B2810" t="s">
        <v>53</v>
      </c>
      <c r="C2810">
        <v>10723</v>
      </c>
      <c r="D2810">
        <v>3522.8</v>
      </c>
      <c r="E2810">
        <v>38</v>
      </c>
      <c r="F2810" t="s">
        <v>13</v>
      </c>
      <c r="G2810" t="s">
        <v>14</v>
      </c>
      <c r="H2810">
        <v>187</v>
      </c>
      <c r="I2810">
        <v>59.5</v>
      </c>
      <c r="J2810" t="s">
        <v>42</v>
      </c>
      <c r="K2810">
        <v>43562</v>
      </c>
      <c r="L2810" t="s">
        <v>25</v>
      </c>
    </row>
    <row r="2811" spans="1:12" x14ac:dyDescent="0.3">
      <c r="A2811">
        <v>2016</v>
      </c>
      <c r="B2811" t="s">
        <v>53</v>
      </c>
      <c r="C2811">
        <v>51709</v>
      </c>
      <c r="D2811">
        <v>3729.8</v>
      </c>
      <c r="E2811">
        <v>39</v>
      </c>
      <c r="F2811" t="s">
        <v>13</v>
      </c>
      <c r="G2811" t="s">
        <v>14</v>
      </c>
      <c r="H2811">
        <v>187</v>
      </c>
      <c r="I2811">
        <v>55</v>
      </c>
      <c r="J2811" t="s">
        <v>42</v>
      </c>
      <c r="K2811">
        <v>200000</v>
      </c>
      <c r="L2811" t="s">
        <v>25</v>
      </c>
    </row>
    <row r="2812" spans="1:12" x14ac:dyDescent="0.3">
      <c r="A2812">
        <v>2017</v>
      </c>
      <c r="B2812" t="s">
        <v>53</v>
      </c>
      <c r="C2812">
        <v>146</v>
      </c>
      <c r="D2812">
        <v>3729.8</v>
      </c>
      <c r="E2812">
        <v>39</v>
      </c>
      <c r="F2812" t="s">
        <v>13</v>
      </c>
      <c r="G2812" t="s">
        <v>14</v>
      </c>
      <c r="H2812">
        <v>121</v>
      </c>
      <c r="I2812">
        <v>53</v>
      </c>
      <c r="J2812" t="s">
        <v>42</v>
      </c>
      <c r="K2812">
        <v>4847</v>
      </c>
      <c r="L2812" t="s">
        <v>25</v>
      </c>
    </row>
    <row r="2813" spans="1:12" x14ac:dyDescent="0.3">
      <c r="A2813">
        <v>2018</v>
      </c>
      <c r="B2813" t="s">
        <v>53</v>
      </c>
      <c r="C2813">
        <v>10910</v>
      </c>
      <c r="D2813">
        <v>3729.8</v>
      </c>
      <c r="E2813">
        <v>39</v>
      </c>
      <c r="F2813" t="s">
        <v>13</v>
      </c>
      <c r="G2813" t="s">
        <v>14</v>
      </c>
      <c r="H2813">
        <v>103</v>
      </c>
      <c r="I2813">
        <v>53.5</v>
      </c>
      <c r="J2813" t="s">
        <v>42</v>
      </c>
      <c r="K2813">
        <v>51239</v>
      </c>
      <c r="L2813" t="s">
        <v>25</v>
      </c>
    </row>
    <row r="2814" spans="1:12" x14ac:dyDescent="0.3">
      <c r="A2814">
        <v>2004</v>
      </c>
      <c r="B2814" t="s">
        <v>53</v>
      </c>
      <c r="C2814">
        <v>51355</v>
      </c>
      <c r="D2814">
        <v>2746.2</v>
      </c>
      <c r="E2814">
        <v>40</v>
      </c>
      <c r="F2814" t="s">
        <v>13</v>
      </c>
      <c r="G2814" t="s">
        <v>14</v>
      </c>
      <c r="H2814">
        <v>71</v>
      </c>
      <c r="I2814">
        <v>52.5</v>
      </c>
      <c r="J2814" t="s">
        <v>42</v>
      </c>
      <c r="K2814">
        <v>216396</v>
      </c>
      <c r="L2814" t="s">
        <v>25</v>
      </c>
    </row>
    <row r="2815" spans="1:12" x14ac:dyDescent="0.3">
      <c r="A2815">
        <v>2005</v>
      </c>
      <c r="B2815" t="s">
        <v>53</v>
      </c>
      <c r="C2815">
        <v>160</v>
      </c>
      <c r="D2815">
        <v>2746.2</v>
      </c>
      <c r="E2815">
        <v>40</v>
      </c>
      <c r="F2815" t="s">
        <v>13</v>
      </c>
      <c r="G2815" t="s">
        <v>14</v>
      </c>
      <c r="H2815">
        <v>3961</v>
      </c>
      <c r="I2815">
        <v>56</v>
      </c>
      <c r="J2815" t="s">
        <v>42</v>
      </c>
      <c r="K2815">
        <v>2644</v>
      </c>
      <c r="L2815" t="s">
        <v>25</v>
      </c>
    </row>
    <row r="2816" spans="1:12" x14ac:dyDescent="0.3">
      <c r="A2816">
        <v>2006</v>
      </c>
      <c r="B2816" t="s">
        <v>34</v>
      </c>
      <c r="C2816">
        <v>10912</v>
      </c>
      <c r="D2816">
        <v>2746.2</v>
      </c>
      <c r="E2816">
        <v>40</v>
      </c>
      <c r="F2816" t="s">
        <v>13</v>
      </c>
      <c r="G2816" t="s">
        <v>14</v>
      </c>
      <c r="H2816">
        <v>4247</v>
      </c>
      <c r="I2816">
        <v>59.5</v>
      </c>
      <c r="J2816" t="s">
        <v>42</v>
      </c>
      <c r="K2816">
        <v>44235</v>
      </c>
      <c r="L2816" t="s">
        <v>25</v>
      </c>
    </row>
    <row r="2817" spans="1:12" x14ac:dyDescent="0.3">
      <c r="A2817">
        <v>2007</v>
      </c>
      <c r="B2817" t="s">
        <v>34</v>
      </c>
      <c r="C2817">
        <v>51353</v>
      </c>
      <c r="D2817">
        <v>3360</v>
      </c>
      <c r="E2817">
        <v>41</v>
      </c>
      <c r="F2817" t="s">
        <v>13</v>
      </c>
      <c r="G2817" t="s">
        <v>14</v>
      </c>
      <c r="H2817">
        <v>3290</v>
      </c>
      <c r="I2817">
        <v>55</v>
      </c>
      <c r="J2817" t="s">
        <v>42</v>
      </c>
      <c r="K2817">
        <v>203317</v>
      </c>
      <c r="L2817" t="s">
        <v>25</v>
      </c>
    </row>
    <row r="2818" spans="1:12" x14ac:dyDescent="0.3">
      <c r="A2818">
        <v>2008</v>
      </c>
      <c r="B2818" t="s">
        <v>34</v>
      </c>
      <c r="C2818">
        <v>1279</v>
      </c>
      <c r="D2818">
        <v>3360</v>
      </c>
      <c r="E2818">
        <v>41</v>
      </c>
      <c r="F2818" t="s">
        <v>13</v>
      </c>
      <c r="G2818" t="s">
        <v>14</v>
      </c>
      <c r="H2818">
        <v>3138</v>
      </c>
      <c r="I2818">
        <v>53</v>
      </c>
      <c r="J2818" t="s">
        <v>43</v>
      </c>
      <c r="K2818">
        <v>2134</v>
      </c>
      <c r="L2818" t="s">
        <v>25</v>
      </c>
    </row>
    <row r="2819" spans="1:12" x14ac:dyDescent="0.3">
      <c r="A2819">
        <v>2009</v>
      </c>
      <c r="B2819" t="s">
        <v>34</v>
      </c>
      <c r="C2819">
        <v>13283</v>
      </c>
      <c r="D2819">
        <v>3360</v>
      </c>
      <c r="E2819">
        <v>41</v>
      </c>
      <c r="F2819" t="s">
        <v>13</v>
      </c>
      <c r="G2819" t="s">
        <v>14</v>
      </c>
      <c r="H2819">
        <v>3423</v>
      </c>
      <c r="I2819">
        <v>53.5</v>
      </c>
      <c r="J2819" t="s">
        <v>43</v>
      </c>
      <c r="K2819">
        <v>45186</v>
      </c>
      <c r="L2819" t="s">
        <v>25</v>
      </c>
    </row>
    <row r="2820" spans="1:12" x14ac:dyDescent="0.3">
      <c r="A2820">
        <v>2010</v>
      </c>
      <c r="B2820" t="s">
        <v>34</v>
      </c>
      <c r="C2820">
        <v>52119</v>
      </c>
      <c r="D2820">
        <v>3605.4</v>
      </c>
      <c r="E2820">
        <v>42</v>
      </c>
      <c r="F2820" t="s">
        <v>13</v>
      </c>
      <c r="G2820" t="s">
        <v>14</v>
      </c>
      <c r="H2820">
        <v>3899</v>
      </c>
      <c r="I2820">
        <v>52.5</v>
      </c>
      <c r="J2820" t="s">
        <v>43</v>
      </c>
      <c r="K2820">
        <v>238542</v>
      </c>
      <c r="L2820" t="s">
        <v>25</v>
      </c>
    </row>
    <row r="2821" spans="1:12" x14ac:dyDescent="0.3">
      <c r="A2821">
        <v>2011</v>
      </c>
      <c r="B2821" t="s">
        <v>34</v>
      </c>
      <c r="C2821">
        <v>725</v>
      </c>
      <c r="D2821">
        <v>3605.4</v>
      </c>
      <c r="E2821">
        <v>42</v>
      </c>
      <c r="F2821" t="s">
        <v>13</v>
      </c>
      <c r="G2821" t="s">
        <v>14</v>
      </c>
      <c r="H2821">
        <v>4015</v>
      </c>
      <c r="I2821">
        <v>56</v>
      </c>
      <c r="J2821" t="s">
        <v>43</v>
      </c>
      <c r="K2821">
        <v>1516</v>
      </c>
      <c r="L2821" t="s">
        <v>25</v>
      </c>
    </row>
    <row r="2822" spans="1:12" x14ac:dyDescent="0.3">
      <c r="A2822">
        <v>2012</v>
      </c>
      <c r="B2822" t="s">
        <v>34</v>
      </c>
      <c r="C2822">
        <v>12885</v>
      </c>
      <c r="D2822">
        <v>3605.4</v>
      </c>
      <c r="E2822">
        <v>42</v>
      </c>
      <c r="F2822" t="s">
        <v>13</v>
      </c>
      <c r="G2822" t="s">
        <v>14</v>
      </c>
      <c r="H2822">
        <v>4279</v>
      </c>
      <c r="I2822">
        <v>57</v>
      </c>
      <c r="J2822" t="s">
        <v>43</v>
      </c>
      <c r="K2822">
        <v>57259</v>
      </c>
      <c r="L2822" t="s">
        <v>25</v>
      </c>
    </row>
    <row r="2823" spans="1:12" x14ac:dyDescent="0.3">
      <c r="A2823">
        <v>2013</v>
      </c>
      <c r="B2823" t="s">
        <v>34</v>
      </c>
      <c r="C2823">
        <v>51179</v>
      </c>
      <c r="D2823">
        <v>3512.4</v>
      </c>
      <c r="E2823">
        <v>43</v>
      </c>
      <c r="F2823" t="s">
        <v>13</v>
      </c>
      <c r="G2823" t="s">
        <v>14</v>
      </c>
      <c r="H2823">
        <v>4167</v>
      </c>
      <c r="I2823">
        <v>57.5</v>
      </c>
      <c r="J2823" t="s">
        <v>43</v>
      </c>
      <c r="K2823">
        <v>234779</v>
      </c>
      <c r="L2823" t="s">
        <v>25</v>
      </c>
    </row>
    <row r="2824" spans="1:12" x14ac:dyDescent="0.3">
      <c r="A2824">
        <v>2014</v>
      </c>
      <c r="B2824" t="s">
        <v>34</v>
      </c>
      <c r="C2824">
        <v>468</v>
      </c>
      <c r="D2824">
        <v>3512.4</v>
      </c>
      <c r="E2824">
        <v>43</v>
      </c>
      <c r="F2824" t="s">
        <v>13</v>
      </c>
      <c r="G2824" t="s">
        <v>14</v>
      </c>
      <c r="H2824">
        <v>4479</v>
      </c>
      <c r="I2824">
        <v>57</v>
      </c>
      <c r="J2824" t="s">
        <v>43</v>
      </c>
      <c r="K2824">
        <v>1493</v>
      </c>
      <c r="L2824" t="s">
        <v>25</v>
      </c>
    </row>
    <row r="2825" spans="1:12" x14ac:dyDescent="0.3">
      <c r="A2825">
        <v>2015</v>
      </c>
      <c r="B2825" t="s">
        <v>34</v>
      </c>
      <c r="C2825">
        <v>11841</v>
      </c>
      <c r="D2825">
        <v>3512.4</v>
      </c>
      <c r="E2825">
        <v>128</v>
      </c>
      <c r="F2825" t="s">
        <v>13</v>
      </c>
      <c r="G2825" t="s">
        <v>14</v>
      </c>
      <c r="H2825">
        <v>3699</v>
      </c>
      <c r="I2825">
        <v>55</v>
      </c>
      <c r="J2825" t="s">
        <v>43</v>
      </c>
      <c r="K2825">
        <v>64409</v>
      </c>
      <c r="L2825" t="s">
        <v>25</v>
      </c>
    </row>
    <row r="2826" spans="1:12" x14ac:dyDescent="0.3">
      <c r="A2826">
        <v>2016</v>
      </c>
      <c r="B2826" t="s">
        <v>34</v>
      </c>
      <c r="C2826">
        <v>50975</v>
      </c>
      <c r="D2826">
        <v>3296</v>
      </c>
      <c r="E2826">
        <v>129</v>
      </c>
      <c r="F2826" t="s">
        <v>13</v>
      </c>
      <c r="G2826" t="s">
        <v>14</v>
      </c>
      <c r="H2826">
        <v>4904</v>
      </c>
      <c r="I2826">
        <v>56</v>
      </c>
      <c r="J2826" t="s">
        <v>43</v>
      </c>
      <c r="K2826">
        <v>249978</v>
      </c>
      <c r="L2826" t="s">
        <v>25</v>
      </c>
    </row>
    <row r="2827" spans="1:12" x14ac:dyDescent="0.3">
      <c r="A2827">
        <v>2017</v>
      </c>
      <c r="B2827" t="s">
        <v>34</v>
      </c>
      <c r="C2827">
        <v>206</v>
      </c>
      <c r="D2827">
        <v>3296</v>
      </c>
      <c r="E2827">
        <v>130</v>
      </c>
      <c r="F2827" t="s">
        <v>13</v>
      </c>
      <c r="G2827" t="s">
        <v>14</v>
      </c>
      <c r="H2827">
        <v>2821</v>
      </c>
      <c r="I2827">
        <v>54</v>
      </c>
      <c r="J2827" t="s">
        <v>43</v>
      </c>
      <c r="K2827">
        <v>637</v>
      </c>
      <c r="L2827" t="s">
        <v>25</v>
      </c>
    </row>
    <row r="2828" spans="1:12" x14ac:dyDescent="0.3">
      <c r="A2828">
        <v>2018</v>
      </c>
      <c r="B2828" t="s">
        <v>34</v>
      </c>
      <c r="C2828">
        <v>10922</v>
      </c>
      <c r="D2828">
        <v>3296</v>
      </c>
      <c r="E2828">
        <v>131</v>
      </c>
      <c r="F2828" t="s">
        <v>13</v>
      </c>
      <c r="G2828" t="s">
        <v>14</v>
      </c>
      <c r="H2828">
        <v>3472</v>
      </c>
      <c r="I2828">
        <v>58</v>
      </c>
      <c r="J2828" t="s">
        <v>43</v>
      </c>
      <c r="K2828">
        <v>43311</v>
      </c>
      <c r="L2828" t="s">
        <v>25</v>
      </c>
    </row>
    <row r="2829" spans="1:12" x14ac:dyDescent="0.3">
      <c r="A2829">
        <v>2004</v>
      </c>
      <c r="B2829" t="s">
        <v>34</v>
      </c>
      <c r="C2829">
        <v>51390</v>
      </c>
      <c r="D2829">
        <v>3550</v>
      </c>
      <c r="E2829">
        <v>132</v>
      </c>
      <c r="F2829" t="s">
        <v>13</v>
      </c>
      <c r="G2829" t="s">
        <v>14</v>
      </c>
      <c r="H2829">
        <v>3647</v>
      </c>
      <c r="I2829">
        <v>58</v>
      </c>
      <c r="J2829" t="s">
        <v>43</v>
      </c>
      <c r="K2829">
        <v>24848</v>
      </c>
      <c r="L2829" t="s">
        <v>25</v>
      </c>
    </row>
    <row r="2830" spans="1:12" x14ac:dyDescent="0.3">
      <c r="A2830">
        <v>2005</v>
      </c>
      <c r="B2830" t="s">
        <v>34</v>
      </c>
      <c r="C2830">
        <v>177</v>
      </c>
      <c r="D2830">
        <v>3550</v>
      </c>
      <c r="E2830">
        <v>133</v>
      </c>
      <c r="F2830" t="s">
        <v>13</v>
      </c>
      <c r="G2830" t="s">
        <v>14</v>
      </c>
      <c r="H2830">
        <v>393</v>
      </c>
      <c r="I2830">
        <v>59</v>
      </c>
      <c r="J2830" t="s">
        <v>43</v>
      </c>
      <c r="K2830">
        <v>761</v>
      </c>
      <c r="L2830" t="s">
        <v>25</v>
      </c>
    </row>
    <row r="2831" spans="1:12" x14ac:dyDescent="0.3">
      <c r="A2831">
        <v>2006</v>
      </c>
      <c r="B2831" t="s">
        <v>34</v>
      </c>
      <c r="C2831">
        <v>10723</v>
      </c>
      <c r="D2831">
        <v>3550</v>
      </c>
      <c r="E2831">
        <v>134</v>
      </c>
      <c r="F2831" t="s">
        <v>13</v>
      </c>
      <c r="G2831" t="s">
        <v>14</v>
      </c>
      <c r="H2831">
        <v>167</v>
      </c>
      <c r="I2831">
        <v>50</v>
      </c>
      <c r="J2831" t="s">
        <v>43</v>
      </c>
      <c r="K2831">
        <v>45608</v>
      </c>
      <c r="L2831" t="s">
        <v>25</v>
      </c>
    </row>
    <row r="2832" spans="1:12" x14ac:dyDescent="0.3">
      <c r="A2832">
        <v>2007</v>
      </c>
      <c r="B2832" t="s">
        <v>34</v>
      </c>
      <c r="C2832">
        <v>51709</v>
      </c>
      <c r="D2832">
        <v>3654</v>
      </c>
      <c r="E2832">
        <v>135</v>
      </c>
      <c r="F2832" t="s">
        <v>13</v>
      </c>
      <c r="G2832" t="s">
        <v>14</v>
      </c>
      <c r="H2832">
        <v>71</v>
      </c>
      <c r="I2832">
        <v>54</v>
      </c>
      <c r="J2832" t="s">
        <v>43</v>
      </c>
      <c r="K2832">
        <v>234581</v>
      </c>
      <c r="L2832" t="s">
        <v>25</v>
      </c>
    </row>
    <row r="2833" spans="1:12" x14ac:dyDescent="0.3">
      <c r="A2833">
        <v>2008</v>
      </c>
      <c r="B2833" t="s">
        <v>34</v>
      </c>
      <c r="C2833">
        <v>1279</v>
      </c>
      <c r="D2833">
        <v>3654</v>
      </c>
      <c r="E2833">
        <v>136</v>
      </c>
      <c r="F2833" t="s">
        <v>13</v>
      </c>
      <c r="G2833" t="s">
        <v>14</v>
      </c>
      <c r="H2833">
        <v>52</v>
      </c>
      <c r="I2833">
        <v>53</v>
      </c>
      <c r="J2833" t="s">
        <v>15</v>
      </c>
      <c r="K2833">
        <v>646</v>
      </c>
      <c r="L2833" t="s">
        <v>25</v>
      </c>
    </row>
    <row r="2834" spans="1:12" x14ac:dyDescent="0.3">
      <c r="A2834">
        <v>2009</v>
      </c>
      <c r="B2834" t="s">
        <v>34</v>
      </c>
      <c r="C2834">
        <v>13283</v>
      </c>
      <c r="D2834">
        <v>3654</v>
      </c>
      <c r="E2834">
        <v>137</v>
      </c>
      <c r="F2834" t="s">
        <v>13</v>
      </c>
      <c r="G2834" t="s">
        <v>14</v>
      </c>
      <c r="H2834">
        <v>2570</v>
      </c>
      <c r="I2834">
        <v>59.5</v>
      </c>
      <c r="J2834" t="s">
        <v>15</v>
      </c>
      <c r="K2834">
        <v>43562</v>
      </c>
      <c r="L2834" t="s">
        <v>25</v>
      </c>
    </row>
    <row r="2835" spans="1:12" x14ac:dyDescent="0.3">
      <c r="A2835">
        <v>2010</v>
      </c>
      <c r="B2835" t="s">
        <v>34</v>
      </c>
      <c r="C2835">
        <v>52119</v>
      </c>
      <c r="D2835">
        <v>233</v>
      </c>
      <c r="E2835">
        <v>138</v>
      </c>
      <c r="F2835" t="s">
        <v>13</v>
      </c>
      <c r="G2835" t="s">
        <v>14</v>
      </c>
      <c r="H2835">
        <v>27170</v>
      </c>
      <c r="I2835">
        <v>55</v>
      </c>
      <c r="J2835" t="s">
        <v>15</v>
      </c>
      <c r="K2835">
        <v>200000</v>
      </c>
      <c r="L2835" t="s">
        <v>25</v>
      </c>
    </row>
    <row r="2836" spans="1:12" x14ac:dyDescent="0.3">
      <c r="A2836">
        <v>2011</v>
      </c>
      <c r="B2836" t="s">
        <v>34</v>
      </c>
      <c r="C2836">
        <v>725</v>
      </c>
      <c r="D2836">
        <v>233</v>
      </c>
      <c r="E2836">
        <v>139</v>
      </c>
      <c r="F2836" t="s">
        <v>13</v>
      </c>
      <c r="G2836" t="s">
        <v>14</v>
      </c>
      <c r="H2836">
        <v>114744</v>
      </c>
      <c r="I2836">
        <v>53</v>
      </c>
      <c r="J2836" t="s">
        <v>15</v>
      </c>
      <c r="K2836">
        <v>4847</v>
      </c>
      <c r="L2836" t="s">
        <v>25</v>
      </c>
    </row>
    <row r="2837" spans="1:12" x14ac:dyDescent="0.3">
      <c r="A2837">
        <v>2012</v>
      </c>
      <c r="B2837" t="s">
        <v>34</v>
      </c>
      <c r="C2837">
        <v>12885</v>
      </c>
      <c r="D2837">
        <v>233</v>
      </c>
      <c r="E2837">
        <v>140</v>
      </c>
      <c r="F2837" t="s">
        <v>13</v>
      </c>
      <c r="G2837" t="s">
        <v>14</v>
      </c>
      <c r="H2837">
        <v>1402</v>
      </c>
      <c r="I2837">
        <v>53.5</v>
      </c>
      <c r="J2837" t="s">
        <v>15</v>
      </c>
      <c r="K2837">
        <v>51239</v>
      </c>
      <c r="L2837" t="s">
        <v>25</v>
      </c>
    </row>
    <row r="2838" spans="1:12" x14ac:dyDescent="0.3">
      <c r="A2838">
        <v>2013</v>
      </c>
      <c r="B2838" t="s">
        <v>34</v>
      </c>
      <c r="C2838">
        <v>51179</v>
      </c>
      <c r="D2838">
        <v>234</v>
      </c>
      <c r="E2838">
        <v>141</v>
      </c>
      <c r="F2838" t="s">
        <v>13</v>
      </c>
      <c r="G2838" t="s">
        <v>14</v>
      </c>
      <c r="H2838">
        <v>23456</v>
      </c>
      <c r="I2838">
        <v>52.5</v>
      </c>
      <c r="J2838" t="s">
        <v>15</v>
      </c>
      <c r="K2838">
        <v>216396</v>
      </c>
      <c r="L2838" t="s">
        <v>25</v>
      </c>
    </row>
    <row r="2839" spans="1:12" x14ac:dyDescent="0.3">
      <c r="A2839">
        <v>2014</v>
      </c>
      <c r="B2839" t="s">
        <v>34</v>
      </c>
      <c r="C2839">
        <v>468</v>
      </c>
      <c r="D2839">
        <v>234</v>
      </c>
      <c r="E2839">
        <v>142</v>
      </c>
      <c r="F2839" t="s">
        <v>13</v>
      </c>
      <c r="G2839" t="s">
        <v>14</v>
      </c>
      <c r="H2839">
        <v>107809</v>
      </c>
      <c r="I2839">
        <v>56</v>
      </c>
      <c r="J2839" t="s">
        <v>15</v>
      </c>
      <c r="K2839">
        <v>2644</v>
      </c>
      <c r="L2839" t="s">
        <v>25</v>
      </c>
    </row>
    <row r="2840" spans="1:12" x14ac:dyDescent="0.3">
      <c r="A2840">
        <v>2015</v>
      </c>
      <c r="B2840" t="s">
        <v>34</v>
      </c>
      <c r="C2840">
        <v>11841</v>
      </c>
      <c r="D2840">
        <v>234</v>
      </c>
      <c r="E2840">
        <v>143</v>
      </c>
      <c r="F2840" t="s">
        <v>13</v>
      </c>
      <c r="G2840" t="s">
        <v>14</v>
      </c>
      <c r="H2840">
        <v>1132</v>
      </c>
      <c r="I2840">
        <v>57</v>
      </c>
      <c r="J2840" t="s">
        <v>15</v>
      </c>
      <c r="K2840">
        <v>44235</v>
      </c>
      <c r="L2840" t="s">
        <v>25</v>
      </c>
    </row>
    <row r="2841" spans="1:12" x14ac:dyDescent="0.3">
      <c r="A2841">
        <v>2016</v>
      </c>
      <c r="B2841" t="s">
        <v>34</v>
      </c>
      <c r="C2841">
        <v>50975</v>
      </c>
      <c r="D2841">
        <v>3105</v>
      </c>
      <c r="E2841">
        <v>144</v>
      </c>
      <c r="F2841" t="s">
        <v>13</v>
      </c>
      <c r="G2841" t="s">
        <v>14</v>
      </c>
      <c r="H2841">
        <v>23960</v>
      </c>
      <c r="I2841">
        <v>57.5</v>
      </c>
      <c r="J2841" t="s">
        <v>15</v>
      </c>
      <c r="K2841">
        <v>203317</v>
      </c>
      <c r="L2841" t="s">
        <v>25</v>
      </c>
    </row>
    <row r="2842" spans="1:12" x14ac:dyDescent="0.3">
      <c r="A2842">
        <v>2017</v>
      </c>
      <c r="B2842" t="s">
        <v>34</v>
      </c>
      <c r="C2842">
        <v>206</v>
      </c>
      <c r="D2842">
        <v>3105</v>
      </c>
      <c r="E2842">
        <v>27</v>
      </c>
      <c r="F2842" t="s">
        <v>13</v>
      </c>
      <c r="G2842" t="s">
        <v>14</v>
      </c>
      <c r="H2842">
        <v>126487</v>
      </c>
      <c r="I2842">
        <v>57</v>
      </c>
      <c r="J2842" t="s">
        <v>15</v>
      </c>
      <c r="K2842">
        <v>2134</v>
      </c>
      <c r="L2842" t="s">
        <v>25</v>
      </c>
    </row>
    <row r="2843" spans="1:12" x14ac:dyDescent="0.3">
      <c r="A2843">
        <v>2018</v>
      </c>
      <c r="B2843" t="s">
        <v>34</v>
      </c>
      <c r="C2843">
        <v>10922</v>
      </c>
      <c r="D2843">
        <v>3105</v>
      </c>
      <c r="E2843">
        <v>27</v>
      </c>
      <c r="F2843" t="s">
        <v>13</v>
      </c>
      <c r="G2843" t="s">
        <v>14</v>
      </c>
      <c r="H2843">
        <v>804</v>
      </c>
      <c r="I2843">
        <v>55</v>
      </c>
      <c r="J2843" t="s">
        <v>15</v>
      </c>
      <c r="K2843">
        <v>45186</v>
      </c>
      <c r="L2843" t="s">
        <v>25</v>
      </c>
    </row>
    <row r="2844" spans="1:12" x14ac:dyDescent="0.3">
      <c r="A2844">
        <v>2004</v>
      </c>
      <c r="B2844" t="s">
        <v>34</v>
      </c>
      <c r="C2844">
        <v>51390</v>
      </c>
      <c r="D2844">
        <v>236</v>
      </c>
      <c r="E2844">
        <v>27</v>
      </c>
      <c r="F2844" t="s">
        <v>13</v>
      </c>
      <c r="G2844" t="s">
        <v>14</v>
      </c>
      <c r="H2844">
        <v>30362</v>
      </c>
      <c r="I2844">
        <v>56</v>
      </c>
      <c r="J2844" t="s">
        <v>15</v>
      </c>
      <c r="K2844">
        <v>238542</v>
      </c>
      <c r="L2844" t="s">
        <v>25</v>
      </c>
    </row>
    <row r="2845" spans="1:12" x14ac:dyDescent="0.3">
      <c r="A2845">
        <v>2005</v>
      </c>
      <c r="B2845" t="s">
        <v>34</v>
      </c>
      <c r="C2845">
        <v>177</v>
      </c>
      <c r="D2845">
        <v>2903.1</v>
      </c>
      <c r="E2845">
        <v>27</v>
      </c>
      <c r="F2845" t="s">
        <v>13</v>
      </c>
      <c r="G2845" t="s">
        <v>14</v>
      </c>
      <c r="H2845">
        <v>124492</v>
      </c>
      <c r="I2845">
        <v>54</v>
      </c>
      <c r="J2845" t="s">
        <v>15</v>
      </c>
      <c r="K2845">
        <v>1516</v>
      </c>
      <c r="L2845" t="s">
        <v>25</v>
      </c>
    </row>
    <row r="2846" spans="1:12" x14ac:dyDescent="0.3">
      <c r="A2846">
        <v>2006</v>
      </c>
      <c r="B2846" t="s">
        <v>34</v>
      </c>
      <c r="C2846">
        <v>10723</v>
      </c>
      <c r="D2846">
        <v>2903.1</v>
      </c>
      <c r="E2846">
        <v>27</v>
      </c>
      <c r="F2846" t="s">
        <v>13</v>
      </c>
      <c r="G2846" t="s">
        <v>14</v>
      </c>
      <c r="H2846">
        <v>792</v>
      </c>
      <c r="I2846">
        <v>58</v>
      </c>
      <c r="J2846" t="s">
        <v>15</v>
      </c>
      <c r="K2846">
        <v>200000</v>
      </c>
      <c r="L2846" t="s">
        <v>25</v>
      </c>
    </row>
    <row r="2847" spans="1:12" x14ac:dyDescent="0.3">
      <c r="A2847">
        <v>2007</v>
      </c>
      <c r="B2847" t="s">
        <v>34</v>
      </c>
      <c r="C2847">
        <v>51709</v>
      </c>
      <c r="D2847">
        <v>2903.1</v>
      </c>
      <c r="E2847">
        <v>27</v>
      </c>
      <c r="F2847" t="s">
        <v>13</v>
      </c>
      <c r="G2847" t="s">
        <v>14</v>
      </c>
      <c r="H2847">
        <v>34153</v>
      </c>
      <c r="I2847">
        <v>58</v>
      </c>
      <c r="J2847" t="s">
        <v>15</v>
      </c>
      <c r="K2847">
        <v>4847</v>
      </c>
      <c r="L2847" t="s">
        <v>25</v>
      </c>
    </row>
    <row r="2848" spans="1:12" x14ac:dyDescent="0.3">
      <c r="A2848">
        <v>2008</v>
      </c>
      <c r="B2848" t="s">
        <v>34</v>
      </c>
      <c r="C2848">
        <v>146</v>
      </c>
      <c r="D2848">
        <v>2996.6</v>
      </c>
      <c r="E2848">
        <v>27.2</v>
      </c>
      <c r="F2848" t="s">
        <v>13</v>
      </c>
      <c r="G2848" t="s">
        <v>14</v>
      </c>
      <c r="H2848">
        <v>2570</v>
      </c>
      <c r="I2848">
        <v>59</v>
      </c>
      <c r="J2848" t="s">
        <v>15</v>
      </c>
      <c r="K2848">
        <v>51239</v>
      </c>
      <c r="L2848" t="s">
        <v>25</v>
      </c>
    </row>
    <row r="2849" spans="1:12" x14ac:dyDescent="0.3">
      <c r="A2849">
        <v>2009</v>
      </c>
      <c r="B2849" t="s">
        <v>34</v>
      </c>
      <c r="C2849">
        <v>10910</v>
      </c>
      <c r="D2849">
        <v>2996.6</v>
      </c>
      <c r="E2849">
        <v>27.2</v>
      </c>
      <c r="F2849" t="s">
        <v>13</v>
      </c>
      <c r="G2849" t="s">
        <v>14</v>
      </c>
      <c r="H2849">
        <v>27170</v>
      </c>
      <c r="I2849">
        <v>50</v>
      </c>
      <c r="J2849" t="s">
        <v>35</v>
      </c>
      <c r="K2849">
        <v>216396</v>
      </c>
      <c r="L2849" t="s">
        <v>25</v>
      </c>
    </row>
    <row r="2850" spans="1:12" x14ac:dyDescent="0.3">
      <c r="A2850">
        <v>2010</v>
      </c>
      <c r="B2850" t="s">
        <v>34</v>
      </c>
      <c r="C2850">
        <v>51355</v>
      </c>
      <c r="D2850">
        <v>2996.6</v>
      </c>
      <c r="E2850">
        <v>27.2</v>
      </c>
      <c r="F2850" t="s">
        <v>13</v>
      </c>
      <c r="G2850" t="s">
        <v>14</v>
      </c>
      <c r="H2850">
        <v>114744</v>
      </c>
      <c r="I2850">
        <v>54</v>
      </c>
      <c r="J2850" t="s">
        <v>35</v>
      </c>
      <c r="K2850">
        <v>2644</v>
      </c>
      <c r="L2850" t="s">
        <v>25</v>
      </c>
    </row>
    <row r="2851" spans="1:12" x14ac:dyDescent="0.3">
      <c r="A2851">
        <v>2011</v>
      </c>
      <c r="B2851" t="s">
        <v>34</v>
      </c>
      <c r="C2851">
        <v>160</v>
      </c>
      <c r="D2851">
        <v>3522.8</v>
      </c>
      <c r="E2851">
        <v>27</v>
      </c>
      <c r="F2851" t="s">
        <v>13</v>
      </c>
      <c r="G2851" t="s">
        <v>14</v>
      </c>
      <c r="H2851">
        <v>1402</v>
      </c>
      <c r="I2851">
        <v>53</v>
      </c>
      <c r="J2851" t="s">
        <v>35</v>
      </c>
      <c r="K2851">
        <v>44235</v>
      </c>
      <c r="L2851" t="s">
        <v>25</v>
      </c>
    </row>
    <row r="2852" spans="1:12" x14ac:dyDescent="0.3">
      <c r="A2852">
        <v>2012</v>
      </c>
      <c r="B2852" t="s">
        <v>34</v>
      </c>
      <c r="C2852">
        <v>10912</v>
      </c>
      <c r="D2852">
        <v>3522.8</v>
      </c>
      <c r="E2852">
        <v>27</v>
      </c>
      <c r="F2852" t="s">
        <v>59</v>
      </c>
      <c r="G2852" t="s">
        <v>21</v>
      </c>
      <c r="H2852">
        <v>23456</v>
      </c>
      <c r="I2852">
        <v>59.5</v>
      </c>
      <c r="J2852" t="s">
        <v>35</v>
      </c>
      <c r="K2852">
        <v>203317</v>
      </c>
      <c r="L2852" t="s">
        <v>25</v>
      </c>
    </row>
    <row r="2853" spans="1:12" x14ac:dyDescent="0.3">
      <c r="A2853">
        <v>2013</v>
      </c>
      <c r="B2853" t="s">
        <v>34</v>
      </c>
      <c r="C2853">
        <v>51353</v>
      </c>
      <c r="D2853">
        <v>3522.8</v>
      </c>
      <c r="E2853">
        <v>27</v>
      </c>
      <c r="F2853" t="s">
        <v>59</v>
      </c>
      <c r="G2853" t="s">
        <v>21</v>
      </c>
      <c r="H2853">
        <v>107809</v>
      </c>
      <c r="I2853">
        <v>55</v>
      </c>
      <c r="J2853" t="s">
        <v>35</v>
      </c>
      <c r="K2853">
        <v>2134</v>
      </c>
      <c r="L2853" t="s">
        <v>25</v>
      </c>
    </row>
    <row r="2854" spans="1:12" x14ac:dyDescent="0.3">
      <c r="A2854">
        <v>2014</v>
      </c>
      <c r="B2854" t="s">
        <v>34</v>
      </c>
      <c r="C2854">
        <v>142</v>
      </c>
      <c r="D2854">
        <v>3729.8</v>
      </c>
      <c r="E2854">
        <v>27</v>
      </c>
      <c r="F2854" t="s">
        <v>59</v>
      </c>
      <c r="G2854" t="s">
        <v>21</v>
      </c>
      <c r="H2854">
        <v>1132</v>
      </c>
      <c r="I2854">
        <v>53</v>
      </c>
      <c r="J2854" t="s">
        <v>35</v>
      </c>
      <c r="K2854">
        <v>45186</v>
      </c>
      <c r="L2854" t="s">
        <v>25</v>
      </c>
    </row>
    <row r="2855" spans="1:12" x14ac:dyDescent="0.3">
      <c r="A2855">
        <v>2015</v>
      </c>
      <c r="B2855" t="s">
        <v>34</v>
      </c>
      <c r="C2855">
        <v>10505</v>
      </c>
      <c r="D2855">
        <v>3729.8</v>
      </c>
      <c r="E2855">
        <v>27</v>
      </c>
      <c r="F2855" t="s">
        <v>59</v>
      </c>
      <c r="G2855" t="s">
        <v>21</v>
      </c>
      <c r="H2855">
        <v>23960</v>
      </c>
      <c r="I2855">
        <v>53.5</v>
      </c>
      <c r="J2855" t="s">
        <v>35</v>
      </c>
      <c r="K2855">
        <v>238542</v>
      </c>
      <c r="L2855" t="s">
        <v>25</v>
      </c>
    </row>
    <row r="2856" spans="1:12" x14ac:dyDescent="0.3">
      <c r="A2856">
        <v>2016</v>
      </c>
      <c r="B2856" t="s">
        <v>34</v>
      </c>
      <c r="C2856">
        <v>51040</v>
      </c>
      <c r="D2856">
        <v>3729.8</v>
      </c>
      <c r="E2856">
        <v>27</v>
      </c>
      <c r="F2856" t="s">
        <v>59</v>
      </c>
      <c r="G2856" t="s">
        <v>21</v>
      </c>
      <c r="H2856">
        <v>126487</v>
      </c>
      <c r="I2856">
        <v>52.5</v>
      </c>
      <c r="J2856" t="s">
        <v>35</v>
      </c>
      <c r="K2856">
        <v>1516</v>
      </c>
      <c r="L2856" t="s">
        <v>25</v>
      </c>
    </row>
    <row r="2857" spans="1:12" x14ac:dyDescent="0.3">
      <c r="A2857">
        <v>2017</v>
      </c>
      <c r="B2857" t="s">
        <v>34</v>
      </c>
      <c r="C2857">
        <v>154</v>
      </c>
      <c r="D2857">
        <v>2746.2</v>
      </c>
      <c r="E2857">
        <v>27.2</v>
      </c>
      <c r="F2857" t="s">
        <v>59</v>
      </c>
      <c r="G2857" t="s">
        <v>21</v>
      </c>
      <c r="H2857">
        <v>804</v>
      </c>
      <c r="I2857">
        <v>56</v>
      </c>
      <c r="J2857" t="s">
        <v>35</v>
      </c>
      <c r="K2857">
        <v>57259</v>
      </c>
      <c r="L2857" t="s">
        <v>25</v>
      </c>
    </row>
    <row r="2858" spans="1:12" x14ac:dyDescent="0.3">
      <c r="A2858">
        <v>2018</v>
      </c>
      <c r="B2858" t="s">
        <v>34</v>
      </c>
      <c r="C2858">
        <v>10318</v>
      </c>
      <c r="D2858">
        <v>2746.2</v>
      </c>
      <c r="E2858">
        <v>27.2</v>
      </c>
      <c r="F2858" t="s">
        <v>59</v>
      </c>
      <c r="G2858" t="s">
        <v>21</v>
      </c>
      <c r="H2858">
        <v>30362</v>
      </c>
      <c r="I2858">
        <v>57</v>
      </c>
      <c r="J2858" t="s">
        <v>35</v>
      </c>
      <c r="K2858">
        <v>234779</v>
      </c>
      <c r="L2858" t="s">
        <v>25</v>
      </c>
    </row>
    <row r="2859" spans="1:12" x14ac:dyDescent="0.3">
      <c r="A2859">
        <v>2004</v>
      </c>
      <c r="B2859" t="s">
        <v>34</v>
      </c>
      <c r="C2859">
        <v>48083</v>
      </c>
      <c r="D2859">
        <v>2746.2</v>
      </c>
      <c r="E2859">
        <v>27.2</v>
      </c>
      <c r="F2859" t="s">
        <v>59</v>
      </c>
      <c r="G2859" t="s">
        <v>21</v>
      </c>
      <c r="H2859">
        <v>124492</v>
      </c>
      <c r="I2859">
        <v>57.5</v>
      </c>
      <c r="J2859" t="s">
        <v>35</v>
      </c>
      <c r="K2859">
        <v>1493</v>
      </c>
      <c r="L2859" t="s">
        <v>25</v>
      </c>
    </row>
    <row r="2860" spans="1:12" x14ac:dyDescent="0.3">
      <c r="A2860">
        <v>2005</v>
      </c>
      <c r="B2860" t="s">
        <v>34</v>
      </c>
      <c r="C2860">
        <v>143</v>
      </c>
      <c r="D2860">
        <v>3360</v>
      </c>
      <c r="E2860">
        <v>27.1</v>
      </c>
      <c r="F2860" t="s">
        <v>59</v>
      </c>
      <c r="G2860" t="s">
        <v>21</v>
      </c>
      <c r="H2860">
        <v>792</v>
      </c>
      <c r="I2860">
        <v>57</v>
      </c>
      <c r="J2860" t="s">
        <v>35</v>
      </c>
      <c r="K2860">
        <v>64409</v>
      </c>
      <c r="L2860" t="s">
        <v>25</v>
      </c>
    </row>
    <row r="2861" spans="1:12" x14ac:dyDescent="0.3">
      <c r="A2861">
        <v>2006</v>
      </c>
      <c r="B2861" t="s">
        <v>34</v>
      </c>
      <c r="C2861">
        <v>9283</v>
      </c>
      <c r="D2861">
        <v>3360</v>
      </c>
      <c r="E2861">
        <v>27.1</v>
      </c>
      <c r="F2861" t="s">
        <v>59</v>
      </c>
      <c r="G2861" t="s">
        <v>21</v>
      </c>
      <c r="H2861">
        <v>34153</v>
      </c>
      <c r="I2861">
        <v>55</v>
      </c>
      <c r="J2861" t="s">
        <v>35</v>
      </c>
      <c r="K2861">
        <v>249978</v>
      </c>
      <c r="L2861" t="s">
        <v>25</v>
      </c>
    </row>
    <row r="2862" spans="1:12" x14ac:dyDescent="0.3">
      <c r="A2862">
        <v>2007</v>
      </c>
      <c r="B2862" t="s">
        <v>34</v>
      </c>
      <c r="C2862">
        <v>47200</v>
      </c>
      <c r="D2862">
        <v>3360</v>
      </c>
      <c r="E2862">
        <v>27.1</v>
      </c>
      <c r="F2862" t="s">
        <v>59</v>
      </c>
      <c r="G2862" t="s">
        <v>21</v>
      </c>
      <c r="H2862">
        <v>132551</v>
      </c>
      <c r="I2862">
        <v>56</v>
      </c>
      <c r="J2862" t="s">
        <v>35</v>
      </c>
      <c r="K2862">
        <v>637</v>
      </c>
      <c r="L2862" t="s">
        <v>25</v>
      </c>
    </row>
    <row r="2863" spans="1:12" x14ac:dyDescent="0.3">
      <c r="A2863">
        <v>2008</v>
      </c>
      <c r="B2863" t="s">
        <v>34</v>
      </c>
      <c r="C2863">
        <v>158</v>
      </c>
      <c r="D2863">
        <v>3605.4</v>
      </c>
      <c r="E2863">
        <v>26.8</v>
      </c>
      <c r="F2863" t="s">
        <v>59</v>
      </c>
      <c r="G2863" t="s">
        <v>21</v>
      </c>
      <c r="H2863">
        <v>338</v>
      </c>
      <c r="I2863">
        <v>54</v>
      </c>
      <c r="J2863" t="s">
        <v>35</v>
      </c>
      <c r="K2863">
        <v>43311</v>
      </c>
      <c r="L2863" t="s">
        <v>25</v>
      </c>
    </row>
    <row r="2864" spans="1:12" x14ac:dyDescent="0.3">
      <c r="A2864">
        <v>2009</v>
      </c>
      <c r="B2864" t="s">
        <v>34</v>
      </c>
      <c r="C2864">
        <v>8982</v>
      </c>
      <c r="D2864">
        <v>3605.4</v>
      </c>
      <c r="E2864">
        <v>26.8</v>
      </c>
      <c r="F2864" t="s">
        <v>59</v>
      </c>
      <c r="G2864" t="s">
        <v>14</v>
      </c>
      <c r="H2864">
        <v>22966</v>
      </c>
      <c r="I2864">
        <v>57</v>
      </c>
      <c r="J2864" t="s">
        <v>15</v>
      </c>
      <c r="K2864">
        <v>200000</v>
      </c>
      <c r="L2864" t="s">
        <v>25</v>
      </c>
    </row>
    <row r="2865" spans="1:12" x14ac:dyDescent="0.3">
      <c r="A2865">
        <v>2010</v>
      </c>
      <c r="B2865" t="s">
        <v>34</v>
      </c>
      <c r="C2865">
        <v>46990</v>
      </c>
      <c r="D2865">
        <v>3605.4</v>
      </c>
      <c r="E2865">
        <v>26.8</v>
      </c>
      <c r="F2865" t="s">
        <v>59</v>
      </c>
      <c r="G2865" t="s">
        <v>14</v>
      </c>
      <c r="H2865">
        <v>131763</v>
      </c>
      <c r="I2865">
        <v>57.5</v>
      </c>
      <c r="J2865" t="s">
        <v>15</v>
      </c>
      <c r="K2865">
        <v>4847</v>
      </c>
      <c r="L2865" t="s">
        <v>25</v>
      </c>
    </row>
    <row r="2866" spans="1:12" x14ac:dyDescent="0.3">
      <c r="A2866">
        <v>2011</v>
      </c>
      <c r="B2866" t="s">
        <v>34</v>
      </c>
      <c r="C2866">
        <v>103</v>
      </c>
      <c r="D2866">
        <v>3512.4</v>
      </c>
      <c r="E2866">
        <v>37</v>
      </c>
      <c r="F2866" t="s">
        <v>59</v>
      </c>
      <c r="G2866" t="s">
        <v>14</v>
      </c>
      <c r="H2866">
        <v>404</v>
      </c>
      <c r="I2866">
        <v>57</v>
      </c>
      <c r="J2866" t="s">
        <v>15</v>
      </c>
      <c r="K2866">
        <v>51239</v>
      </c>
      <c r="L2866" t="s">
        <v>25</v>
      </c>
    </row>
    <row r="2867" spans="1:12" x14ac:dyDescent="0.3">
      <c r="A2867">
        <v>2012</v>
      </c>
      <c r="B2867" t="s">
        <v>34</v>
      </c>
      <c r="C2867">
        <v>8239</v>
      </c>
      <c r="D2867">
        <v>3512.4</v>
      </c>
      <c r="E2867">
        <v>37</v>
      </c>
      <c r="F2867" t="s">
        <v>59</v>
      </c>
      <c r="G2867" t="s">
        <v>14</v>
      </c>
      <c r="H2867">
        <v>24184</v>
      </c>
      <c r="I2867">
        <v>55</v>
      </c>
      <c r="J2867" t="s">
        <v>15</v>
      </c>
      <c r="K2867">
        <v>216396</v>
      </c>
      <c r="L2867" t="s">
        <v>25</v>
      </c>
    </row>
    <row r="2868" spans="1:12" x14ac:dyDescent="0.3">
      <c r="A2868">
        <v>2013</v>
      </c>
      <c r="B2868" t="s">
        <v>34</v>
      </c>
      <c r="C2868">
        <v>44563</v>
      </c>
      <c r="D2868">
        <v>3512.4</v>
      </c>
      <c r="E2868">
        <v>37</v>
      </c>
      <c r="F2868" t="s">
        <v>59</v>
      </c>
      <c r="G2868" t="s">
        <v>14</v>
      </c>
      <c r="H2868">
        <v>124387</v>
      </c>
      <c r="I2868">
        <v>56</v>
      </c>
      <c r="J2868" t="s">
        <v>15</v>
      </c>
      <c r="K2868">
        <v>2644</v>
      </c>
      <c r="L2868" t="s">
        <v>25</v>
      </c>
    </row>
    <row r="2869" spans="1:12" x14ac:dyDescent="0.3">
      <c r="A2869">
        <v>2014</v>
      </c>
      <c r="B2869" t="s">
        <v>34</v>
      </c>
      <c r="C2869">
        <v>96</v>
      </c>
      <c r="D2869">
        <v>3296</v>
      </c>
      <c r="E2869">
        <v>38</v>
      </c>
      <c r="F2869" t="s">
        <v>59</v>
      </c>
      <c r="G2869" t="s">
        <v>14</v>
      </c>
      <c r="H2869">
        <v>343</v>
      </c>
      <c r="I2869">
        <v>54</v>
      </c>
      <c r="J2869" t="s">
        <v>15</v>
      </c>
      <c r="K2869">
        <v>44235</v>
      </c>
      <c r="L2869" t="s">
        <v>25</v>
      </c>
    </row>
    <row r="2870" spans="1:12" x14ac:dyDescent="0.3">
      <c r="A2870">
        <v>2015</v>
      </c>
      <c r="B2870" t="s">
        <v>34</v>
      </c>
      <c r="C2870">
        <v>6949</v>
      </c>
      <c r="D2870">
        <v>3296</v>
      </c>
      <c r="E2870">
        <v>38</v>
      </c>
      <c r="F2870" t="s">
        <v>59</v>
      </c>
      <c r="G2870" t="s">
        <v>14</v>
      </c>
      <c r="H2870">
        <v>23099</v>
      </c>
      <c r="I2870">
        <v>58</v>
      </c>
      <c r="J2870" t="s">
        <v>15</v>
      </c>
      <c r="K2870">
        <v>203317</v>
      </c>
      <c r="L2870" t="s">
        <v>25</v>
      </c>
    </row>
    <row r="2871" spans="1:12" x14ac:dyDescent="0.3">
      <c r="A2871">
        <v>2016</v>
      </c>
      <c r="B2871" t="s">
        <v>34</v>
      </c>
      <c r="C2871">
        <v>44663</v>
      </c>
      <c r="D2871">
        <v>3296</v>
      </c>
      <c r="E2871">
        <v>38</v>
      </c>
      <c r="F2871" t="s">
        <v>59</v>
      </c>
      <c r="G2871" t="s">
        <v>14</v>
      </c>
      <c r="H2871">
        <v>117825.84</v>
      </c>
      <c r="I2871">
        <v>58</v>
      </c>
      <c r="J2871" t="s">
        <v>15</v>
      </c>
      <c r="K2871">
        <v>2134</v>
      </c>
      <c r="L2871" t="s">
        <v>25</v>
      </c>
    </row>
    <row r="2872" spans="1:12" x14ac:dyDescent="0.3">
      <c r="A2872">
        <v>2017</v>
      </c>
      <c r="B2872" t="s">
        <v>34</v>
      </c>
      <c r="C2872">
        <v>110</v>
      </c>
      <c r="D2872">
        <v>3550</v>
      </c>
      <c r="E2872">
        <v>39</v>
      </c>
      <c r="F2872" t="s">
        <v>59</v>
      </c>
      <c r="G2872" t="s">
        <v>14</v>
      </c>
      <c r="H2872">
        <v>336</v>
      </c>
      <c r="I2872">
        <v>59</v>
      </c>
      <c r="J2872" t="s">
        <v>15</v>
      </c>
      <c r="K2872">
        <v>45186</v>
      </c>
      <c r="L2872" t="s">
        <v>25</v>
      </c>
    </row>
    <row r="2873" spans="1:12" x14ac:dyDescent="0.3">
      <c r="A2873">
        <v>2018</v>
      </c>
      <c r="B2873" t="s">
        <v>34</v>
      </c>
      <c r="C2873">
        <v>6824</v>
      </c>
      <c r="D2873">
        <v>3550</v>
      </c>
      <c r="E2873">
        <v>39</v>
      </c>
      <c r="F2873" t="s">
        <v>59</v>
      </c>
      <c r="G2873" t="s">
        <v>14</v>
      </c>
      <c r="H2873">
        <v>22594</v>
      </c>
      <c r="I2873">
        <v>50</v>
      </c>
      <c r="J2873" t="s">
        <v>15</v>
      </c>
      <c r="K2873">
        <v>238542</v>
      </c>
      <c r="L2873" t="s">
        <v>25</v>
      </c>
    </row>
    <row r="2874" spans="1:12" x14ac:dyDescent="0.3">
      <c r="A2874">
        <v>2004</v>
      </c>
      <c r="B2874" t="s">
        <v>34</v>
      </c>
      <c r="C2874">
        <v>43013</v>
      </c>
      <c r="D2874">
        <v>3550</v>
      </c>
      <c r="E2874">
        <v>39</v>
      </c>
      <c r="F2874" t="s">
        <v>59</v>
      </c>
      <c r="G2874" t="s">
        <v>14</v>
      </c>
      <c r="H2874">
        <v>116481.07</v>
      </c>
      <c r="I2874">
        <v>54</v>
      </c>
      <c r="J2874" t="s">
        <v>15</v>
      </c>
      <c r="K2874">
        <v>1516</v>
      </c>
      <c r="L2874" t="s">
        <v>25</v>
      </c>
    </row>
    <row r="2875" spans="1:12" x14ac:dyDescent="0.3">
      <c r="A2875">
        <v>2005</v>
      </c>
      <c r="B2875" t="s">
        <v>34</v>
      </c>
      <c r="C2875">
        <v>95</v>
      </c>
      <c r="D2875">
        <v>3654</v>
      </c>
      <c r="E2875">
        <v>40</v>
      </c>
      <c r="F2875" t="s">
        <v>59</v>
      </c>
      <c r="G2875" t="s">
        <v>14</v>
      </c>
      <c r="H2875">
        <v>316</v>
      </c>
      <c r="I2875">
        <v>53</v>
      </c>
      <c r="J2875" t="s">
        <v>15</v>
      </c>
      <c r="K2875">
        <v>57259</v>
      </c>
      <c r="L2875" t="s">
        <v>25</v>
      </c>
    </row>
    <row r="2876" spans="1:12" x14ac:dyDescent="0.3">
      <c r="A2876">
        <v>2006</v>
      </c>
      <c r="B2876" t="s">
        <v>34</v>
      </c>
      <c r="C2876">
        <v>6441</v>
      </c>
      <c r="D2876">
        <v>3654</v>
      </c>
      <c r="E2876">
        <v>40</v>
      </c>
      <c r="F2876" t="s">
        <v>59</v>
      </c>
      <c r="G2876" t="s">
        <v>14</v>
      </c>
      <c r="H2876">
        <v>21400</v>
      </c>
      <c r="I2876">
        <v>52</v>
      </c>
      <c r="J2876" t="s">
        <v>15</v>
      </c>
      <c r="K2876">
        <v>234779</v>
      </c>
      <c r="L2876" t="s">
        <v>25</v>
      </c>
    </row>
    <row r="2877" spans="1:12" x14ac:dyDescent="0.3">
      <c r="A2877">
        <v>2007</v>
      </c>
      <c r="B2877" t="s">
        <v>34</v>
      </c>
      <c r="C2877">
        <v>4012</v>
      </c>
      <c r="D2877">
        <v>3654</v>
      </c>
      <c r="E2877">
        <v>40</v>
      </c>
      <c r="F2877" t="s">
        <v>59</v>
      </c>
      <c r="G2877" t="s">
        <v>14</v>
      </c>
      <c r="H2877">
        <v>122102</v>
      </c>
      <c r="I2877">
        <v>51</v>
      </c>
      <c r="J2877" t="s">
        <v>15</v>
      </c>
      <c r="K2877">
        <v>1493</v>
      </c>
      <c r="L2877" t="s">
        <v>25</v>
      </c>
    </row>
    <row r="2878" spans="1:12" x14ac:dyDescent="0.3">
      <c r="A2878">
        <v>2008</v>
      </c>
      <c r="B2878" t="s">
        <v>34</v>
      </c>
      <c r="C2878">
        <v>4877</v>
      </c>
      <c r="D2878">
        <v>233</v>
      </c>
      <c r="E2878">
        <v>41</v>
      </c>
      <c r="F2878" t="s">
        <v>59</v>
      </c>
      <c r="G2878" t="s">
        <v>14</v>
      </c>
      <c r="H2878">
        <v>382</v>
      </c>
      <c r="I2878">
        <v>57</v>
      </c>
      <c r="J2878" t="s">
        <v>15</v>
      </c>
      <c r="K2878">
        <v>64409</v>
      </c>
      <c r="L2878" t="s">
        <v>25</v>
      </c>
    </row>
    <row r="2879" spans="1:12" x14ac:dyDescent="0.3">
      <c r="A2879">
        <v>2009</v>
      </c>
      <c r="B2879" t="s">
        <v>34</v>
      </c>
      <c r="C2879">
        <v>4930</v>
      </c>
      <c r="D2879">
        <v>233</v>
      </c>
      <c r="E2879">
        <v>41</v>
      </c>
      <c r="F2879" t="s">
        <v>59</v>
      </c>
      <c r="G2879" t="s">
        <v>14</v>
      </c>
      <c r="H2879">
        <v>19578</v>
      </c>
      <c r="I2879">
        <v>57</v>
      </c>
      <c r="J2879" t="s">
        <v>15</v>
      </c>
      <c r="K2879">
        <v>249978</v>
      </c>
      <c r="L2879" t="s">
        <v>25</v>
      </c>
    </row>
    <row r="2880" spans="1:12" x14ac:dyDescent="0.3">
      <c r="A2880">
        <v>2010</v>
      </c>
      <c r="B2880" t="s">
        <v>34</v>
      </c>
      <c r="C2880">
        <v>4954</v>
      </c>
      <c r="D2880">
        <v>233</v>
      </c>
      <c r="E2880">
        <v>41</v>
      </c>
      <c r="F2880" t="s">
        <v>59</v>
      </c>
      <c r="G2880" t="s">
        <v>14</v>
      </c>
      <c r="H2880">
        <v>121037</v>
      </c>
      <c r="I2880">
        <v>60</v>
      </c>
      <c r="J2880" t="s">
        <v>15</v>
      </c>
      <c r="K2880">
        <v>637</v>
      </c>
      <c r="L2880" t="s">
        <v>25</v>
      </c>
    </row>
    <row r="2881" spans="1:12" x14ac:dyDescent="0.3">
      <c r="A2881">
        <v>2011</v>
      </c>
      <c r="B2881" t="s">
        <v>34</v>
      </c>
      <c r="C2881">
        <v>5019</v>
      </c>
      <c r="D2881">
        <v>234</v>
      </c>
      <c r="E2881">
        <v>42</v>
      </c>
      <c r="F2881" t="s">
        <v>59</v>
      </c>
      <c r="G2881" t="s">
        <v>14</v>
      </c>
      <c r="H2881">
        <v>231</v>
      </c>
      <c r="I2881">
        <v>57</v>
      </c>
      <c r="J2881" t="s">
        <v>15</v>
      </c>
      <c r="K2881">
        <v>43311</v>
      </c>
      <c r="L2881" t="s">
        <v>25</v>
      </c>
    </row>
    <row r="2882" spans="1:12" x14ac:dyDescent="0.3">
      <c r="A2882">
        <v>2012</v>
      </c>
      <c r="B2882" t="s">
        <v>34</v>
      </c>
      <c r="C2882">
        <v>5127</v>
      </c>
      <c r="D2882">
        <v>234</v>
      </c>
      <c r="E2882">
        <v>42</v>
      </c>
      <c r="F2882" t="s">
        <v>59</v>
      </c>
      <c r="G2882" t="s">
        <v>14</v>
      </c>
      <c r="H2882">
        <v>18951</v>
      </c>
      <c r="I2882">
        <v>57</v>
      </c>
      <c r="J2882" t="s">
        <v>15</v>
      </c>
      <c r="K2882">
        <v>24848</v>
      </c>
      <c r="L2882" t="s">
        <v>25</v>
      </c>
    </row>
    <row r="2883" spans="1:12" x14ac:dyDescent="0.3">
      <c r="A2883">
        <v>2013</v>
      </c>
      <c r="B2883" t="s">
        <v>34</v>
      </c>
      <c r="C2883">
        <v>5174</v>
      </c>
      <c r="D2883">
        <v>234</v>
      </c>
      <c r="E2883">
        <v>42</v>
      </c>
      <c r="F2883" t="s">
        <v>59</v>
      </c>
      <c r="G2883" t="s">
        <v>14</v>
      </c>
      <c r="H2883">
        <v>110579</v>
      </c>
      <c r="I2883">
        <v>54</v>
      </c>
      <c r="J2883" t="s">
        <v>15</v>
      </c>
      <c r="K2883">
        <v>761</v>
      </c>
      <c r="L2883" t="s">
        <v>25</v>
      </c>
    </row>
    <row r="2884" spans="1:12" x14ac:dyDescent="0.3">
      <c r="A2884">
        <v>2014</v>
      </c>
      <c r="B2884" t="s">
        <v>34</v>
      </c>
      <c r="C2884">
        <v>5294</v>
      </c>
      <c r="D2884">
        <v>3105</v>
      </c>
      <c r="E2884">
        <v>43</v>
      </c>
      <c r="F2884" t="s">
        <v>59</v>
      </c>
      <c r="G2884" t="s">
        <v>14</v>
      </c>
      <c r="H2884">
        <v>221</v>
      </c>
      <c r="I2884">
        <v>54.5</v>
      </c>
      <c r="J2884" t="s">
        <v>15</v>
      </c>
      <c r="K2884">
        <v>45608</v>
      </c>
      <c r="L2884" t="s">
        <v>25</v>
      </c>
    </row>
    <row r="2885" spans="1:12" x14ac:dyDescent="0.3">
      <c r="A2885">
        <v>2015</v>
      </c>
      <c r="B2885" t="s">
        <v>34</v>
      </c>
      <c r="C2885">
        <v>5474</v>
      </c>
      <c r="D2885">
        <v>3105</v>
      </c>
      <c r="E2885">
        <v>43</v>
      </c>
      <c r="F2885" t="s">
        <v>59</v>
      </c>
      <c r="G2885" t="s">
        <v>14</v>
      </c>
      <c r="H2885">
        <v>15362</v>
      </c>
      <c r="I2885">
        <v>56.6</v>
      </c>
      <c r="J2885" t="s">
        <v>15</v>
      </c>
      <c r="K2885">
        <v>234581</v>
      </c>
      <c r="L2885" t="s">
        <v>25</v>
      </c>
    </row>
    <row r="2886" spans="1:12" x14ac:dyDescent="0.3">
      <c r="A2886">
        <v>2016</v>
      </c>
      <c r="B2886" t="s">
        <v>34</v>
      </c>
      <c r="C2886">
        <v>5864</v>
      </c>
      <c r="D2886">
        <v>3105</v>
      </c>
      <c r="E2886">
        <v>27</v>
      </c>
      <c r="F2886" t="s">
        <v>59</v>
      </c>
      <c r="G2886" t="s">
        <v>14</v>
      </c>
      <c r="H2886">
        <v>120373</v>
      </c>
      <c r="I2886">
        <v>55.5</v>
      </c>
      <c r="J2886" t="s">
        <v>15</v>
      </c>
      <c r="K2886">
        <v>646</v>
      </c>
      <c r="L2886" t="s">
        <v>25</v>
      </c>
    </row>
    <row r="2887" spans="1:12" x14ac:dyDescent="0.3">
      <c r="A2887">
        <v>2017</v>
      </c>
      <c r="B2887" t="s">
        <v>34</v>
      </c>
      <c r="C2887">
        <v>7028</v>
      </c>
      <c r="D2887">
        <v>236</v>
      </c>
      <c r="E2887">
        <v>27</v>
      </c>
      <c r="F2887" t="s">
        <v>59</v>
      </c>
      <c r="G2887" t="s">
        <v>14</v>
      </c>
      <c r="H2887">
        <v>291</v>
      </c>
      <c r="I2887">
        <v>58.5</v>
      </c>
      <c r="J2887" t="s">
        <v>15</v>
      </c>
      <c r="K2887">
        <v>43562</v>
      </c>
      <c r="L2887" t="s">
        <v>25</v>
      </c>
    </row>
    <row r="2888" spans="1:12" x14ac:dyDescent="0.3">
      <c r="A2888">
        <v>2018</v>
      </c>
      <c r="B2888" t="s">
        <v>34</v>
      </c>
      <c r="C2888">
        <v>7403</v>
      </c>
      <c r="D2888">
        <v>236</v>
      </c>
      <c r="E2888">
        <v>27</v>
      </c>
      <c r="F2888" t="s">
        <v>59</v>
      </c>
      <c r="G2888" t="s">
        <v>14</v>
      </c>
      <c r="H2888">
        <v>17231</v>
      </c>
      <c r="I2888">
        <v>59.5</v>
      </c>
      <c r="J2888" t="s">
        <v>15</v>
      </c>
      <c r="K2888">
        <v>200000</v>
      </c>
      <c r="L2888" t="s">
        <v>25</v>
      </c>
    </row>
    <row r="2889" spans="1:12" x14ac:dyDescent="0.3">
      <c r="A2889">
        <v>2004</v>
      </c>
      <c r="B2889" t="s">
        <v>34</v>
      </c>
      <c r="C2889">
        <v>7501</v>
      </c>
      <c r="D2889">
        <v>321</v>
      </c>
      <c r="E2889">
        <v>27</v>
      </c>
      <c r="F2889" t="s">
        <v>59</v>
      </c>
      <c r="G2889" t="s">
        <v>14</v>
      </c>
      <c r="H2889">
        <v>119359</v>
      </c>
      <c r="I2889">
        <v>55</v>
      </c>
      <c r="J2889" t="s">
        <v>15</v>
      </c>
      <c r="K2889">
        <v>4847</v>
      </c>
      <c r="L2889" t="s">
        <v>25</v>
      </c>
    </row>
    <row r="2890" spans="1:12" x14ac:dyDescent="0.3">
      <c r="A2890">
        <v>2005</v>
      </c>
      <c r="B2890" t="s">
        <v>34</v>
      </c>
      <c r="C2890">
        <v>7714</v>
      </c>
      <c r="D2890">
        <v>3654</v>
      </c>
      <c r="E2890">
        <v>27</v>
      </c>
      <c r="F2890" t="s">
        <v>59</v>
      </c>
      <c r="G2890" t="s">
        <v>14</v>
      </c>
      <c r="H2890">
        <v>283</v>
      </c>
      <c r="I2890">
        <v>53</v>
      </c>
      <c r="J2890" t="s">
        <v>15</v>
      </c>
      <c r="K2890">
        <v>51239</v>
      </c>
      <c r="L2890" t="s">
        <v>25</v>
      </c>
    </row>
    <row r="2891" spans="1:12" x14ac:dyDescent="0.3">
      <c r="A2891">
        <v>2006</v>
      </c>
      <c r="B2891" t="s">
        <v>34</v>
      </c>
      <c r="C2891">
        <v>7856</v>
      </c>
      <c r="D2891">
        <v>323</v>
      </c>
      <c r="E2891">
        <v>27</v>
      </c>
      <c r="F2891" t="s">
        <v>59</v>
      </c>
      <c r="G2891" t="s">
        <v>14</v>
      </c>
      <c r="H2891">
        <v>17690</v>
      </c>
      <c r="I2891">
        <v>53.5</v>
      </c>
      <c r="J2891" t="s">
        <v>15</v>
      </c>
      <c r="K2891">
        <v>216396</v>
      </c>
      <c r="L2891" t="s">
        <v>25</v>
      </c>
    </row>
    <row r="2892" spans="1:12" x14ac:dyDescent="0.3">
      <c r="A2892">
        <v>2007</v>
      </c>
      <c r="B2892" t="s">
        <v>34</v>
      </c>
      <c r="C2892">
        <v>32</v>
      </c>
      <c r="D2892">
        <v>324</v>
      </c>
      <c r="E2892">
        <v>27.2</v>
      </c>
      <c r="F2892" t="s">
        <v>59</v>
      </c>
      <c r="G2892" t="s">
        <v>14</v>
      </c>
      <c r="H2892">
        <v>7157</v>
      </c>
      <c r="I2892">
        <v>52.5</v>
      </c>
      <c r="J2892" t="s">
        <v>15</v>
      </c>
      <c r="K2892">
        <v>2644</v>
      </c>
      <c r="L2892" t="s">
        <v>25</v>
      </c>
    </row>
    <row r="2893" spans="1:12" x14ac:dyDescent="0.3">
      <c r="A2893">
        <v>2008</v>
      </c>
      <c r="B2893" t="s">
        <v>34</v>
      </c>
      <c r="C2893">
        <v>1</v>
      </c>
      <c r="D2893">
        <v>3105</v>
      </c>
      <c r="E2893">
        <v>27.2</v>
      </c>
      <c r="F2893" t="s">
        <v>59</v>
      </c>
      <c r="G2893" t="s">
        <v>14</v>
      </c>
      <c r="H2893">
        <v>8700</v>
      </c>
      <c r="I2893">
        <v>56</v>
      </c>
      <c r="J2893" t="s">
        <v>15</v>
      </c>
      <c r="K2893">
        <v>44235</v>
      </c>
      <c r="L2893" t="s">
        <v>25</v>
      </c>
    </row>
    <row r="2894" spans="1:12" x14ac:dyDescent="0.3">
      <c r="A2894">
        <v>2009</v>
      </c>
      <c r="B2894" t="s">
        <v>34</v>
      </c>
      <c r="C2894">
        <v>30</v>
      </c>
      <c r="D2894">
        <v>326</v>
      </c>
      <c r="E2894">
        <v>27.2</v>
      </c>
      <c r="F2894" t="s">
        <v>59</v>
      </c>
      <c r="G2894" t="s">
        <v>14</v>
      </c>
      <c r="H2894">
        <v>41266</v>
      </c>
      <c r="I2894">
        <v>57</v>
      </c>
      <c r="J2894" t="s">
        <v>15</v>
      </c>
      <c r="K2894">
        <v>203317</v>
      </c>
      <c r="L2894" t="s">
        <v>25</v>
      </c>
    </row>
    <row r="2895" spans="1:12" x14ac:dyDescent="0.3">
      <c r="A2895">
        <v>2010</v>
      </c>
      <c r="B2895" t="s">
        <v>34</v>
      </c>
      <c r="C2895">
        <v>6</v>
      </c>
      <c r="D2895">
        <v>327</v>
      </c>
      <c r="E2895">
        <v>27</v>
      </c>
      <c r="F2895" t="s">
        <v>59</v>
      </c>
      <c r="G2895" t="s">
        <v>14</v>
      </c>
      <c r="H2895">
        <v>8838</v>
      </c>
      <c r="I2895">
        <v>57.5</v>
      </c>
      <c r="J2895" t="s">
        <v>15</v>
      </c>
      <c r="K2895">
        <v>2134</v>
      </c>
      <c r="L2895" t="s">
        <v>25</v>
      </c>
    </row>
    <row r="2896" spans="1:12" x14ac:dyDescent="0.3">
      <c r="A2896">
        <v>2011</v>
      </c>
      <c r="B2896" t="s">
        <v>34</v>
      </c>
      <c r="C2896">
        <v>15</v>
      </c>
      <c r="D2896">
        <v>328</v>
      </c>
      <c r="E2896">
        <v>27</v>
      </c>
      <c r="F2896" t="s">
        <v>59</v>
      </c>
      <c r="G2896" t="s">
        <v>14</v>
      </c>
      <c r="H2896">
        <v>8954</v>
      </c>
      <c r="I2896">
        <v>57</v>
      </c>
      <c r="J2896" t="s">
        <v>15</v>
      </c>
      <c r="K2896">
        <v>45186</v>
      </c>
      <c r="L2896" t="s">
        <v>25</v>
      </c>
    </row>
    <row r="2897" spans="1:12" x14ac:dyDescent="0.3">
      <c r="A2897">
        <v>2012</v>
      </c>
      <c r="B2897" t="s">
        <v>34</v>
      </c>
      <c r="C2897">
        <v>4</v>
      </c>
      <c r="D2897">
        <v>2903.1</v>
      </c>
      <c r="E2897">
        <v>27</v>
      </c>
      <c r="F2897" t="s">
        <v>59</v>
      </c>
      <c r="G2897" t="s">
        <v>14</v>
      </c>
      <c r="H2897">
        <v>42915</v>
      </c>
      <c r="I2897">
        <v>55</v>
      </c>
      <c r="J2897" t="s">
        <v>15</v>
      </c>
      <c r="K2897">
        <v>238542</v>
      </c>
      <c r="L2897" t="s">
        <v>25</v>
      </c>
    </row>
    <row r="2898" spans="1:12" x14ac:dyDescent="0.3">
      <c r="A2898">
        <v>2013</v>
      </c>
      <c r="B2898" t="s">
        <v>34</v>
      </c>
      <c r="C2898">
        <v>39</v>
      </c>
      <c r="D2898">
        <v>2903.1</v>
      </c>
      <c r="E2898">
        <v>27</v>
      </c>
      <c r="F2898" t="s">
        <v>59</v>
      </c>
      <c r="G2898" t="s">
        <v>14</v>
      </c>
      <c r="H2898">
        <v>9230</v>
      </c>
      <c r="I2898">
        <v>56</v>
      </c>
      <c r="J2898" t="s">
        <v>15</v>
      </c>
      <c r="K2898">
        <v>1516</v>
      </c>
      <c r="L2898" t="s">
        <v>25</v>
      </c>
    </row>
    <row r="2899" spans="1:12" x14ac:dyDescent="0.3">
      <c r="A2899">
        <v>2014</v>
      </c>
      <c r="B2899" t="s">
        <v>34</v>
      </c>
      <c r="C2899">
        <v>6</v>
      </c>
      <c r="D2899">
        <v>2903.1</v>
      </c>
      <c r="E2899">
        <v>27</v>
      </c>
      <c r="F2899" t="s">
        <v>59</v>
      </c>
      <c r="G2899" t="s">
        <v>14</v>
      </c>
      <c r="H2899">
        <v>44313</v>
      </c>
      <c r="I2899">
        <v>54</v>
      </c>
      <c r="J2899" t="s">
        <v>15</v>
      </c>
      <c r="K2899">
        <v>57259</v>
      </c>
      <c r="L2899" t="s">
        <v>25</v>
      </c>
    </row>
    <row r="2900" spans="1:12" x14ac:dyDescent="0.3">
      <c r="A2900">
        <v>2015</v>
      </c>
      <c r="B2900" t="s">
        <v>34</v>
      </c>
      <c r="C2900">
        <v>12</v>
      </c>
      <c r="D2900">
        <v>2996.6</v>
      </c>
      <c r="E2900">
        <v>27</v>
      </c>
      <c r="F2900" t="s">
        <v>59</v>
      </c>
      <c r="G2900" t="s">
        <v>14</v>
      </c>
      <c r="H2900">
        <v>45820</v>
      </c>
      <c r="I2900">
        <v>58</v>
      </c>
      <c r="J2900" t="s">
        <v>15</v>
      </c>
      <c r="K2900">
        <v>234779</v>
      </c>
      <c r="L2900" t="s">
        <v>25</v>
      </c>
    </row>
    <row r="2901" spans="1:12" x14ac:dyDescent="0.3">
      <c r="A2901">
        <v>2016</v>
      </c>
      <c r="B2901" t="s">
        <v>34</v>
      </c>
      <c r="C2901">
        <v>3</v>
      </c>
      <c r="D2901">
        <v>2996.6</v>
      </c>
      <c r="E2901">
        <v>27.2</v>
      </c>
      <c r="F2901" t="s">
        <v>59</v>
      </c>
      <c r="G2901" t="s">
        <v>14</v>
      </c>
      <c r="H2901">
        <v>49084</v>
      </c>
      <c r="I2901">
        <v>58</v>
      </c>
      <c r="J2901" t="s">
        <v>15</v>
      </c>
      <c r="K2901">
        <v>1493</v>
      </c>
      <c r="L2901" t="s">
        <v>25</v>
      </c>
    </row>
    <row r="2902" spans="1:12" x14ac:dyDescent="0.3">
      <c r="A2902">
        <v>2017</v>
      </c>
      <c r="B2902" t="s">
        <v>34</v>
      </c>
      <c r="C2902">
        <v>17</v>
      </c>
      <c r="D2902">
        <v>2996.6</v>
      </c>
      <c r="E2902">
        <v>27.2</v>
      </c>
      <c r="F2902" t="s">
        <v>44</v>
      </c>
      <c r="G2902" t="s">
        <v>14</v>
      </c>
      <c r="H2902">
        <v>86311</v>
      </c>
      <c r="I2902">
        <v>59</v>
      </c>
      <c r="J2902" t="s">
        <v>15</v>
      </c>
      <c r="K2902">
        <v>64409</v>
      </c>
      <c r="L2902" t="s">
        <v>25</v>
      </c>
    </row>
    <row r="2903" spans="1:12" x14ac:dyDescent="0.3">
      <c r="A2903">
        <v>2018</v>
      </c>
      <c r="B2903" t="s">
        <v>34</v>
      </c>
      <c r="C2903">
        <v>3</v>
      </c>
      <c r="D2903">
        <v>3522.8</v>
      </c>
      <c r="E2903">
        <v>27.2</v>
      </c>
      <c r="F2903" t="s">
        <v>44</v>
      </c>
      <c r="G2903" t="s">
        <v>14</v>
      </c>
      <c r="H2903">
        <v>57642</v>
      </c>
      <c r="I2903">
        <v>50</v>
      </c>
      <c r="J2903" t="s">
        <v>15</v>
      </c>
      <c r="K2903">
        <v>249978</v>
      </c>
      <c r="L2903" t="s">
        <v>25</v>
      </c>
    </row>
    <row r="2904" spans="1:12" x14ac:dyDescent="0.3">
      <c r="A2904">
        <v>2004</v>
      </c>
      <c r="B2904" t="s">
        <v>34</v>
      </c>
      <c r="C2904">
        <v>9</v>
      </c>
      <c r="D2904">
        <v>3522.8</v>
      </c>
      <c r="E2904">
        <v>27.1</v>
      </c>
      <c r="F2904" t="s">
        <v>44</v>
      </c>
      <c r="G2904" t="s">
        <v>14</v>
      </c>
      <c r="H2904">
        <v>58405</v>
      </c>
      <c r="I2904">
        <v>54</v>
      </c>
      <c r="J2904" t="s">
        <v>15</v>
      </c>
      <c r="K2904">
        <v>637</v>
      </c>
      <c r="L2904" t="s">
        <v>25</v>
      </c>
    </row>
    <row r="2905" spans="1:12" x14ac:dyDescent="0.3">
      <c r="A2905">
        <v>2005</v>
      </c>
      <c r="B2905" t="s">
        <v>34</v>
      </c>
      <c r="C2905">
        <v>21</v>
      </c>
      <c r="D2905">
        <v>3522.8</v>
      </c>
      <c r="E2905">
        <v>27.1</v>
      </c>
      <c r="F2905" t="s">
        <v>44</v>
      </c>
      <c r="G2905" t="s">
        <v>14</v>
      </c>
      <c r="H2905">
        <v>60751</v>
      </c>
      <c r="I2905">
        <v>53</v>
      </c>
      <c r="J2905" t="s">
        <v>15</v>
      </c>
      <c r="K2905">
        <v>43311</v>
      </c>
      <c r="L2905" t="s">
        <v>25</v>
      </c>
    </row>
    <row r="2906" spans="1:12" x14ac:dyDescent="0.3">
      <c r="A2906">
        <v>2006</v>
      </c>
      <c r="B2906" t="s">
        <v>34</v>
      </c>
      <c r="C2906">
        <v>11</v>
      </c>
      <c r="D2906">
        <v>3729.8</v>
      </c>
      <c r="E2906">
        <v>27.1</v>
      </c>
      <c r="F2906" t="s">
        <v>44</v>
      </c>
      <c r="G2906" t="s">
        <v>14</v>
      </c>
      <c r="H2906">
        <v>109506</v>
      </c>
      <c r="I2906">
        <v>52</v>
      </c>
      <c r="J2906" t="s">
        <v>15</v>
      </c>
      <c r="K2906">
        <v>24848</v>
      </c>
      <c r="L2906" t="s">
        <v>25</v>
      </c>
    </row>
    <row r="2907" spans="1:12" x14ac:dyDescent="0.3">
      <c r="A2907">
        <v>2007</v>
      </c>
      <c r="B2907" t="s">
        <v>34</v>
      </c>
      <c r="C2907">
        <v>4</v>
      </c>
      <c r="D2907">
        <v>3729.8</v>
      </c>
      <c r="E2907">
        <v>26.8</v>
      </c>
      <c r="F2907" t="s">
        <v>44</v>
      </c>
      <c r="G2907" t="s">
        <v>14</v>
      </c>
      <c r="H2907">
        <v>114</v>
      </c>
      <c r="I2907">
        <v>51</v>
      </c>
      <c r="J2907" t="s">
        <v>15</v>
      </c>
      <c r="K2907">
        <v>761</v>
      </c>
      <c r="L2907" t="s">
        <v>25</v>
      </c>
    </row>
    <row r="2908" spans="1:12" x14ac:dyDescent="0.3">
      <c r="A2908">
        <v>2008</v>
      </c>
      <c r="B2908" t="s">
        <v>34</v>
      </c>
      <c r="C2908">
        <v>15</v>
      </c>
      <c r="D2908">
        <v>3729.8</v>
      </c>
      <c r="E2908">
        <v>26.8</v>
      </c>
      <c r="F2908" t="s">
        <v>44</v>
      </c>
      <c r="G2908" t="s">
        <v>21</v>
      </c>
      <c r="H2908">
        <v>3</v>
      </c>
      <c r="I2908">
        <v>57</v>
      </c>
      <c r="J2908" t="s">
        <v>15</v>
      </c>
      <c r="K2908">
        <v>45608</v>
      </c>
      <c r="L2908" t="s">
        <v>25</v>
      </c>
    </row>
    <row r="2909" spans="1:12" x14ac:dyDescent="0.3">
      <c r="A2909">
        <v>2009</v>
      </c>
      <c r="B2909" t="s">
        <v>34</v>
      </c>
      <c r="C2909">
        <v>8</v>
      </c>
      <c r="D2909">
        <v>2746.2</v>
      </c>
      <c r="E2909">
        <v>26.8</v>
      </c>
      <c r="F2909" t="s">
        <v>44</v>
      </c>
      <c r="G2909" t="s">
        <v>21</v>
      </c>
      <c r="H2909">
        <v>95</v>
      </c>
      <c r="I2909">
        <v>57</v>
      </c>
      <c r="J2909" t="s">
        <v>15</v>
      </c>
      <c r="K2909">
        <v>234581</v>
      </c>
      <c r="L2909" t="s">
        <v>25</v>
      </c>
    </row>
    <row r="2910" spans="1:12" x14ac:dyDescent="0.3">
      <c r="A2910">
        <v>2010</v>
      </c>
      <c r="B2910" t="s">
        <v>34</v>
      </c>
      <c r="C2910">
        <v>29</v>
      </c>
      <c r="D2910">
        <v>2746.2</v>
      </c>
      <c r="E2910">
        <v>37</v>
      </c>
      <c r="F2910" t="s">
        <v>44</v>
      </c>
      <c r="G2910" t="s">
        <v>21</v>
      </c>
      <c r="H2910">
        <v>19</v>
      </c>
      <c r="I2910">
        <v>60</v>
      </c>
      <c r="J2910" t="s">
        <v>15</v>
      </c>
      <c r="K2910">
        <v>646</v>
      </c>
      <c r="L2910" t="s">
        <v>25</v>
      </c>
    </row>
    <row r="2911" spans="1:12" x14ac:dyDescent="0.3">
      <c r="A2911">
        <v>2011</v>
      </c>
      <c r="B2911" t="s">
        <v>34</v>
      </c>
      <c r="C2911">
        <v>1</v>
      </c>
      <c r="D2911">
        <v>2746.2</v>
      </c>
      <c r="E2911">
        <v>37</v>
      </c>
      <c r="F2911" t="s">
        <v>44</v>
      </c>
      <c r="G2911" t="s">
        <v>21</v>
      </c>
      <c r="H2911">
        <v>54</v>
      </c>
      <c r="I2911">
        <v>57</v>
      </c>
      <c r="J2911" t="s">
        <v>15</v>
      </c>
      <c r="K2911">
        <v>43562</v>
      </c>
      <c r="L2911" t="s">
        <v>25</v>
      </c>
    </row>
    <row r="2912" spans="1:12" x14ac:dyDescent="0.3">
      <c r="A2912">
        <v>2012</v>
      </c>
      <c r="B2912" t="s">
        <v>34</v>
      </c>
      <c r="C2912">
        <v>13736</v>
      </c>
      <c r="D2912">
        <v>3360</v>
      </c>
      <c r="E2912">
        <v>37</v>
      </c>
      <c r="F2912" t="s">
        <v>44</v>
      </c>
      <c r="G2912" t="s">
        <v>21</v>
      </c>
      <c r="H2912">
        <v>13</v>
      </c>
      <c r="I2912">
        <v>57</v>
      </c>
      <c r="J2912" t="s">
        <v>15</v>
      </c>
      <c r="K2912">
        <v>200000</v>
      </c>
      <c r="L2912" t="s">
        <v>25</v>
      </c>
    </row>
    <row r="2913" spans="1:12" x14ac:dyDescent="0.3">
      <c r="A2913">
        <v>2013</v>
      </c>
      <c r="B2913" t="s">
        <v>34</v>
      </c>
      <c r="C2913">
        <v>14003</v>
      </c>
      <c r="D2913">
        <v>3360</v>
      </c>
      <c r="E2913">
        <v>38</v>
      </c>
      <c r="F2913" t="s">
        <v>44</v>
      </c>
      <c r="G2913" t="s">
        <v>21</v>
      </c>
      <c r="H2913">
        <v>123</v>
      </c>
      <c r="I2913">
        <v>54</v>
      </c>
      <c r="J2913" t="s">
        <v>15</v>
      </c>
      <c r="K2913">
        <v>4847</v>
      </c>
      <c r="L2913" t="s">
        <v>25</v>
      </c>
    </row>
    <row r="2914" spans="1:12" x14ac:dyDescent="0.3">
      <c r="A2914">
        <v>2014</v>
      </c>
      <c r="B2914" t="s">
        <v>34</v>
      </c>
      <c r="C2914">
        <v>14179</v>
      </c>
      <c r="D2914">
        <v>3360</v>
      </c>
      <c r="E2914">
        <v>38</v>
      </c>
      <c r="F2914" t="s">
        <v>44</v>
      </c>
      <c r="G2914" t="s">
        <v>21</v>
      </c>
      <c r="H2914">
        <v>19</v>
      </c>
      <c r="I2914">
        <v>54.5</v>
      </c>
      <c r="J2914" t="s">
        <v>15</v>
      </c>
      <c r="K2914">
        <v>51239</v>
      </c>
      <c r="L2914" t="s">
        <v>25</v>
      </c>
    </row>
    <row r="2915" spans="1:12" x14ac:dyDescent="0.3">
      <c r="A2915">
        <v>2015</v>
      </c>
      <c r="B2915" t="s">
        <v>34</v>
      </c>
      <c r="C2915">
        <v>14319</v>
      </c>
      <c r="D2915">
        <v>3605.4</v>
      </c>
      <c r="E2915">
        <v>38</v>
      </c>
      <c r="F2915" t="s">
        <v>44</v>
      </c>
      <c r="G2915" t="s">
        <v>21</v>
      </c>
      <c r="H2915">
        <v>32</v>
      </c>
      <c r="I2915">
        <v>56.6</v>
      </c>
      <c r="J2915" t="s">
        <v>15</v>
      </c>
      <c r="K2915">
        <v>216396</v>
      </c>
      <c r="L2915" t="s">
        <v>25</v>
      </c>
    </row>
    <row r="2916" spans="1:12" x14ac:dyDescent="0.3">
      <c r="A2916">
        <v>2016</v>
      </c>
      <c r="B2916" t="s">
        <v>34</v>
      </c>
      <c r="C2916">
        <v>14464</v>
      </c>
      <c r="D2916">
        <v>3605.4</v>
      </c>
      <c r="E2916">
        <v>39</v>
      </c>
      <c r="F2916" t="s">
        <v>44</v>
      </c>
      <c r="G2916" t="s">
        <v>21</v>
      </c>
      <c r="H2916">
        <v>8</v>
      </c>
      <c r="I2916">
        <v>55.5</v>
      </c>
      <c r="J2916" t="s">
        <v>15</v>
      </c>
      <c r="K2916">
        <v>2644</v>
      </c>
      <c r="L2916" t="s">
        <v>25</v>
      </c>
    </row>
    <row r="2917" spans="1:12" x14ac:dyDescent="0.3">
      <c r="A2917">
        <v>2017</v>
      </c>
      <c r="B2917" t="s">
        <v>34</v>
      </c>
      <c r="C2917">
        <v>14876</v>
      </c>
      <c r="D2917">
        <v>3605.4</v>
      </c>
      <c r="E2917">
        <v>39</v>
      </c>
      <c r="F2917" t="s">
        <v>44</v>
      </c>
      <c r="G2917" t="s">
        <v>21</v>
      </c>
      <c r="H2917">
        <v>50</v>
      </c>
      <c r="I2917">
        <v>58.5</v>
      </c>
      <c r="J2917" t="s">
        <v>15</v>
      </c>
      <c r="K2917">
        <v>44235</v>
      </c>
      <c r="L2917" t="s">
        <v>25</v>
      </c>
    </row>
    <row r="2918" spans="1:12" x14ac:dyDescent="0.3">
      <c r="A2918">
        <v>2018</v>
      </c>
      <c r="B2918" t="s">
        <v>34</v>
      </c>
      <c r="C2918">
        <v>14976</v>
      </c>
      <c r="D2918">
        <v>3512.4</v>
      </c>
      <c r="E2918">
        <v>39</v>
      </c>
      <c r="F2918" t="s">
        <v>44</v>
      </c>
      <c r="G2918" t="s">
        <v>21</v>
      </c>
      <c r="H2918">
        <v>10</v>
      </c>
      <c r="I2918">
        <v>59.5</v>
      </c>
      <c r="J2918" t="s">
        <v>15</v>
      </c>
      <c r="K2918">
        <v>203317</v>
      </c>
      <c r="L2918" t="s">
        <v>25</v>
      </c>
    </row>
    <row r="2919" spans="1:12" x14ac:dyDescent="0.3">
      <c r="A2919">
        <v>2004</v>
      </c>
      <c r="B2919" t="s">
        <v>34</v>
      </c>
      <c r="C2919">
        <v>15009</v>
      </c>
      <c r="D2919">
        <v>3512.4</v>
      </c>
      <c r="E2919">
        <v>40</v>
      </c>
      <c r="F2919" t="s">
        <v>44</v>
      </c>
      <c r="G2919" t="s">
        <v>21</v>
      </c>
      <c r="H2919">
        <v>29</v>
      </c>
      <c r="I2919">
        <v>55</v>
      </c>
      <c r="J2919" t="s">
        <v>15</v>
      </c>
      <c r="K2919">
        <v>2134</v>
      </c>
      <c r="L2919" t="s">
        <v>25</v>
      </c>
    </row>
    <row r="2920" spans="1:12" x14ac:dyDescent="0.3">
      <c r="A2920">
        <v>2005</v>
      </c>
      <c r="B2920" t="s">
        <v>34</v>
      </c>
      <c r="C2920">
        <v>15114</v>
      </c>
      <c r="D2920">
        <v>3512.4</v>
      </c>
      <c r="E2920">
        <v>40</v>
      </c>
      <c r="F2920" t="s">
        <v>44</v>
      </c>
      <c r="G2920" t="s">
        <v>21</v>
      </c>
      <c r="H2920">
        <v>44</v>
      </c>
      <c r="I2920">
        <v>53</v>
      </c>
      <c r="J2920" t="s">
        <v>15</v>
      </c>
      <c r="K2920">
        <v>45186</v>
      </c>
      <c r="L2920" t="s">
        <v>25</v>
      </c>
    </row>
    <row r="2921" spans="1:12" x14ac:dyDescent="0.3">
      <c r="A2921">
        <v>2006</v>
      </c>
      <c r="B2921" t="s">
        <v>12</v>
      </c>
      <c r="C2921">
        <v>16224</v>
      </c>
      <c r="D2921">
        <v>3296</v>
      </c>
      <c r="E2921">
        <v>27</v>
      </c>
      <c r="F2921" t="s">
        <v>44</v>
      </c>
      <c r="G2921" t="s">
        <v>21</v>
      </c>
      <c r="H2921">
        <v>33</v>
      </c>
      <c r="I2921">
        <v>53.5</v>
      </c>
      <c r="J2921" t="s">
        <v>15</v>
      </c>
      <c r="K2921">
        <v>238542</v>
      </c>
      <c r="L2921" t="s">
        <v>25</v>
      </c>
    </row>
    <row r="2922" spans="1:12" x14ac:dyDescent="0.3">
      <c r="A2922">
        <v>2007</v>
      </c>
      <c r="B2922" t="s">
        <v>12</v>
      </c>
      <c r="C2922">
        <v>17095</v>
      </c>
      <c r="D2922">
        <v>3296</v>
      </c>
      <c r="E2922">
        <v>27</v>
      </c>
      <c r="F2922" t="s">
        <v>44</v>
      </c>
      <c r="G2922" t="s">
        <v>21</v>
      </c>
      <c r="H2922">
        <v>14</v>
      </c>
      <c r="I2922">
        <v>52.5</v>
      </c>
      <c r="J2922" t="s">
        <v>15</v>
      </c>
      <c r="K2922">
        <v>1516</v>
      </c>
      <c r="L2922" t="s">
        <v>25</v>
      </c>
    </row>
    <row r="2923" spans="1:12" x14ac:dyDescent="0.3">
      <c r="A2923">
        <v>2008</v>
      </c>
      <c r="B2923" t="s">
        <v>12</v>
      </c>
      <c r="C2923">
        <v>17512</v>
      </c>
      <c r="D2923">
        <v>3296</v>
      </c>
      <c r="E2923">
        <v>27</v>
      </c>
      <c r="F2923" t="s">
        <v>44</v>
      </c>
      <c r="G2923" t="s">
        <v>21</v>
      </c>
      <c r="H2923">
        <v>56</v>
      </c>
      <c r="I2923">
        <v>56</v>
      </c>
      <c r="J2923" t="s">
        <v>15</v>
      </c>
      <c r="K2923">
        <v>57259</v>
      </c>
      <c r="L2923" t="s">
        <v>25</v>
      </c>
    </row>
    <row r="2924" spans="1:12" x14ac:dyDescent="0.3">
      <c r="A2924">
        <v>2009</v>
      </c>
      <c r="B2924" t="s">
        <v>12</v>
      </c>
      <c r="C2924">
        <v>17587</v>
      </c>
      <c r="D2924">
        <v>3550</v>
      </c>
      <c r="E2924">
        <v>27</v>
      </c>
      <c r="F2924" t="s">
        <v>44</v>
      </c>
      <c r="G2924" t="s">
        <v>21</v>
      </c>
      <c r="H2924">
        <v>26</v>
      </c>
      <c r="I2924">
        <v>57</v>
      </c>
      <c r="J2924" t="s">
        <v>15</v>
      </c>
      <c r="K2924">
        <v>234779</v>
      </c>
      <c r="L2924" t="s">
        <v>25</v>
      </c>
    </row>
    <row r="2925" spans="1:12" x14ac:dyDescent="0.3">
      <c r="A2925">
        <v>2010</v>
      </c>
      <c r="B2925" t="s">
        <v>12</v>
      </c>
      <c r="C2925">
        <v>17771</v>
      </c>
      <c r="D2925">
        <v>3550</v>
      </c>
      <c r="E2925">
        <v>27</v>
      </c>
      <c r="F2925" t="s">
        <v>44</v>
      </c>
      <c r="G2925" t="s">
        <v>21</v>
      </c>
      <c r="H2925">
        <v>98</v>
      </c>
      <c r="I2925">
        <v>57.5</v>
      </c>
      <c r="J2925" t="s">
        <v>15</v>
      </c>
      <c r="K2925">
        <v>1493</v>
      </c>
      <c r="L2925" t="s">
        <v>25</v>
      </c>
    </row>
    <row r="2926" spans="1:12" x14ac:dyDescent="0.3">
      <c r="A2926">
        <v>2011</v>
      </c>
      <c r="B2926" t="s">
        <v>12</v>
      </c>
      <c r="C2926">
        <v>17825</v>
      </c>
      <c r="D2926">
        <v>3550</v>
      </c>
      <c r="E2926">
        <v>27</v>
      </c>
      <c r="F2926" t="s">
        <v>44</v>
      </c>
      <c r="G2926" t="s">
        <v>21</v>
      </c>
      <c r="H2926">
        <v>3</v>
      </c>
      <c r="I2926">
        <v>57</v>
      </c>
      <c r="J2926" t="s">
        <v>15</v>
      </c>
      <c r="K2926">
        <v>64409</v>
      </c>
      <c r="L2926" t="s">
        <v>25</v>
      </c>
    </row>
    <row r="2927" spans="1:12" x14ac:dyDescent="0.3">
      <c r="A2927">
        <v>2012</v>
      </c>
      <c r="B2927" t="s">
        <v>12</v>
      </c>
      <c r="C2927">
        <v>3147</v>
      </c>
      <c r="D2927">
        <v>3654</v>
      </c>
      <c r="E2927">
        <v>27.2</v>
      </c>
      <c r="F2927" t="s">
        <v>44</v>
      </c>
      <c r="G2927" t="s">
        <v>21</v>
      </c>
      <c r="H2927">
        <v>58637</v>
      </c>
      <c r="I2927">
        <v>55</v>
      </c>
      <c r="J2927" t="s">
        <v>15</v>
      </c>
      <c r="K2927">
        <v>249978</v>
      </c>
      <c r="L2927" t="s">
        <v>25</v>
      </c>
    </row>
    <row r="2928" spans="1:12" x14ac:dyDescent="0.3">
      <c r="A2928">
        <v>2013</v>
      </c>
      <c r="B2928" t="s">
        <v>12</v>
      </c>
      <c r="C2928">
        <v>2578</v>
      </c>
      <c r="D2928">
        <v>3654</v>
      </c>
      <c r="E2928">
        <v>27.2</v>
      </c>
      <c r="F2928" t="s">
        <v>44</v>
      </c>
      <c r="G2928" t="s">
        <v>21</v>
      </c>
      <c r="H2928">
        <v>59777</v>
      </c>
      <c r="I2928">
        <v>56</v>
      </c>
      <c r="J2928" t="s">
        <v>15</v>
      </c>
      <c r="K2928">
        <v>200000</v>
      </c>
      <c r="L2928" t="s">
        <v>25</v>
      </c>
    </row>
    <row r="2929" spans="1:12" x14ac:dyDescent="0.3">
      <c r="A2929">
        <v>2014</v>
      </c>
      <c r="B2929" t="s">
        <v>12</v>
      </c>
      <c r="C2929">
        <v>1591</v>
      </c>
      <c r="D2929">
        <v>3654</v>
      </c>
      <c r="E2929">
        <v>27.2</v>
      </c>
      <c r="F2929" t="s">
        <v>44</v>
      </c>
      <c r="G2929" t="s">
        <v>21</v>
      </c>
      <c r="H2929">
        <v>60528</v>
      </c>
      <c r="I2929">
        <v>54</v>
      </c>
      <c r="J2929" t="s">
        <v>15</v>
      </c>
      <c r="K2929">
        <v>4847</v>
      </c>
      <c r="L2929" t="s">
        <v>25</v>
      </c>
    </row>
    <row r="2930" spans="1:12" x14ac:dyDescent="0.3">
      <c r="A2930">
        <v>2015</v>
      </c>
      <c r="B2930" t="s">
        <v>12</v>
      </c>
      <c r="C2930">
        <v>1298</v>
      </c>
      <c r="D2930">
        <v>233</v>
      </c>
      <c r="E2930">
        <v>27</v>
      </c>
      <c r="F2930" t="s">
        <v>44</v>
      </c>
      <c r="G2930" t="s">
        <v>21</v>
      </c>
      <c r="H2930">
        <v>61126</v>
      </c>
      <c r="I2930">
        <v>58</v>
      </c>
      <c r="J2930" t="s">
        <v>15</v>
      </c>
      <c r="K2930">
        <v>51239</v>
      </c>
      <c r="L2930" t="s">
        <v>25</v>
      </c>
    </row>
    <row r="2931" spans="1:12" x14ac:dyDescent="0.3">
      <c r="A2931">
        <v>2016</v>
      </c>
      <c r="B2931" t="s">
        <v>12</v>
      </c>
      <c r="C2931">
        <v>4</v>
      </c>
      <c r="D2931">
        <v>233</v>
      </c>
      <c r="E2931">
        <v>27</v>
      </c>
      <c r="F2931" t="s">
        <v>44</v>
      </c>
      <c r="G2931" t="s">
        <v>21</v>
      </c>
      <c r="H2931">
        <v>623687</v>
      </c>
      <c r="I2931">
        <v>58</v>
      </c>
      <c r="J2931" t="s">
        <v>15</v>
      </c>
      <c r="K2931">
        <v>216396</v>
      </c>
      <c r="L2931" t="s">
        <v>25</v>
      </c>
    </row>
    <row r="2932" spans="1:12" x14ac:dyDescent="0.3">
      <c r="A2932">
        <v>2017</v>
      </c>
      <c r="B2932" t="s">
        <v>12</v>
      </c>
      <c r="C2932">
        <v>1122</v>
      </c>
      <c r="D2932">
        <v>233</v>
      </c>
      <c r="E2932">
        <v>27</v>
      </c>
      <c r="F2932" t="s">
        <v>44</v>
      </c>
      <c r="G2932" t="s">
        <v>21</v>
      </c>
      <c r="H2932">
        <v>63504</v>
      </c>
      <c r="I2932">
        <v>59</v>
      </c>
      <c r="J2932" t="s">
        <v>15</v>
      </c>
      <c r="K2932">
        <v>2644</v>
      </c>
      <c r="L2932" t="s">
        <v>25</v>
      </c>
    </row>
    <row r="2933" spans="1:12" x14ac:dyDescent="0.3">
      <c r="A2933">
        <v>2018</v>
      </c>
      <c r="B2933" t="s">
        <v>12</v>
      </c>
      <c r="C2933">
        <v>917</v>
      </c>
      <c r="D2933">
        <v>234</v>
      </c>
      <c r="E2933">
        <v>27</v>
      </c>
      <c r="F2933" t="s">
        <v>44</v>
      </c>
      <c r="G2933" t="s">
        <v>21</v>
      </c>
      <c r="H2933">
        <v>63931</v>
      </c>
      <c r="I2933">
        <v>50</v>
      </c>
      <c r="J2933" t="s">
        <v>15</v>
      </c>
      <c r="K2933">
        <v>44235</v>
      </c>
      <c r="L2933" t="s">
        <v>25</v>
      </c>
    </row>
    <row r="2934" spans="1:12" x14ac:dyDescent="0.3">
      <c r="A2934">
        <v>2019</v>
      </c>
      <c r="B2934" t="s">
        <v>12</v>
      </c>
      <c r="C2934">
        <v>819</v>
      </c>
      <c r="D2934">
        <v>234</v>
      </c>
      <c r="E2934">
        <v>27</v>
      </c>
      <c r="F2934" t="s">
        <v>48</v>
      </c>
      <c r="G2934" t="s">
        <v>21</v>
      </c>
      <c r="H2934">
        <v>73730</v>
      </c>
      <c r="I2934">
        <v>54</v>
      </c>
      <c r="J2934" t="s">
        <v>15</v>
      </c>
      <c r="K2934">
        <v>203317</v>
      </c>
      <c r="L2934" t="s">
        <v>25</v>
      </c>
    </row>
    <row r="2935" spans="1:12" x14ac:dyDescent="0.3">
      <c r="A2935">
        <v>2004</v>
      </c>
      <c r="B2935" t="s">
        <v>12</v>
      </c>
      <c r="C2935">
        <v>619</v>
      </c>
      <c r="D2935">
        <v>234</v>
      </c>
      <c r="E2935">
        <v>27</v>
      </c>
      <c r="F2935" t="s">
        <v>48</v>
      </c>
      <c r="G2935" t="s">
        <v>21</v>
      </c>
      <c r="H2935">
        <v>118416</v>
      </c>
      <c r="I2935">
        <v>53</v>
      </c>
      <c r="J2935" t="s">
        <v>15</v>
      </c>
      <c r="K2935">
        <v>2134</v>
      </c>
      <c r="L2935" t="s">
        <v>25</v>
      </c>
    </row>
    <row r="2936" spans="1:12" x14ac:dyDescent="0.3">
      <c r="A2936">
        <v>2005</v>
      </c>
      <c r="B2936" t="s">
        <v>12</v>
      </c>
      <c r="C2936">
        <v>391</v>
      </c>
      <c r="D2936">
        <v>3105</v>
      </c>
      <c r="E2936">
        <v>27.2</v>
      </c>
      <c r="F2936" t="s">
        <v>48</v>
      </c>
      <c r="G2936" t="s">
        <v>21</v>
      </c>
      <c r="H2936">
        <v>130132</v>
      </c>
      <c r="I2936">
        <v>52</v>
      </c>
      <c r="J2936" t="s">
        <v>15</v>
      </c>
      <c r="K2936">
        <v>45186</v>
      </c>
      <c r="L2936" t="s">
        <v>25</v>
      </c>
    </row>
    <row r="2937" spans="1:12" x14ac:dyDescent="0.3">
      <c r="A2937">
        <v>2006</v>
      </c>
      <c r="B2937" t="s">
        <v>12</v>
      </c>
      <c r="C2937">
        <v>211</v>
      </c>
      <c r="D2937">
        <v>3105</v>
      </c>
      <c r="E2937">
        <v>27.2</v>
      </c>
      <c r="F2937" t="s">
        <v>48</v>
      </c>
      <c r="G2937" t="s">
        <v>21</v>
      </c>
      <c r="H2937">
        <v>154889</v>
      </c>
      <c r="I2937">
        <v>51</v>
      </c>
      <c r="J2937" t="s">
        <v>15</v>
      </c>
      <c r="K2937">
        <v>238542</v>
      </c>
      <c r="L2937" t="s">
        <v>25</v>
      </c>
    </row>
    <row r="2938" spans="1:12" x14ac:dyDescent="0.3">
      <c r="A2938">
        <v>2007</v>
      </c>
      <c r="B2938" t="s">
        <v>12</v>
      </c>
      <c r="C2938">
        <v>153</v>
      </c>
      <c r="D2938">
        <v>3105</v>
      </c>
      <c r="E2938">
        <v>27.2</v>
      </c>
      <c r="F2938" t="s">
        <v>48</v>
      </c>
      <c r="G2938" t="s">
        <v>21</v>
      </c>
      <c r="H2938">
        <v>171739</v>
      </c>
      <c r="I2938">
        <v>57</v>
      </c>
      <c r="J2938" t="s">
        <v>15</v>
      </c>
      <c r="K2938">
        <v>1516</v>
      </c>
      <c r="L2938" t="s">
        <v>25</v>
      </c>
    </row>
    <row r="2939" spans="1:12" x14ac:dyDescent="0.3">
      <c r="A2939">
        <v>2008</v>
      </c>
      <c r="B2939" t="s">
        <v>12</v>
      </c>
      <c r="C2939">
        <v>111</v>
      </c>
      <c r="D2939">
        <v>236</v>
      </c>
      <c r="E2939">
        <v>27.1</v>
      </c>
      <c r="F2939" t="s">
        <v>48</v>
      </c>
      <c r="G2939" t="s">
        <v>21</v>
      </c>
      <c r="H2939">
        <v>172475</v>
      </c>
      <c r="I2939">
        <v>57</v>
      </c>
      <c r="J2939" t="s">
        <v>15</v>
      </c>
      <c r="K2939">
        <v>57259</v>
      </c>
      <c r="L2939" t="s">
        <v>25</v>
      </c>
    </row>
    <row r="2940" spans="1:12" x14ac:dyDescent="0.3">
      <c r="A2940">
        <v>2009</v>
      </c>
      <c r="B2940" t="s">
        <v>12</v>
      </c>
      <c r="C2940">
        <v>76</v>
      </c>
      <c r="D2940">
        <v>236</v>
      </c>
      <c r="E2940">
        <v>27.1</v>
      </c>
      <c r="F2940" t="s">
        <v>48</v>
      </c>
      <c r="G2940" t="s">
        <v>21</v>
      </c>
      <c r="H2940">
        <v>177939</v>
      </c>
      <c r="I2940">
        <v>60</v>
      </c>
      <c r="J2940" t="s">
        <v>15</v>
      </c>
      <c r="K2940">
        <v>234779</v>
      </c>
      <c r="L2940" t="s">
        <v>25</v>
      </c>
    </row>
    <row r="2941" spans="1:12" x14ac:dyDescent="0.3">
      <c r="A2941">
        <v>2010</v>
      </c>
      <c r="B2941" t="s">
        <v>12</v>
      </c>
      <c r="C2941">
        <v>53</v>
      </c>
      <c r="D2941">
        <v>2903.1</v>
      </c>
      <c r="E2941">
        <v>27.1</v>
      </c>
      <c r="F2941" t="s">
        <v>48</v>
      </c>
      <c r="G2941" t="s">
        <v>21</v>
      </c>
      <c r="H2941">
        <v>313547</v>
      </c>
      <c r="I2941">
        <v>57</v>
      </c>
      <c r="J2941" t="s">
        <v>15</v>
      </c>
      <c r="K2941">
        <v>1493</v>
      </c>
      <c r="L2941" t="s">
        <v>25</v>
      </c>
    </row>
    <row r="2942" spans="1:12" x14ac:dyDescent="0.3">
      <c r="A2942">
        <v>2011</v>
      </c>
      <c r="B2942" t="s">
        <v>12</v>
      </c>
      <c r="C2942">
        <v>2688</v>
      </c>
      <c r="D2942">
        <v>2903.1</v>
      </c>
      <c r="E2942">
        <v>26.8</v>
      </c>
      <c r="F2942" t="s">
        <v>48</v>
      </c>
      <c r="G2942" t="s">
        <v>21</v>
      </c>
      <c r="H2942">
        <v>2783</v>
      </c>
      <c r="I2942">
        <v>57</v>
      </c>
      <c r="J2942" t="s">
        <v>15</v>
      </c>
      <c r="K2942">
        <v>64409</v>
      </c>
      <c r="L2942" t="s">
        <v>25</v>
      </c>
    </row>
    <row r="2943" spans="1:12" x14ac:dyDescent="0.3">
      <c r="A2943">
        <v>2012</v>
      </c>
      <c r="B2943" t="s">
        <v>12</v>
      </c>
      <c r="C2943">
        <v>2311</v>
      </c>
      <c r="D2943">
        <v>2903.1</v>
      </c>
      <c r="E2943">
        <v>26.8</v>
      </c>
      <c r="F2943" t="s">
        <v>48</v>
      </c>
      <c r="G2943" t="s">
        <v>21</v>
      </c>
      <c r="H2943">
        <v>1533</v>
      </c>
      <c r="I2943">
        <v>54</v>
      </c>
      <c r="J2943" t="s">
        <v>15</v>
      </c>
      <c r="K2943">
        <v>249978</v>
      </c>
      <c r="L2943" t="s">
        <v>25</v>
      </c>
    </row>
    <row r="2944" spans="1:12" x14ac:dyDescent="0.3">
      <c r="A2944">
        <v>2013</v>
      </c>
      <c r="B2944" t="s">
        <v>12</v>
      </c>
      <c r="C2944">
        <v>2188</v>
      </c>
      <c r="D2944">
        <v>2996.6</v>
      </c>
      <c r="E2944">
        <v>26.8</v>
      </c>
      <c r="F2944" t="s">
        <v>48</v>
      </c>
      <c r="G2944" t="s">
        <v>21</v>
      </c>
      <c r="H2944">
        <v>1647</v>
      </c>
      <c r="I2944">
        <v>54.5</v>
      </c>
      <c r="J2944" t="s">
        <v>15</v>
      </c>
      <c r="K2944">
        <v>637</v>
      </c>
      <c r="L2944" t="s">
        <v>25</v>
      </c>
    </row>
    <row r="2945" spans="1:12" x14ac:dyDescent="0.3">
      <c r="A2945">
        <v>2014</v>
      </c>
      <c r="B2945" t="s">
        <v>12</v>
      </c>
      <c r="C2945">
        <v>1998</v>
      </c>
      <c r="D2945">
        <v>2996.6</v>
      </c>
      <c r="E2945">
        <v>37</v>
      </c>
      <c r="F2945" t="s">
        <v>48</v>
      </c>
      <c r="G2945" t="s">
        <v>21</v>
      </c>
      <c r="H2945">
        <v>975</v>
      </c>
      <c r="I2945">
        <v>56.6</v>
      </c>
      <c r="J2945" t="s">
        <v>15</v>
      </c>
      <c r="K2945">
        <v>43311</v>
      </c>
      <c r="L2945" t="s">
        <v>25</v>
      </c>
    </row>
    <row r="2946" spans="1:12" x14ac:dyDescent="0.3">
      <c r="A2946">
        <v>2015</v>
      </c>
      <c r="B2946" t="s">
        <v>12</v>
      </c>
      <c r="C2946">
        <v>2006</v>
      </c>
      <c r="D2946">
        <v>2996.6</v>
      </c>
      <c r="E2946">
        <v>37</v>
      </c>
      <c r="F2946" t="s">
        <v>48</v>
      </c>
      <c r="G2946" t="s">
        <v>21</v>
      </c>
      <c r="H2946">
        <v>2</v>
      </c>
      <c r="I2946">
        <v>55.5</v>
      </c>
      <c r="J2946" t="s">
        <v>15</v>
      </c>
      <c r="K2946">
        <v>24848</v>
      </c>
      <c r="L2946" t="s">
        <v>25</v>
      </c>
    </row>
    <row r="2947" spans="1:12" x14ac:dyDescent="0.3">
      <c r="A2947">
        <v>2016</v>
      </c>
      <c r="B2947" t="s">
        <v>12</v>
      </c>
      <c r="C2947">
        <v>2034</v>
      </c>
      <c r="D2947">
        <v>3522.8</v>
      </c>
      <c r="E2947">
        <v>37</v>
      </c>
      <c r="F2947" t="s">
        <v>48</v>
      </c>
      <c r="G2947" t="s">
        <v>21</v>
      </c>
      <c r="H2947">
        <v>836</v>
      </c>
      <c r="I2947">
        <v>58.5</v>
      </c>
      <c r="J2947" t="s">
        <v>15</v>
      </c>
      <c r="K2947">
        <v>761</v>
      </c>
      <c r="L2947" t="s">
        <v>25</v>
      </c>
    </row>
    <row r="2948" spans="1:12" x14ac:dyDescent="0.3">
      <c r="A2948">
        <v>2017</v>
      </c>
      <c r="B2948" t="s">
        <v>12</v>
      </c>
      <c r="C2948">
        <v>2035</v>
      </c>
      <c r="D2948">
        <v>3522.8</v>
      </c>
      <c r="E2948">
        <v>38</v>
      </c>
      <c r="F2948" t="s">
        <v>48</v>
      </c>
      <c r="G2948" t="s">
        <v>21</v>
      </c>
      <c r="H2948">
        <v>806</v>
      </c>
      <c r="I2948">
        <v>59.5</v>
      </c>
      <c r="J2948" t="s">
        <v>15</v>
      </c>
      <c r="K2948">
        <v>45608</v>
      </c>
      <c r="L2948" t="s">
        <v>25</v>
      </c>
    </row>
    <row r="2949" spans="1:12" x14ac:dyDescent="0.3">
      <c r="A2949">
        <v>2018</v>
      </c>
      <c r="B2949" t="s">
        <v>12</v>
      </c>
      <c r="C2949">
        <v>2074</v>
      </c>
      <c r="D2949">
        <v>3522.8</v>
      </c>
      <c r="E2949">
        <v>38</v>
      </c>
      <c r="F2949" t="s">
        <v>48</v>
      </c>
      <c r="G2949" t="s">
        <v>21</v>
      </c>
      <c r="H2949">
        <v>880</v>
      </c>
      <c r="I2949">
        <v>55</v>
      </c>
      <c r="J2949" t="s">
        <v>15</v>
      </c>
      <c r="K2949">
        <v>234581</v>
      </c>
      <c r="L2949" t="s">
        <v>25</v>
      </c>
    </row>
    <row r="2950" spans="1:12" x14ac:dyDescent="0.3">
      <c r="A2950">
        <v>2012</v>
      </c>
      <c r="B2950" t="s">
        <v>12</v>
      </c>
      <c r="C2950">
        <v>2127</v>
      </c>
      <c r="D2950">
        <v>2903.1</v>
      </c>
      <c r="E2950">
        <v>38</v>
      </c>
      <c r="F2950" t="s">
        <v>48</v>
      </c>
      <c r="G2950" t="s">
        <v>21</v>
      </c>
      <c r="H2950">
        <v>770</v>
      </c>
      <c r="I2950">
        <v>53</v>
      </c>
      <c r="J2950" t="s">
        <v>15</v>
      </c>
      <c r="K2950">
        <v>646</v>
      </c>
      <c r="L2950" t="s">
        <v>25</v>
      </c>
    </row>
    <row r="2951" spans="1:12" x14ac:dyDescent="0.3">
      <c r="A2951">
        <v>2013</v>
      </c>
      <c r="B2951" t="s">
        <v>12</v>
      </c>
      <c r="C2951">
        <v>2090</v>
      </c>
      <c r="D2951">
        <v>2903.1</v>
      </c>
      <c r="E2951">
        <v>39</v>
      </c>
      <c r="F2951" t="s">
        <v>48</v>
      </c>
      <c r="G2951" t="s">
        <v>26</v>
      </c>
      <c r="H2951">
        <v>395</v>
      </c>
      <c r="I2951">
        <v>53.5</v>
      </c>
      <c r="J2951" t="s">
        <v>15</v>
      </c>
      <c r="K2951">
        <v>43562</v>
      </c>
      <c r="L2951" t="s">
        <v>25</v>
      </c>
    </row>
    <row r="2952" spans="1:12" x14ac:dyDescent="0.3">
      <c r="A2952">
        <v>2014</v>
      </c>
      <c r="B2952" t="s">
        <v>12</v>
      </c>
      <c r="C2952">
        <v>2059</v>
      </c>
      <c r="D2952">
        <v>2903.1</v>
      </c>
      <c r="E2952">
        <v>39</v>
      </c>
      <c r="F2952" t="s">
        <v>48</v>
      </c>
      <c r="G2952" t="s">
        <v>26</v>
      </c>
      <c r="H2952">
        <v>187</v>
      </c>
      <c r="I2952">
        <v>52.5</v>
      </c>
      <c r="J2952" t="s">
        <v>15</v>
      </c>
      <c r="K2952">
        <v>200000</v>
      </c>
      <c r="L2952" t="s">
        <v>25</v>
      </c>
    </row>
    <row r="2953" spans="1:12" x14ac:dyDescent="0.3">
      <c r="A2953">
        <v>2015</v>
      </c>
      <c r="B2953" t="s">
        <v>12</v>
      </c>
      <c r="C2953">
        <v>2050</v>
      </c>
      <c r="D2953">
        <v>2996.6</v>
      </c>
      <c r="E2953">
        <v>39</v>
      </c>
      <c r="F2953" t="s">
        <v>48</v>
      </c>
      <c r="G2953" t="s">
        <v>26</v>
      </c>
      <c r="H2953">
        <v>187</v>
      </c>
      <c r="I2953">
        <v>56</v>
      </c>
      <c r="J2953" t="s">
        <v>15</v>
      </c>
      <c r="K2953">
        <v>4847</v>
      </c>
      <c r="L2953" t="s">
        <v>25</v>
      </c>
    </row>
    <row r="2954" spans="1:12" x14ac:dyDescent="0.3">
      <c r="A2954">
        <v>2016</v>
      </c>
      <c r="B2954" t="s">
        <v>12</v>
      </c>
      <c r="C2954">
        <v>1865</v>
      </c>
      <c r="D2954">
        <v>2996.6</v>
      </c>
      <c r="E2954">
        <v>40</v>
      </c>
      <c r="F2954" t="s">
        <v>48</v>
      </c>
      <c r="G2954" t="s">
        <v>26</v>
      </c>
      <c r="H2954">
        <v>121</v>
      </c>
      <c r="I2954">
        <v>57</v>
      </c>
      <c r="J2954" t="s">
        <v>15</v>
      </c>
      <c r="K2954">
        <v>51239</v>
      </c>
      <c r="L2954" t="s">
        <v>25</v>
      </c>
    </row>
    <row r="2955" spans="1:12" x14ac:dyDescent="0.3">
      <c r="A2955">
        <v>2017</v>
      </c>
      <c r="B2955" t="s">
        <v>12</v>
      </c>
      <c r="C2955">
        <v>1841</v>
      </c>
      <c r="D2955">
        <v>2996.6</v>
      </c>
      <c r="E2955">
        <v>40</v>
      </c>
      <c r="F2955" t="s">
        <v>48</v>
      </c>
      <c r="G2955" t="s">
        <v>26</v>
      </c>
      <c r="H2955">
        <v>103</v>
      </c>
      <c r="I2955">
        <v>57.5</v>
      </c>
      <c r="J2955" t="s">
        <v>15</v>
      </c>
      <c r="K2955">
        <v>216396</v>
      </c>
      <c r="L2955" t="s">
        <v>25</v>
      </c>
    </row>
    <row r="2956" spans="1:12" x14ac:dyDescent="0.3">
      <c r="A2956">
        <v>2018</v>
      </c>
      <c r="B2956" t="s">
        <v>12</v>
      </c>
      <c r="C2956">
        <v>1799</v>
      </c>
      <c r="D2956">
        <v>3522.8</v>
      </c>
      <c r="E2956">
        <v>40</v>
      </c>
      <c r="F2956" t="s">
        <v>48</v>
      </c>
      <c r="G2956" t="s">
        <v>26</v>
      </c>
      <c r="H2956">
        <v>71</v>
      </c>
      <c r="I2956">
        <v>57</v>
      </c>
      <c r="J2956" t="s">
        <v>15</v>
      </c>
      <c r="K2956">
        <v>2644</v>
      </c>
      <c r="L2956" t="s">
        <v>25</v>
      </c>
    </row>
    <row r="2957" spans="1:12" x14ac:dyDescent="0.3">
      <c r="A2957">
        <v>2019</v>
      </c>
      <c r="B2957" t="s">
        <v>12</v>
      </c>
      <c r="C2957">
        <v>1468</v>
      </c>
      <c r="D2957">
        <v>3522.8</v>
      </c>
      <c r="E2957">
        <v>41</v>
      </c>
      <c r="F2957" t="s">
        <v>48</v>
      </c>
      <c r="G2957" t="s">
        <v>26</v>
      </c>
      <c r="H2957">
        <v>3961</v>
      </c>
      <c r="I2957">
        <v>55</v>
      </c>
      <c r="J2957" t="s">
        <v>15</v>
      </c>
      <c r="K2957">
        <v>44235</v>
      </c>
      <c r="L2957" t="s">
        <v>25</v>
      </c>
    </row>
    <row r="2958" spans="1:12" x14ac:dyDescent="0.3">
      <c r="A2958">
        <v>2004</v>
      </c>
      <c r="B2958" t="s">
        <v>12</v>
      </c>
      <c r="C2958">
        <v>568</v>
      </c>
      <c r="D2958">
        <v>3522.8</v>
      </c>
      <c r="E2958">
        <v>41</v>
      </c>
      <c r="F2958" t="s">
        <v>48</v>
      </c>
      <c r="G2958" t="s">
        <v>26</v>
      </c>
      <c r="H2958">
        <v>4247</v>
      </c>
      <c r="I2958">
        <v>56</v>
      </c>
      <c r="J2958" t="s">
        <v>15</v>
      </c>
      <c r="K2958">
        <v>203317</v>
      </c>
      <c r="L2958" t="s">
        <v>25</v>
      </c>
    </row>
    <row r="2959" spans="1:12" x14ac:dyDescent="0.3">
      <c r="A2959">
        <v>2005</v>
      </c>
      <c r="B2959" t="s">
        <v>12</v>
      </c>
      <c r="C2959">
        <v>407</v>
      </c>
      <c r="D2959">
        <v>3729.8</v>
      </c>
      <c r="E2959">
        <v>41</v>
      </c>
      <c r="F2959" t="s">
        <v>48</v>
      </c>
      <c r="G2959" t="s">
        <v>26</v>
      </c>
      <c r="H2959">
        <v>3290</v>
      </c>
      <c r="I2959">
        <v>54</v>
      </c>
      <c r="J2959" t="s">
        <v>15</v>
      </c>
      <c r="K2959">
        <v>2134</v>
      </c>
      <c r="L2959" t="s">
        <v>25</v>
      </c>
    </row>
    <row r="2960" spans="1:12" x14ac:dyDescent="0.3">
      <c r="A2960">
        <v>2006</v>
      </c>
      <c r="B2960" t="s">
        <v>12</v>
      </c>
      <c r="C2960">
        <v>177</v>
      </c>
      <c r="D2960">
        <v>3729.8</v>
      </c>
      <c r="E2960">
        <v>42</v>
      </c>
      <c r="F2960" t="s">
        <v>48</v>
      </c>
      <c r="G2960" t="s">
        <v>26</v>
      </c>
      <c r="H2960">
        <v>3138</v>
      </c>
      <c r="I2960">
        <v>58</v>
      </c>
      <c r="J2960" t="s">
        <v>15</v>
      </c>
      <c r="K2960">
        <v>45186</v>
      </c>
      <c r="L2960" t="s">
        <v>25</v>
      </c>
    </row>
    <row r="2961" spans="1:12" x14ac:dyDescent="0.3">
      <c r="A2961">
        <v>2007</v>
      </c>
      <c r="B2961" t="s">
        <v>12</v>
      </c>
      <c r="C2961">
        <v>51</v>
      </c>
      <c r="D2961">
        <v>3729.8</v>
      </c>
      <c r="E2961">
        <v>42</v>
      </c>
      <c r="F2961" t="s">
        <v>48</v>
      </c>
      <c r="G2961" t="s">
        <v>26</v>
      </c>
      <c r="H2961">
        <v>3423</v>
      </c>
      <c r="I2961">
        <v>58</v>
      </c>
      <c r="J2961" t="s">
        <v>15</v>
      </c>
      <c r="K2961">
        <v>238542</v>
      </c>
      <c r="L2961" t="s">
        <v>25</v>
      </c>
    </row>
    <row r="2962" spans="1:12" x14ac:dyDescent="0.3">
      <c r="A2962">
        <v>2008</v>
      </c>
      <c r="B2962" t="s">
        <v>12</v>
      </c>
      <c r="C2962">
        <v>173</v>
      </c>
      <c r="D2962">
        <v>2746.2</v>
      </c>
      <c r="E2962">
        <v>42</v>
      </c>
      <c r="F2962" t="s">
        <v>48</v>
      </c>
      <c r="G2962" t="s">
        <v>26</v>
      </c>
      <c r="H2962">
        <v>3899</v>
      </c>
      <c r="I2962">
        <v>59</v>
      </c>
      <c r="J2962" t="s">
        <v>15</v>
      </c>
      <c r="K2962">
        <v>1516</v>
      </c>
      <c r="L2962" t="s">
        <v>25</v>
      </c>
    </row>
    <row r="2963" spans="1:12" x14ac:dyDescent="0.3">
      <c r="A2963">
        <v>2009</v>
      </c>
      <c r="B2963" t="s">
        <v>12</v>
      </c>
      <c r="C2963">
        <v>201</v>
      </c>
      <c r="D2963">
        <v>2746.2</v>
      </c>
      <c r="E2963">
        <v>43</v>
      </c>
      <c r="F2963" t="s">
        <v>48</v>
      </c>
      <c r="G2963" t="s">
        <v>26</v>
      </c>
      <c r="H2963">
        <v>4015</v>
      </c>
      <c r="I2963">
        <v>50</v>
      </c>
      <c r="J2963" t="s">
        <v>15</v>
      </c>
      <c r="K2963">
        <v>57259</v>
      </c>
      <c r="L2963" t="s">
        <v>25</v>
      </c>
    </row>
    <row r="2964" spans="1:12" x14ac:dyDescent="0.3">
      <c r="A2964">
        <v>2010</v>
      </c>
      <c r="B2964" t="s">
        <v>12</v>
      </c>
      <c r="C2964">
        <v>206</v>
      </c>
      <c r="D2964">
        <v>2746.2</v>
      </c>
      <c r="E2964">
        <v>43</v>
      </c>
      <c r="F2964" t="s">
        <v>27</v>
      </c>
      <c r="G2964" t="s">
        <v>26</v>
      </c>
      <c r="H2964">
        <v>4279</v>
      </c>
      <c r="I2964">
        <v>54</v>
      </c>
      <c r="J2964" t="s">
        <v>15</v>
      </c>
      <c r="K2964">
        <v>234779</v>
      </c>
      <c r="L2964" t="s">
        <v>25</v>
      </c>
    </row>
    <row r="2965" spans="1:12" x14ac:dyDescent="0.3">
      <c r="A2965">
        <v>2011</v>
      </c>
      <c r="B2965" t="s">
        <v>12</v>
      </c>
      <c r="C2965">
        <v>243</v>
      </c>
      <c r="D2965">
        <v>3360</v>
      </c>
      <c r="E2965">
        <v>27</v>
      </c>
      <c r="F2965" t="s">
        <v>27</v>
      </c>
      <c r="G2965" t="s">
        <v>26</v>
      </c>
      <c r="H2965">
        <v>4167</v>
      </c>
      <c r="I2965">
        <v>53</v>
      </c>
      <c r="J2965" t="s">
        <v>15</v>
      </c>
      <c r="K2965">
        <v>1493</v>
      </c>
      <c r="L2965" t="s">
        <v>25</v>
      </c>
    </row>
    <row r="2966" spans="1:12" x14ac:dyDescent="0.3">
      <c r="A2966">
        <v>2012</v>
      </c>
      <c r="B2966" t="s">
        <v>12</v>
      </c>
      <c r="C2966">
        <v>123</v>
      </c>
      <c r="D2966">
        <v>3360</v>
      </c>
      <c r="E2966">
        <v>27</v>
      </c>
      <c r="F2966" t="s">
        <v>27</v>
      </c>
      <c r="G2966" t="s">
        <v>26</v>
      </c>
      <c r="H2966">
        <v>4479</v>
      </c>
      <c r="I2966">
        <v>52</v>
      </c>
      <c r="J2966" t="s">
        <v>15</v>
      </c>
      <c r="K2966">
        <v>64409</v>
      </c>
      <c r="L2966" t="s">
        <v>25</v>
      </c>
    </row>
    <row r="2967" spans="1:12" x14ac:dyDescent="0.3">
      <c r="A2967">
        <v>2013</v>
      </c>
      <c r="B2967" t="s">
        <v>12</v>
      </c>
      <c r="C2967">
        <v>82</v>
      </c>
      <c r="D2967">
        <v>3360</v>
      </c>
      <c r="E2967">
        <v>27</v>
      </c>
      <c r="F2967" t="s">
        <v>27</v>
      </c>
      <c r="G2967" t="s">
        <v>26</v>
      </c>
      <c r="H2967">
        <v>3699</v>
      </c>
      <c r="I2967">
        <v>51</v>
      </c>
      <c r="J2967" t="s">
        <v>15</v>
      </c>
      <c r="K2967">
        <v>249978</v>
      </c>
      <c r="L2967" t="s">
        <v>25</v>
      </c>
    </row>
    <row r="2968" spans="1:12" x14ac:dyDescent="0.3">
      <c r="A2968">
        <v>2014</v>
      </c>
      <c r="B2968" t="s">
        <v>12</v>
      </c>
      <c r="C2968">
        <v>74</v>
      </c>
      <c r="D2968">
        <v>3605.4</v>
      </c>
      <c r="E2968">
        <v>27</v>
      </c>
      <c r="F2968" t="s">
        <v>27</v>
      </c>
      <c r="G2968" t="s">
        <v>26</v>
      </c>
      <c r="H2968">
        <v>4904</v>
      </c>
      <c r="I2968">
        <v>57</v>
      </c>
      <c r="J2968" t="s">
        <v>15</v>
      </c>
      <c r="K2968">
        <v>637</v>
      </c>
      <c r="L2968" t="s">
        <v>25</v>
      </c>
    </row>
    <row r="2969" spans="1:12" x14ac:dyDescent="0.3">
      <c r="A2969">
        <v>2015</v>
      </c>
      <c r="B2969" t="s">
        <v>12</v>
      </c>
      <c r="C2969">
        <v>18</v>
      </c>
      <c r="D2969">
        <v>3605.4</v>
      </c>
      <c r="E2969">
        <v>27</v>
      </c>
      <c r="F2969" t="s">
        <v>27</v>
      </c>
      <c r="G2969" t="s">
        <v>26</v>
      </c>
      <c r="H2969">
        <v>2821</v>
      </c>
      <c r="I2969">
        <v>57</v>
      </c>
      <c r="J2969" t="s">
        <v>15</v>
      </c>
      <c r="K2969">
        <v>43311</v>
      </c>
      <c r="L2969" t="s">
        <v>25</v>
      </c>
    </row>
    <row r="2970" spans="1:12" x14ac:dyDescent="0.3">
      <c r="A2970">
        <v>2016</v>
      </c>
      <c r="B2970" t="s">
        <v>12</v>
      </c>
      <c r="C2970">
        <v>37</v>
      </c>
      <c r="D2970">
        <v>3605.4</v>
      </c>
      <c r="E2970">
        <v>27</v>
      </c>
      <c r="F2970" t="s">
        <v>27</v>
      </c>
      <c r="G2970" t="s">
        <v>26</v>
      </c>
      <c r="H2970">
        <v>3472</v>
      </c>
      <c r="I2970">
        <v>60</v>
      </c>
      <c r="J2970" t="s">
        <v>15</v>
      </c>
      <c r="K2970">
        <v>24848</v>
      </c>
      <c r="L2970" t="s">
        <v>25</v>
      </c>
    </row>
    <row r="2971" spans="1:12" x14ac:dyDescent="0.3">
      <c r="A2971">
        <v>2017</v>
      </c>
      <c r="B2971" t="s">
        <v>12</v>
      </c>
      <c r="C2971">
        <v>35</v>
      </c>
      <c r="D2971">
        <v>3512.4</v>
      </c>
      <c r="E2971">
        <v>27.2</v>
      </c>
      <c r="F2971" t="s">
        <v>27</v>
      </c>
      <c r="G2971" t="s">
        <v>26</v>
      </c>
      <c r="H2971">
        <v>3647</v>
      </c>
      <c r="I2971">
        <v>57</v>
      </c>
      <c r="J2971" t="s">
        <v>15</v>
      </c>
      <c r="K2971">
        <v>761</v>
      </c>
      <c r="L2971" t="s">
        <v>25</v>
      </c>
    </row>
    <row r="2972" spans="1:12" x14ac:dyDescent="0.3">
      <c r="A2972">
        <v>2018</v>
      </c>
      <c r="B2972" t="s">
        <v>12</v>
      </c>
      <c r="C2972">
        <v>5974</v>
      </c>
      <c r="D2972">
        <v>3512.4</v>
      </c>
      <c r="E2972">
        <v>27.2</v>
      </c>
      <c r="F2972" t="s">
        <v>27</v>
      </c>
      <c r="G2972" t="s">
        <v>26</v>
      </c>
      <c r="H2972">
        <v>393</v>
      </c>
      <c r="I2972">
        <v>57</v>
      </c>
      <c r="J2972" t="s">
        <v>15</v>
      </c>
      <c r="K2972">
        <v>45608</v>
      </c>
      <c r="L2972" t="s">
        <v>25</v>
      </c>
    </row>
    <row r="2973" spans="1:12" x14ac:dyDescent="0.3">
      <c r="A2973">
        <v>2011</v>
      </c>
      <c r="B2973" t="s">
        <v>12</v>
      </c>
      <c r="C2973">
        <v>6631</v>
      </c>
      <c r="D2973">
        <v>3512.4</v>
      </c>
      <c r="E2973">
        <v>27.2</v>
      </c>
      <c r="F2973" t="s">
        <v>27</v>
      </c>
      <c r="G2973" t="s">
        <v>26</v>
      </c>
      <c r="H2973">
        <v>167</v>
      </c>
      <c r="I2973">
        <v>54</v>
      </c>
      <c r="J2973" t="s">
        <v>15</v>
      </c>
      <c r="K2973">
        <v>234581</v>
      </c>
      <c r="L2973" t="s">
        <v>25</v>
      </c>
    </row>
    <row r="2974" spans="1:12" x14ac:dyDescent="0.3">
      <c r="A2974">
        <v>2012</v>
      </c>
      <c r="B2974" t="s">
        <v>12</v>
      </c>
      <c r="C2974">
        <v>6705</v>
      </c>
      <c r="D2974">
        <v>3296</v>
      </c>
      <c r="E2974">
        <v>27</v>
      </c>
      <c r="F2974" t="s">
        <v>27</v>
      </c>
      <c r="G2974" t="s">
        <v>26</v>
      </c>
      <c r="H2974">
        <v>71</v>
      </c>
      <c r="I2974">
        <v>54.5</v>
      </c>
      <c r="J2974" t="s">
        <v>15</v>
      </c>
      <c r="K2974">
        <v>646</v>
      </c>
      <c r="L2974" t="s">
        <v>25</v>
      </c>
    </row>
    <row r="2975" spans="1:12" x14ac:dyDescent="0.3">
      <c r="A2975">
        <v>2013</v>
      </c>
      <c r="B2975" t="s">
        <v>12</v>
      </c>
      <c r="C2975">
        <v>5876</v>
      </c>
      <c r="D2975">
        <v>3296</v>
      </c>
      <c r="E2975">
        <v>27</v>
      </c>
      <c r="F2975" t="s">
        <v>27</v>
      </c>
      <c r="G2975" t="s">
        <v>26</v>
      </c>
      <c r="H2975">
        <v>52</v>
      </c>
      <c r="I2975">
        <v>56.6</v>
      </c>
      <c r="J2975" t="s">
        <v>15</v>
      </c>
      <c r="K2975">
        <v>43562</v>
      </c>
      <c r="L2975" t="s">
        <v>25</v>
      </c>
    </row>
    <row r="2976" spans="1:12" x14ac:dyDescent="0.3">
      <c r="A2976">
        <v>2014</v>
      </c>
      <c r="B2976" t="s">
        <v>12</v>
      </c>
      <c r="C2976">
        <v>326</v>
      </c>
      <c r="D2976">
        <v>3296</v>
      </c>
      <c r="E2976">
        <v>27</v>
      </c>
      <c r="F2976" t="s">
        <v>27</v>
      </c>
      <c r="G2976" t="s">
        <v>26</v>
      </c>
      <c r="H2976">
        <v>12</v>
      </c>
      <c r="I2976">
        <v>55.5</v>
      </c>
      <c r="J2976" t="s">
        <v>15</v>
      </c>
      <c r="K2976">
        <v>200000</v>
      </c>
      <c r="L2976" t="s">
        <v>25</v>
      </c>
    </row>
    <row r="2977" spans="1:12" x14ac:dyDescent="0.3">
      <c r="A2977">
        <v>2015</v>
      </c>
      <c r="B2977" t="s">
        <v>12</v>
      </c>
      <c r="C2977">
        <v>6470</v>
      </c>
      <c r="D2977">
        <v>3550</v>
      </c>
      <c r="E2977">
        <v>27</v>
      </c>
      <c r="F2977" t="s">
        <v>27</v>
      </c>
      <c r="G2977" t="s">
        <v>26</v>
      </c>
      <c r="H2977">
        <v>51</v>
      </c>
      <c r="I2977">
        <v>58.5</v>
      </c>
      <c r="J2977" t="s">
        <v>15</v>
      </c>
      <c r="K2977">
        <v>4847</v>
      </c>
      <c r="L2977" t="s">
        <v>25</v>
      </c>
    </row>
    <row r="2978" spans="1:12" x14ac:dyDescent="0.3">
      <c r="A2978">
        <v>2016</v>
      </c>
      <c r="B2978" t="s">
        <v>12</v>
      </c>
      <c r="C2978">
        <v>1279</v>
      </c>
      <c r="D2978">
        <v>3550</v>
      </c>
      <c r="E2978">
        <v>27</v>
      </c>
      <c r="F2978" t="s">
        <v>27</v>
      </c>
      <c r="G2978" t="s">
        <v>26</v>
      </c>
      <c r="H2978">
        <v>61</v>
      </c>
      <c r="I2978">
        <v>59.5</v>
      </c>
      <c r="J2978" t="s">
        <v>15</v>
      </c>
      <c r="K2978">
        <v>51239</v>
      </c>
      <c r="L2978" t="s">
        <v>25</v>
      </c>
    </row>
    <row r="2979" spans="1:12" x14ac:dyDescent="0.3">
      <c r="A2979">
        <v>2017</v>
      </c>
      <c r="B2979" t="s">
        <v>12</v>
      </c>
      <c r="C2979">
        <v>13283</v>
      </c>
      <c r="D2979">
        <v>3550</v>
      </c>
      <c r="E2979">
        <v>27</v>
      </c>
      <c r="F2979" t="s">
        <v>27</v>
      </c>
      <c r="G2979" t="s">
        <v>26</v>
      </c>
      <c r="H2979">
        <v>67</v>
      </c>
      <c r="I2979">
        <v>55</v>
      </c>
      <c r="J2979" t="s">
        <v>15</v>
      </c>
      <c r="K2979">
        <v>216396</v>
      </c>
      <c r="L2979" t="s">
        <v>25</v>
      </c>
    </row>
    <row r="2980" spans="1:12" x14ac:dyDescent="0.3">
      <c r="A2980">
        <v>2018</v>
      </c>
      <c r="B2980" t="s">
        <v>12</v>
      </c>
      <c r="C2980">
        <v>52119</v>
      </c>
      <c r="D2980">
        <v>3654</v>
      </c>
      <c r="E2980">
        <v>27.2</v>
      </c>
      <c r="F2980" t="s">
        <v>27</v>
      </c>
      <c r="G2980" t="s">
        <v>26</v>
      </c>
      <c r="H2980">
        <v>62</v>
      </c>
      <c r="I2980">
        <v>53</v>
      </c>
      <c r="J2980" t="s">
        <v>15</v>
      </c>
      <c r="K2980">
        <v>2644</v>
      </c>
      <c r="L2980" t="s">
        <v>25</v>
      </c>
    </row>
    <row r="2981" spans="1:12" x14ac:dyDescent="0.3">
      <c r="A2981">
        <v>2004</v>
      </c>
      <c r="B2981" t="s">
        <v>12</v>
      </c>
      <c r="C2981">
        <v>725</v>
      </c>
      <c r="D2981">
        <v>3654</v>
      </c>
      <c r="E2981">
        <v>27.2</v>
      </c>
      <c r="F2981" t="s">
        <v>27</v>
      </c>
      <c r="G2981" t="s">
        <v>26</v>
      </c>
      <c r="H2981">
        <v>32</v>
      </c>
      <c r="I2981">
        <v>53.5</v>
      </c>
      <c r="J2981" t="s">
        <v>15</v>
      </c>
      <c r="K2981">
        <v>44235</v>
      </c>
      <c r="L2981" t="s">
        <v>25</v>
      </c>
    </row>
    <row r="2982" spans="1:12" x14ac:dyDescent="0.3">
      <c r="A2982">
        <v>2005</v>
      </c>
      <c r="B2982" t="s">
        <v>12</v>
      </c>
      <c r="C2982">
        <v>12885</v>
      </c>
      <c r="D2982">
        <v>3654</v>
      </c>
      <c r="E2982">
        <v>27.2</v>
      </c>
      <c r="F2982" t="s">
        <v>27</v>
      </c>
      <c r="G2982" t="s">
        <v>26</v>
      </c>
      <c r="H2982">
        <v>22</v>
      </c>
      <c r="I2982">
        <v>52.5</v>
      </c>
      <c r="J2982" t="s">
        <v>15</v>
      </c>
      <c r="K2982">
        <v>203317</v>
      </c>
      <c r="L2982" t="s">
        <v>25</v>
      </c>
    </row>
    <row r="2983" spans="1:12" x14ac:dyDescent="0.3">
      <c r="A2983">
        <v>2006</v>
      </c>
      <c r="B2983" t="s">
        <v>12</v>
      </c>
      <c r="C2983">
        <v>51179</v>
      </c>
      <c r="D2983">
        <v>233</v>
      </c>
      <c r="E2983">
        <v>27.1</v>
      </c>
      <c r="F2983" t="s">
        <v>27</v>
      </c>
      <c r="G2983" t="s">
        <v>26</v>
      </c>
      <c r="H2983">
        <v>25</v>
      </c>
      <c r="I2983">
        <v>56</v>
      </c>
      <c r="J2983" t="s">
        <v>15</v>
      </c>
      <c r="K2983">
        <v>2134</v>
      </c>
      <c r="L2983" t="s">
        <v>25</v>
      </c>
    </row>
    <row r="2984" spans="1:12" x14ac:dyDescent="0.3">
      <c r="A2984">
        <v>2007</v>
      </c>
      <c r="B2984" t="s">
        <v>12</v>
      </c>
      <c r="C2984">
        <v>468</v>
      </c>
      <c r="D2984">
        <v>233</v>
      </c>
      <c r="E2984">
        <v>27.1</v>
      </c>
      <c r="F2984" t="s">
        <v>27</v>
      </c>
      <c r="G2984" t="s">
        <v>26</v>
      </c>
      <c r="H2984">
        <v>4</v>
      </c>
      <c r="I2984">
        <v>57</v>
      </c>
      <c r="J2984" t="s">
        <v>15</v>
      </c>
      <c r="K2984">
        <v>45186</v>
      </c>
      <c r="L2984" t="s">
        <v>25</v>
      </c>
    </row>
    <row r="2985" spans="1:12" x14ac:dyDescent="0.3">
      <c r="A2985">
        <v>2008</v>
      </c>
      <c r="B2985" t="s">
        <v>12</v>
      </c>
      <c r="C2985">
        <v>11841</v>
      </c>
      <c r="D2985">
        <v>233</v>
      </c>
      <c r="E2985">
        <v>27.1</v>
      </c>
      <c r="F2985" t="s">
        <v>27</v>
      </c>
      <c r="G2985" t="s">
        <v>26</v>
      </c>
      <c r="H2985">
        <v>9</v>
      </c>
      <c r="I2985">
        <v>57.5</v>
      </c>
      <c r="J2985" t="s">
        <v>15</v>
      </c>
      <c r="K2985">
        <v>238542</v>
      </c>
      <c r="L2985" t="s">
        <v>25</v>
      </c>
    </row>
    <row r="2986" spans="1:12" x14ac:dyDescent="0.3">
      <c r="A2986">
        <v>2009</v>
      </c>
      <c r="B2986" t="s">
        <v>12</v>
      </c>
      <c r="C2986">
        <v>50975</v>
      </c>
      <c r="D2986">
        <v>234</v>
      </c>
      <c r="E2986">
        <v>26.8</v>
      </c>
      <c r="F2986" t="s">
        <v>27</v>
      </c>
      <c r="G2986" t="s">
        <v>26</v>
      </c>
      <c r="H2986">
        <v>12</v>
      </c>
      <c r="I2986">
        <v>57</v>
      </c>
      <c r="J2986" t="s">
        <v>15</v>
      </c>
      <c r="K2986">
        <v>1516</v>
      </c>
      <c r="L2986" t="s">
        <v>25</v>
      </c>
    </row>
    <row r="2987" spans="1:12" x14ac:dyDescent="0.3">
      <c r="A2987">
        <v>2010</v>
      </c>
      <c r="B2987" t="s">
        <v>12</v>
      </c>
      <c r="C2987">
        <v>206</v>
      </c>
      <c r="D2987">
        <v>234</v>
      </c>
      <c r="E2987">
        <v>26.8</v>
      </c>
      <c r="F2987" t="s">
        <v>27</v>
      </c>
      <c r="G2987" t="s">
        <v>26</v>
      </c>
      <c r="H2987">
        <v>2089</v>
      </c>
      <c r="I2987">
        <v>55</v>
      </c>
      <c r="J2987" t="s">
        <v>15</v>
      </c>
      <c r="K2987">
        <v>200000</v>
      </c>
      <c r="L2987" t="s">
        <v>25</v>
      </c>
    </row>
    <row r="2988" spans="1:12" x14ac:dyDescent="0.3">
      <c r="A2988">
        <v>2011</v>
      </c>
      <c r="B2988" t="s">
        <v>12</v>
      </c>
      <c r="C2988">
        <v>10922</v>
      </c>
      <c r="D2988">
        <v>234</v>
      </c>
      <c r="E2988">
        <v>26.8</v>
      </c>
      <c r="F2988" t="s">
        <v>27</v>
      </c>
      <c r="G2988" t="s">
        <v>26</v>
      </c>
      <c r="H2988">
        <v>2810</v>
      </c>
      <c r="I2988">
        <v>56</v>
      </c>
      <c r="J2988" t="s">
        <v>15</v>
      </c>
      <c r="K2988">
        <v>4847</v>
      </c>
      <c r="L2988" t="s">
        <v>25</v>
      </c>
    </row>
    <row r="2989" spans="1:12" x14ac:dyDescent="0.3">
      <c r="A2989">
        <v>2012</v>
      </c>
      <c r="B2989" t="s">
        <v>12</v>
      </c>
      <c r="C2989">
        <v>51390</v>
      </c>
      <c r="D2989">
        <v>3105</v>
      </c>
      <c r="E2989">
        <v>37</v>
      </c>
      <c r="F2989" t="s">
        <v>27</v>
      </c>
      <c r="G2989" t="s">
        <v>26</v>
      </c>
      <c r="H2989">
        <v>841</v>
      </c>
      <c r="I2989">
        <v>54</v>
      </c>
      <c r="J2989" t="s">
        <v>15</v>
      </c>
      <c r="K2989">
        <v>51239</v>
      </c>
      <c r="L2989" t="s">
        <v>25</v>
      </c>
    </row>
    <row r="2990" spans="1:12" x14ac:dyDescent="0.3">
      <c r="A2990">
        <v>2013</v>
      </c>
      <c r="B2990" t="s">
        <v>12</v>
      </c>
      <c r="C2990">
        <v>177</v>
      </c>
      <c r="D2990">
        <v>3105</v>
      </c>
      <c r="E2990">
        <v>37</v>
      </c>
      <c r="F2990" t="s">
        <v>27</v>
      </c>
      <c r="G2990" t="s">
        <v>26</v>
      </c>
      <c r="H2990">
        <v>3550</v>
      </c>
      <c r="I2990">
        <v>58</v>
      </c>
      <c r="J2990" t="s">
        <v>15</v>
      </c>
      <c r="K2990">
        <v>216396</v>
      </c>
      <c r="L2990" t="s">
        <v>25</v>
      </c>
    </row>
    <row r="2991" spans="1:12" x14ac:dyDescent="0.3">
      <c r="A2991">
        <v>2014</v>
      </c>
      <c r="B2991" t="s">
        <v>12</v>
      </c>
      <c r="C2991">
        <v>10723</v>
      </c>
      <c r="D2991">
        <v>3105</v>
      </c>
      <c r="E2991">
        <v>37</v>
      </c>
      <c r="F2991" t="s">
        <v>27</v>
      </c>
      <c r="G2991" t="s">
        <v>26</v>
      </c>
      <c r="H2991">
        <v>109</v>
      </c>
      <c r="I2991">
        <v>58</v>
      </c>
      <c r="J2991" t="s">
        <v>15</v>
      </c>
      <c r="K2991">
        <v>2644</v>
      </c>
      <c r="L2991" t="s">
        <v>25</v>
      </c>
    </row>
    <row r="2992" spans="1:12" x14ac:dyDescent="0.3">
      <c r="A2992">
        <v>2015</v>
      </c>
      <c r="B2992" t="s">
        <v>12</v>
      </c>
      <c r="C2992">
        <v>51709</v>
      </c>
      <c r="D2992">
        <v>236</v>
      </c>
      <c r="E2992">
        <v>38</v>
      </c>
      <c r="F2992" t="s">
        <v>27</v>
      </c>
      <c r="G2992" t="s">
        <v>26</v>
      </c>
      <c r="H2992">
        <v>3368</v>
      </c>
      <c r="I2992">
        <v>59</v>
      </c>
      <c r="J2992" t="s">
        <v>15</v>
      </c>
      <c r="K2992">
        <v>44235</v>
      </c>
      <c r="L2992" t="s">
        <v>25</v>
      </c>
    </row>
    <row r="2993" spans="1:12" x14ac:dyDescent="0.3">
      <c r="A2993">
        <v>2016</v>
      </c>
      <c r="B2993" t="s">
        <v>12</v>
      </c>
      <c r="C2993">
        <v>146</v>
      </c>
      <c r="D2993">
        <v>236</v>
      </c>
      <c r="E2993">
        <v>38</v>
      </c>
      <c r="F2993" t="s">
        <v>27</v>
      </c>
      <c r="G2993" t="s">
        <v>26</v>
      </c>
      <c r="H2993">
        <v>3671</v>
      </c>
      <c r="I2993">
        <v>50</v>
      </c>
      <c r="J2993" t="s">
        <v>15</v>
      </c>
      <c r="K2993">
        <v>203317</v>
      </c>
      <c r="L2993" t="s">
        <v>25</v>
      </c>
    </row>
    <row r="2994" spans="1:12" x14ac:dyDescent="0.3">
      <c r="A2994">
        <v>2017</v>
      </c>
      <c r="B2994" t="s">
        <v>12</v>
      </c>
      <c r="C2994">
        <v>10910</v>
      </c>
      <c r="D2994">
        <v>2903.1</v>
      </c>
      <c r="E2994">
        <v>38</v>
      </c>
      <c r="F2994" t="s">
        <v>27</v>
      </c>
      <c r="G2994" t="s">
        <v>26</v>
      </c>
      <c r="H2994">
        <v>2404</v>
      </c>
      <c r="I2994">
        <v>54</v>
      </c>
      <c r="J2994" t="s">
        <v>15</v>
      </c>
      <c r="K2994">
        <v>2134</v>
      </c>
      <c r="L2994" t="s">
        <v>25</v>
      </c>
    </row>
    <row r="2995" spans="1:12" x14ac:dyDescent="0.3">
      <c r="A2995">
        <v>2018</v>
      </c>
      <c r="B2995" t="s">
        <v>12</v>
      </c>
      <c r="C2995">
        <v>51355</v>
      </c>
      <c r="D2995">
        <v>2903.1</v>
      </c>
      <c r="E2995">
        <v>39</v>
      </c>
      <c r="F2995" t="s">
        <v>27</v>
      </c>
      <c r="G2995" t="s">
        <v>14</v>
      </c>
      <c r="H2995">
        <v>2805</v>
      </c>
      <c r="I2995">
        <v>53</v>
      </c>
      <c r="J2995" t="s">
        <v>28</v>
      </c>
      <c r="K2995">
        <v>45186</v>
      </c>
      <c r="L2995" t="s">
        <v>25</v>
      </c>
    </row>
    <row r="2996" spans="1:12" x14ac:dyDescent="0.3">
      <c r="A2996">
        <v>2004</v>
      </c>
      <c r="B2996" t="s">
        <v>12</v>
      </c>
      <c r="C2996">
        <v>160</v>
      </c>
      <c r="D2996">
        <v>2903.1</v>
      </c>
      <c r="E2996">
        <v>39</v>
      </c>
      <c r="F2996" t="s">
        <v>27</v>
      </c>
      <c r="G2996" t="s">
        <v>14</v>
      </c>
      <c r="H2996">
        <v>2331</v>
      </c>
      <c r="I2996">
        <v>52</v>
      </c>
      <c r="J2996" t="s">
        <v>28</v>
      </c>
      <c r="K2996">
        <v>238542</v>
      </c>
      <c r="L2996" t="s">
        <v>25</v>
      </c>
    </row>
    <row r="2997" spans="1:12" x14ac:dyDescent="0.3">
      <c r="A2997">
        <v>2005</v>
      </c>
      <c r="B2997" t="s">
        <v>12</v>
      </c>
      <c r="C2997">
        <v>10912</v>
      </c>
      <c r="D2997">
        <v>2996.6</v>
      </c>
      <c r="E2997">
        <v>39</v>
      </c>
      <c r="F2997" t="s">
        <v>27</v>
      </c>
      <c r="G2997" t="s">
        <v>14</v>
      </c>
      <c r="H2997">
        <v>2088</v>
      </c>
      <c r="I2997">
        <v>51</v>
      </c>
      <c r="J2997" t="s">
        <v>28</v>
      </c>
      <c r="K2997">
        <v>1516</v>
      </c>
      <c r="L2997" t="s">
        <v>25</v>
      </c>
    </row>
    <row r="2998" spans="1:12" x14ac:dyDescent="0.3">
      <c r="A2998">
        <v>2012</v>
      </c>
      <c r="B2998" t="s">
        <v>12</v>
      </c>
      <c r="C2998">
        <v>51353</v>
      </c>
      <c r="D2998">
        <v>2996.6</v>
      </c>
      <c r="E2998">
        <v>40</v>
      </c>
      <c r="F2998" t="s">
        <v>27</v>
      </c>
      <c r="G2998" t="s">
        <v>14</v>
      </c>
      <c r="H2998">
        <v>2628</v>
      </c>
      <c r="I2998">
        <v>57</v>
      </c>
      <c r="J2998" t="s">
        <v>28</v>
      </c>
      <c r="K2998">
        <v>57259</v>
      </c>
      <c r="L2998" t="s">
        <v>25</v>
      </c>
    </row>
    <row r="2999" spans="1:12" x14ac:dyDescent="0.3">
      <c r="A2999">
        <v>2013</v>
      </c>
      <c r="B2999" t="s">
        <v>12</v>
      </c>
      <c r="C2999">
        <v>142</v>
      </c>
      <c r="D2999">
        <v>2996.6</v>
      </c>
      <c r="E2999">
        <v>40</v>
      </c>
      <c r="F2999" t="s">
        <v>27</v>
      </c>
      <c r="G2999" t="s">
        <v>14</v>
      </c>
      <c r="H2999">
        <v>1939</v>
      </c>
      <c r="I2999">
        <v>57</v>
      </c>
      <c r="J2999" t="s">
        <v>28</v>
      </c>
      <c r="K2999">
        <v>234779</v>
      </c>
      <c r="L2999" t="s">
        <v>25</v>
      </c>
    </row>
    <row r="3000" spans="1:12" x14ac:dyDescent="0.3">
      <c r="A3000">
        <v>2014</v>
      </c>
      <c r="B3000" t="s">
        <v>12</v>
      </c>
      <c r="C3000">
        <v>10505</v>
      </c>
      <c r="D3000">
        <v>3522.8</v>
      </c>
      <c r="E3000">
        <v>40</v>
      </c>
      <c r="F3000" t="s">
        <v>27</v>
      </c>
      <c r="G3000" t="s">
        <v>14</v>
      </c>
      <c r="H3000">
        <v>1871</v>
      </c>
      <c r="I3000">
        <v>60</v>
      </c>
      <c r="J3000" t="s">
        <v>28</v>
      </c>
      <c r="K3000">
        <v>1493</v>
      </c>
      <c r="L3000" t="s">
        <v>25</v>
      </c>
    </row>
    <row r="3001" spans="1:12" x14ac:dyDescent="0.3">
      <c r="A3001">
        <v>2015</v>
      </c>
      <c r="B3001" t="s">
        <v>12</v>
      </c>
      <c r="C3001">
        <v>51040</v>
      </c>
      <c r="D3001">
        <v>3522.8</v>
      </c>
      <c r="E3001">
        <v>41</v>
      </c>
      <c r="F3001" t="s">
        <v>27</v>
      </c>
      <c r="G3001" t="s">
        <v>14</v>
      </c>
      <c r="H3001">
        <v>1868</v>
      </c>
      <c r="I3001">
        <v>57</v>
      </c>
      <c r="J3001" t="s">
        <v>29</v>
      </c>
      <c r="K3001">
        <v>64409</v>
      </c>
      <c r="L3001" t="s">
        <v>25</v>
      </c>
    </row>
    <row r="3002" spans="1:12" x14ac:dyDescent="0.3">
      <c r="A3002">
        <v>2016</v>
      </c>
      <c r="B3002" t="s">
        <v>12</v>
      </c>
      <c r="C3002">
        <v>154</v>
      </c>
      <c r="D3002">
        <v>3522.8</v>
      </c>
      <c r="E3002">
        <v>41</v>
      </c>
      <c r="F3002" t="s">
        <v>59</v>
      </c>
      <c r="G3002" t="s">
        <v>14</v>
      </c>
      <c r="H3002">
        <v>127919</v>
      </c>
      <c r="I3002">
        <v>57</v>
      </c>
      <c r="J3002" t="s">
        <v>29</v>
      </c>
      <c r="K3002">
        <v>249978</v>
      </c>
      <c r="L3002" t="s">
        <v>25</v>
      </c>
    </row>
    <row r="3003" spans="1:12" x14ac:dyDescent="0.3">
      <c r="A3003">
        <v>2017</v>
      </c>
      <c r="B3003" t="s">
        <v>12</v>
      </c>
      <c r="C3003">
        <v>10318</v>
      </c>
      <c r="D3003">
        <v>2903.1</v>
      </c>
      <c r="E3003">
        <v>41</v>
      </c>
      <c r="F3003" t="s">
        <v>59</v>
      </c>
      <c r="G3003" t="s">
        <v>14</v>
      </c>
      <c r="H3003">
        <v>75340</v>
      </c>
      <c r="I3003">
        <v>54</v>
      </c>
      <c r="J3003" t="s">
        <v>29</v>
      </c>
      <c r="K3003">
        <v>637</v>
      </c>
      <c r="L3003" t="s">
        <v>25</v>
      </c>
    </row>
    <row r="3004" spans="1:12" x14ac:dyDescent="0.3">
      <c r="A3004">
        <v>2018</v>
      </c>
      <c r="B3004" t="s">
        <v>17</v>
      </c>
      <c r="C3004">
        <v>48083</v>
      </c>
      <c r="D3004">
        <v>2903.1</v>
      </c>
      <c r="E3004">
        <v>42</v>
      </c>
      <c r="F3004" t="s">
        <v>59</v>
      </c>
      <c r="G3004" t="s">
        <v>14</v>
      </c>
      <c r="H3004">
        <v>29170</v>
      </c>
      <c r="I3004">
        <v>54.5</v>
      </c>
      <c r="J3004" t="s">
        <v>29</v>
      </c>
      <c r="K3004">
        <v>43311</v>
      </c>
      <c r="L3004" t="s">
        <v>25</v>
      </c>
    </row>
    <row r="3005" spans="1:12" x14ac:dyDescent="0.3">
      <c r="A3005">
        <v>2004</v>
      </c>
      <c r="B3005" t="s">
        <v>17</v>
      </c>
      <c r="C3005">
        <v>143</v>
      </c>
      <c r="D3005">
        <v>2903.1</v>
      </c>
      <c r="E3005">
        <v>42</v>
      </c>
      <c r="F3005" t="s">
        <v>59</v>
      </c>
      <c r="G3005" t="s">
        <v>14</v>
      </c>
      <c r="H3005">
        <v>1901</v>
      </c>
      <c r="I3005">
        <v>56.6</v>
      </c>
      <c r="J3005" t="s">
        <v>29</v>
      </c>
      <c r="K3005">
        <v>24848</v>
      </c>
      <c r="L3005" t="s">
        <v>25</v>
      </c>
    </row>
    <row r="3006" spans="1:12" x14ac:dyDescent="0.3">
      <c r="A3006">
        <v>2005</v>
      </c>
      <c r="B3006" t="s">
        <v>17</v>
      </c>
      <c r="C3006">
        <v>9283</v>
      </c>
      <c r="D3006">
        <v>2996.6</v>
      </c>
      <c r="E3006">
        <v>42</v>
      </c>
      <c r="F3006" t="s">
        <v>59</v>
      </c>
      <c r="G3006" t="s">
        <v>14</v>
      </c>
      <c r="H3006">
        <v>972</v>
      </c>
      <c r="I3006">
        <v>55.5</v>
      </c>
      <c r="J3006" t="s">
        <v>29</v>
      </c>
      <c r="K3006">
        <v>761</v>
      </c>
      <c r="L3006" t="s">
        <v>25</v>
      </c>
    </row>
    <row r="3007" spans="1:12" x14ac:dyDescent="0.3">
      <c r="A3007">
        <v>2006</v>
      </c>
      <c r="B3007" t="s">
        <v>17</v>
      </c>
      <c r="C3007">
        <v>47200</v>
      </c>
      <c r="D3007">
        <v>2996.6</v>
      </c>
      <c r="E3007">
        <v>43</v>
      </c>
      <c r="F3007" t="s">
        <v>59</v>
      </c>
      <c r="G3007" t="s">
        <v>14</v>
      </c>
      <c r="H3007">
        <v>874</v>
      </c>
      <c r="I3007">
        <v>58.5</v>
      </c>
      <c r="J3007" t="s">
        <v>29</v>
      </c>
      <c r="K3007">
        <v>45608</v>
      </c>
      <c r="L3007" t="s">
        <v>25</v>
      </c>
    </row>
    <row r="3008" spans="1:12" x14ac:dyDescent="0.3">
      <c r="A3008">
        <v>2007</v>
      </c>
      <c r="B3008" t="s">
        <v>17</v>
      </c>
      <c r="C3008">
        <v>158</v>
      </c>
      <c r="D3008">
        <v>2996.6</v>
      </c>
      <c r="E3008">
        <v>27</v>
      </c>
      <c r="F3008" t="s">
        <v>59</v>
      </c>
      <c r="G3008" t="s">
        <v>14</v>
      </c>
      <c r="H3008">
        <v>592</v>
      </c>
      <c r="I3008">
        <v>59.5</v>
      </c>
      <c r="J3008" t="s">
        <v>29</v>
      </c>
      <c r="K3008">
        <v>234581</v>
      </c>
      <c r="L3008" t="s">
        <v>25</v>
      </c>
    </row>
    <row r="3009" spans="1:12" x14ac:dyDescent="0.3">
      <c r="A3009">
        <v>2008</v>
      </c>
      <c r="B3009" t="s">
        <v>17</v>
      </c>
      <c r="C3009">
        <v>8982</v>
      </c>
      <c r="D3009">
        <v>3522.8</v>
      </c>
      <c r="E3009">
        <v>27</v>
      </c>
      <c r="F3009" t="s">
        <v>59</v>
      </c>
      <c r="G3009" t="s">
        <v>14</v>
      </c>
      <c r="H3009">
        <v>864</v>
      </c>
      <c r="I3009">
        <v>55</v>
      </c>
      <c r="J3009" t="s">
        <v>29</v>
      </c>
      <c r="K3009">
        <v>646</v>
      </c>
      <c r="L3009" t="s">
        <v>25</v>
      </c>
    </row>
    <row r="3010" spans="1:12" x14ac:dyDescent="0.3">
      <c r="A3010">
        <v>2009</v>
      </c>
      <c r="B3010" t="s">
        <v>17</v>
      </c>
      <c r="C3010">
        <v>46990</v>
      </c>
      <c r="D3010">
        <v>3522.8</v>
      </c>
      <c r="E3010">
        <v>27</v>
      </c>
      <c r="F3010" t="s">
        <v>59</v>
      </c>
      <c r="G3010" t="s">
        <v>14</v>
      </c>
      <c r="H3010">
        <v>5373</v>
      </c>
      <c r="I3010">
        <v>53</v>
      </c>
      <c r="J3010" t="s">
        <v>29</v>
      </c>
      <c r="K3010">
        <v>43562</v>
      </c>
      <c r="L3010" t="s">
        <v>25</v>
      </c>
    </row>
    <row r="3011" spans="1:12" x14ac:dyDescent="0.3">
      <c r="A3011">
        <v>2010</v>
      </c>
      <c r="B3011" t="s">
        <v>17</v>
      </c>
      <c r="C3011">
        <v>103</v>
      </c>
      <c r="D3011">
        <v>3522.8</v>
      </c>
      <c r="E3011">
        <v>27</v>
      </c>
      <c r="F3011" t="s">
        <v>59</v>
      </c>
      <c r="G3011" t="s">
        <v>14</v>
      </c>
      <c r="H3011">
        <v>6589</v>
      </c>
      <c r="I3011">
        <v>53.5</v>
      </c>
      <c r="J3011" t="s">
        <v>29</v>
      </c>
      <c r="K3011">
        <v>200000</v>
      </c>
      <c r="L3011" t="s">
        <v>25</v>
      </c>
    </row>
    <row r="3012" spans="1:12" x14ac:dyDescent="0.3">
      <c r="A3012">
        <v>2011</v>
      </c>
      <c r="B3012" t="s">
        <v>17</v>
      </c>
      <c r="C3012">
        <v>8239</v>
      </c>
      <c r="D3012">
        <v>3729.8</v>
      </c>
      <c r="E3012">
        <v>27</v>
      </c>
      <c r="F3012" t="s">
        <v>59</v>
      </c>
      <c r="G3012" t="s">
        <v>14</v>
      </c>
      <c r="H3012">
        <v>5107</v>
      </c>
      <c r="I3012">
        <v>52.5</v>
      </c>
      <c r="J3012" t="s">
        <v>29</v>
      </c>
      <c r="K3012">
        <v>4847</v>
      </c>
      <c r="L3012" t="s">
        <v>25</v>
      </c>
    </row>
    <row r="3013" spans="1:12" x14ac:dyDescent="0.3">
      <c r="A3013">
        <v>2012</v>
      </c>
      <c r="B3013" t="s">
        <v>17</v>
      </c>
      <c r="C3013">
        <v>44563</v>
      </c>
      <c r="D3013">
        <v>3729.8</v>
      </c>
      <c r="E3013">
        <v>27</v>
      </c>
      <c r="F3013" t="s">
        <v>59</v>
      </c>
      <c r="G3013" t="s">
        <v>14</v>
      </c>
      <c r="H3013">
        <v>5518</v>
      </c>
      <c r="I3013">
        <v>56</v>
      </c>
      <c r="J3013" t="s">
        <v>29</v>
      </c>
      <c r="K3013">
        <v>51239</v>
      </c>
      <c r="L3013" t="s">
        <v>25</v>
      </c>
    </row>
    <row r="3014" spans="1:12" x14ac:dyDescent="0.3">
      <c r="A3014">
        <v>2013</v>
      </c>
      <c r="B3014" t="s">
        <v>17</v>
      </c>
      <c r="C3014">
        <v>96</v>
      </c>
      <c r="D3014">
        <v>3729.8</v>
      </c>
      <c r="E3014">
        <v>27.2</v>
      </c>
      <c r="F3014" t="s">
        <v>59</v>
      </c>
      <c r="G3014" t="s">
        <v>14</v>
      </c>
      <c r="H3014">
        <v>4912</v>
      </c>
      <c r="I3014">
        <v>57</v>
      </c>
      <c r="J3014" t="s">
        <v>29</v>
      </c>
      <c r="K3014">
        <v>216396</v>
      </c>
      <c r="L3014" t="s">
        <v>25</v>
      </c>
    </row>
    <row r="3015" spans="1:12" x14ac:dyDescent="0.3">
      <c r="A3015">
        <v>2014</v>
      </c>
      <c r="B3015" t="s">
        <v>17</v>
      </c>
      <c r="C3015">
        <v>6949</v>
      </c>
      <c r="D3015">
        <v>2746.2</v>
      </c>
      <c r="E3015">
        <v>27.2</v>
      </c>
      <c r="F3015" t="s">
        <v>59</v>
      </c>
      <c r="G3015" t="s">
        <v>14</v>
      </c>
      <c r="H3015">
        <v>3830</v>
      </c>
      <c r="I3015">
        <v>57.5</v>
      </c>
      <c r="J3015" t="s">
        <v>29</v>
      </c>
      <c r="K3015">
        <v>2644</v>
      </c>
      <c r="L3015" t="s">
        <v>25</v>
      </c>
    </row>
    <row r="3016" spans="1:12" x14ac:dyDescent="0.3">
      <c r="A3016">
        <v>2015</v>
      </c>
      <c r="B3016" t="s">
        <v>17</v>
      </c>
      <c r="C3016">
        <v>44663</v>
      </c>
      <c r="D3016">
        <v>2746.2</v>
      </c>
      <c r="E3016">
        <v>27.2</v>
      </c>
      <c r="F3016" t="s">
        <v>59</v>
      </c>
      <c r="G3016" t="s">
        <v>14</v>
      </c>
      <c r="H3016">
        <v>4</v>
      </c>
      <c r="I3016">
        <v>57</v>
      </c>
      <c r="J3016" t="s">
        <v>30</v>
      </c>
      <c r="K3016">
        <v>44235</v>
      </c>
      <c r="L3016" t="s">
        <v>25</v>
      </c>
    </row>
    <row r="3017" spans="1:12" x14ac:dyDescent="0.3">
      <c r="A3017">
        <v>2016</v>
      </c>
      <c r="B3017" t="s">
        <v>17</v>
      </c>
      <c r="C3017">
        <v>110</v>
      </c>
      <c r="D3017">
        <v>2746.2</v>
      </c>
      <c r="E3017">
        <v>27</v>
      </c>
      <c r="F3017" t="s">
        <v>59</v>
      </c>
      <c r="G3017" t="s">
        <v>14</v>
      </c>
      <c r="H3017">
        <v>9</v>
      </c>
      <c r="I3017">
        <v>55</v>
      </c>
      <c r="J3017" t="s">
        <v>30</v>
      </c>
      <c r="K3017">
        <v>203317</v>
      </c>
      <c r="L3017" t="s">
        <v>25</v>
      </c>
    </row>
    <row r="3018" spans="1:12" x14ac:dyDescent="0.3">
      <c r="A3018">
        <v>2017</v>
      </c>
      <c r="B3018" t="s">
        <v>17</v>
      </c>
      <c r="C3018">
        <v>6824</v>
      </c>
      <c r="D3018">
        <v>3360</v>
      </c>
      <c r="E3018">
        <v>27</v>
      </c>
      <c r="F3018" t="s">
        <v>59</v>
      </c>
      <c r="G3018" t="s">
        <v>14</v>
      </c>
      <c r="H3018">
        <v>12</v>
      </c>
      <c r="I3018">
        <v>56</v>
      </c>
      <c r="J3018" t="s">
        <v>30</v>
      </c>
      <c r="K3018">
        <v>2134</v>
      </c>
      <c r="L3018" t="s">
        <v>25</v>
      </c>
    </row>
    <row r="3019" spans="1:12" x14ac:dyDescent="0.3">
      <c r="A3019">
        <v>2018</v>
      </c>
      <c r="B3019" t="s">
        <v>17</v>
      </c>
      <c r="C3019">
        <v>43013</v>
      </c>
      <c r="D3019">
        <v>3360</v>
      </c>
      <c r="E3019">
        <v>27</v>
      </c>
      <c r="F3019" t="s">
        <v>59</v>
      </c>
      <c r="G3019" t="s">
        <v>14</v>
      </c>
      <c r="H3019">
        <v>2089</v>
      </c>
      <c r="I3019">
        <v>54</v>
      </c>
      <c r="J3019" t="s">
        <v>30</v>
      </c>
      <c r="K3019">
        <v>45186</v>
      </c>
      <c r="L3019" t="s">
        <v>25</v>
      </c>
    </row>
    <row r="3020" spans="1:12" x14ac:dyDescent="0.3">
      <c r="A3020">
        <v>2019</v>
      </c>
      <c r="B3020" t="s">
        <v>17</v>
      </c>
      <c r="C3020">
        <v>95</v>
      </c>
      <c r="D3020">
        <v>3360</v>
      </c>
      <c r="E3020">
        <v>27</v>
      </c>
      <c r="F3020" t="s">
        <v>59</v>
      </c>
      <c r="G3020" t="s">
        <v>14</v>
      </c>
      <c r="H3020">
        <v>2810</v>
      </c>
      <c r="I3020">
        <v>58</v>
      </c>
      <c r="J3020" t="s">
        <v>30</v>
      </c>
      <c r="K3020">
        <v>238542</v>
      </c>
      <c r="L3020" t="s">
        <v>25</v>
      </c>
    </row>
    <row r="3021" spans="1:12" x14ac:dyDescent="0.3">
      <c r="A3021">
        <v>2004</v>
      </c>
      <c r="B3021" t="s">
        <v>17</v>
      </c>
      <c r="C3021">
        <v>6441</v>
      </c>
      <c r="D3021">
        <v>3605.4</v>
      </c>
      <c r="E3021">
        <v>27</v>
      </c>
      <c r="F3021" t="s">
        <v>59</v>
      </c>
      <c r="G3021" t="s">
        <v>14</v>
      </c>
      <c r="H3021">
        <v>841</v>
      </c>
      <c r="I3021">
        <v>58</v>
      </c>
      <c r="J3021" t="s">
        <v>30</v>
      </c>
      <c r="K3021">
        <v>1516</v>
      </c>
      <c r="L3021" t="s">
        <v>25</v>
      </c>
    </row>
    <row r="3022" spans="1:12" x14ac:dyDescent="0.3">
      <c r="A3022">
        <v>2013</v>
      </c>
      <c r="B3022" t="s">
        <v>17</v>
      </c>
      <c r="C3022">
        <v>4012</v>
      </c>
      <c r="D3022">
        <v>3605.4</v>
      </c>
      <c r="E3022">
        <v>27</v>
      </c>
      <c r="F3022" t="s">
        <v>59</v>
      </c>
      <c r="G3022" t="s">
        <v>14</v>
      </c>
      <c r="H3022">
        <v>3550</v>
      </c>
      <c r="I3022">
        <v>59</v>
      </c>
      <c r="J3022" t="s">
        <v>30</v>
      </c>
      <c r="K3022">
        <v>57259</v>
      </c>
      <c r="L3022" t="s">
        <v>25</v>
      </c>
    </row>
    <row r="3023" spans="1:12" x14ac:dyDescent="0.3">
      <c r="A3023">
        <v>2014</v>
      </c>
      <c r="B3023" t="s">
        <v>17</v>
      </c>
      <c r="C3023">
        <v>4877</v>
      </c>
      <c r="D3023">
        <v>3605.4</v>
      </c>
      <c r="E3023">
        <v>27.2</v>
      </c>
      <c r="F3023" t="s">
        <v>59</v>
      </c>
      <c r="G3023" t="s">
        <v>14</v>
      </c>
      <c r="H3023">
        <v>109</v>
      </c>
      <c r="I3023">
        <v>50</v>
      </c>
      <c r="J3023" t="s">
        <v>30</v>
      </c>
      <c r="K3023">
        <v>234779</v>
      </c>
      <c r="L3023" t="s">
        <v>25</v>
      </c>
    </row>
    <row r="3024" spans="1:12" x14ac:dyDescent="0.3">
      <c r="A3024">
        <v>2015</v>
      </c>
      <c r="B3024" t="s">
        <v>46</v>
      </c>
      <c r="C3024">
        <v>4930</v>
      </c>
      <c r="D3024">
        <v>3512.4</v>
      </c>
      <c r="E3024">
        <v>27.2</v>
      </c>
      <c r="F3024" t="s">
        <v>59</v>
      </c>
      <c r="G3024" t="s">
        <v>14</v>
      </c>
      <c r="H3024">
        <v>3368</v>
      </c>
      <c r="I3024">
        <v>54</v>
      </c>
      <c r="J3024" t="s">
        <v>30</v>
      </c>
      <c r="K3024">
        <v>1493</v>
      </c>
      <c r="L3024" t="s">
        <v>25</v>
      </c>
    </row>
    <row r="3025" spans="1:12" x14ac:dyDescent="0.3">
      <c r="A3025">
        <v>2016</v>
      </c>
      <c r="B3025" t="s">
        <v>46</v>
      </c>
      <c r="C3025">
        <v>4954</v>
      </c>
      <c r="D3025">
        <v>3512.4</v>
      </c>
      <c r="E3025">
        <v>27.2</v>
      </c>
      <c r="F3025" t="s">
        <v>59</v>
      </c>
      <c r="G3025" t="s">
        <v>14</v>
      </c>
      <c r="H3025">
        <v>3671</v>
      </c>
      <c r="I3025">
        <v>53</v>
      </c>
      <c r="J3025" t="s">
        <v>30</v>
      </c>
      <c r="K3025">
        <v>64409</v>
      </c>
      <c r="L3025" t="s">
        <v>25</v>
      </c>
    </row>
    <row r="3026" spans="1:12" x14ac:dyDescent="0.3">
      <c r="A3026">
        <v>2017</v>
      </c>
      <c r="B3026" t="s">
        <v>46</v>
      </c>
      <c r="C3026">
        <v>5019</v>
      </c>
      <c r="D3026">
        <v>3512.4</v>
      </c>
      <c r="E3026">
        <v>27.1</v>
      </c>
      <c r="F3026" t="s">
        <v>59</v>
      </c>
      <c r="G3026" t="s">
        <v>14</v>
      </c>
      <c r="H3026">
        <v>2404</v>
      </c>
      <c r="I3026">
        <v>52</v>
      </c>
      <c r="J3026" t="s">
        <v>30</v>
      </c>
      <c r="K3026">
        <v>249978</v>
      </c>
      <c r="L3026" t="s">
        <v>25</v>
      </c>
    </row>
    <row r="3027" spans="1:12" x14ac:dyDescent="0.3">
      <c r="A3027">
        <v>2018</v>
      </c>
      <c r="B3027" t="s">
        <v>46</v>
      </c>
      <c r="C3027">
        <v>5127</v>
      </c>
      <c r="D3027">
        <v>3296</v>
      </c>
      <c r="E3027">
        <v>27.1</v>
      </c>
      <c r="F3027" t="s">
        <v>59</v>
      </c>
      <c r="G3027" t="s">
        <v>14</v>
      </c>
      <c r="H3027">
        <v>2805</v>
      </c>
      <c r="I3027">
        <v>51</v>
      </c>
      <c r="J3027" t="s">
        <v>30</v>
      </c>
      <c r="K3027">
        <v>637</v>
      </c>
      <c r="L3027" t="s">
        <v>25</v>
      </c>
    </row>
    <row r="3028" spans="1:12" x14ac:dyDescent="0.3">
      <c r="A3028">
        <v>2004</v>
      </c>
      <c r="B3028" t="s">
        <v>46</v>
      </c>
      <c r="C3028">
        <v>5174</v>
      </c>
      <c r="D3028">
        <v>3296</v>
      </c>
      <c r="E3028">
        <v>27.1</v>
      </c>
      <c r="F3028" t="s">
        <v>59</v>
      </c>
      <c r="G3028" t="s">
        <v>14</v>
      </c>
      <c r="H3028">
        <v>2331</v>
      </c>
      <c r="I3028">
        <v>57</v>
      </c>
      <c r="J3028" t="s">
        <v>30</v>
      </c>
      <c r="K3028">
        <v>43311</v>
      </c>
      <c r="L3028" t="s">
        <v>25</v>
      </c>
    </row>
    <row r="3029" spans="1:12" x14ac:dyDescent="0.3">
      <c r="A3029">
        <v>2005</v>
      </c>
      <c r="B3029" t="s">
        <v>46</v>
      </c>
      <c r="C3029">
        <v>5294</v>
      </c>
      <c r="D3029">
        <v>3296</v>
      </c>
      <c r="E3029">
        <v>26.8</v>
      </c>
      <c r="F3029" t="s">
        <v>59</v>
      </c>
      <c r="G3029" t="s">
        <v>14</v>
      </c>
      <c r="H3029">
        <v>2088</v>
      </c>
      <c r="I3029">
        <v>57</v>
      </c>
      <c r="J3029" t="s">
        <v>30</v>
      </c>
      <c r="K3029">
        <v>24848</v>
      </c>
      <c r="L3029" t="s">
        <v>25</v>
      </c>
    </row>
    <row r="3030" spans="1:12" x14ac:dyDescent="0.3">
      <c r="A3030">
        <v>2006</v>
      </c>
      <c r="B3030" t="s">
        <v>46</v>
      </c>
      <c r="C3030">
        <v>5474</v>
      </c>
      <c r="D3030">
        <v>3550</v>
      </c>
      <c r="E3030">
        <v>26.8</v>
      </c>
      <c r="F3030" t="s">
        <v>59</v>
      </c>
      <c r="G3030" t="s">
        <v>14</v>
      </c>
      <c r="H3030">
        <v>2628</v>
      </c>
      <c r="I3030">
        <v>60</v>
      </c>
      <c r="J3030" t="s">
        <v>30</v>
      </c>
      <c r="K3030">
        <v>761</v>
      </c>
      <c r="L3030" t="s">
        <v>25</v>
      </c>
    </row>
    <row r="3031" spans="1:12" x14ac:dyDescent="0.3">
      <c r="A3031">
        <v>2007</v>
      </c>
      <c r="B3031" t="s">
        <v>46</v>
      </c>
      <c r="C3031">
        <v>5864</v>
      </c>
      <c r="D3031">
        <v>3550</v>
      </c>
      <c r="E3031">
        <v>26.8</v>
      </c>
      <c r="F3031" t="s">
        <v>59</v>
      </c>
      <c r="G3031" t="s">
        <v>14</v>
      </c>
      <c r="H3031">
        <v>1939</v>
      </c>
      <c r="I3031">
        <v>57</v>
      </c>
      <c r="J3031" t="s">
        <v>32</v>
      </c>
      <c r="K3031">
        <v>45608</v>
      </c>
      <c r="L3031" t="s">
        <v>25</v>
      </c>
    </row>
    <row r="3032" spans="1:12" x14ac:dyDescent="0.3">
      <c r="A3032">
        <v>2008</v>
      </c>
      <c r="B3032" t="s">
        <v>46</v>
      </c>
      <c r="C3032">
        <v>7028</v>
      </c>
      <c r="D3032">
        <v>3550</v>
      </c>
      <c r="E3032">
        <v>37</v>
      </c>
      <c r="F3032" t="s">
        <v>59</v>
      </c>
      <c r="G3032" t="s">
        <v>14</v>
      </c>
      <c r="H3032">
        <v>1871</v>
      </c>
      <c r="I3032">
        <v>57</v>
      </c>
      <c r="J3032" t="s">
        <v>32</v>
      </c>
      <c r="K3032">
        <v>234581</v>
      </c>
      <c r="L3032" t="s">
        <v>25</v>
      </c>
    </row>
    <row r="3033" spans="1:12" x14ac:dyDescent="0.3">
      <c r="A3033">
        <v>2009</v>
      </c>
      <c r="B3033" t="s">
        <v>46</v>
      </c>
      <c r="C3033">
        <v>7403</v>
      </c>
      <c r="D3033">
        <v>3654</v>
      </c>
      <c r="E3033">
        <v>37</v>
      </c>
      <c r="F3033" t="s">
        <v>13</v>
      </c>
      <c r="G3033" t="s">
        <v>14</v>
      </c>
      <c r="H3033">
        <v>1868</v>
      </c>
      <c r="I3033">
        <v>54</v>
      </c>
      <c r="J3033" t="s">
        <v>32</v>
      </c>
      <c r="K3033">
        <v>646</v>
      </c>
      <c r="L3033" t="s">
        <v>25</v>
      </c>
    </row>
    <row r="3034" spans="1:12" x14ac:dyDescent="0.3">
      <c r="A3034">
        <v>2010</v>
      </c>
      <c r="B3034" t="s">
        <v>46</v>
      </c>
      <c r="C3034">
        <v>7501</v>
      </c>
      <c r="D3034">
        <v>3654</v>
      </c>
      <c r="E3034">
        <v>37</v>
      </c>
      <c r="F3034" t="s">
        <v>13</v>
      </c>
      <c r="G3034" t="s">
        <v>14</v>
      </c>
      <c r="H3034">
        <v>127919</v>
      </c>
      <c r="I3034">
        <v>54.5</v>
      </c>
      <c r="J3034" t="s">
        <v>32</v>
      </c>
      <c r="K3034">
        <v>43562</v>
      </c>
      <c r="L3034" t="s">
        <v>25</v>
      </c>
    </row>
    <row r="3035" spans="1:12" x14ac:dyDescent="0.3">
      <c r="A3035">
        <v>2011</v>
      </c>
      <c r="B3035" t="s">
        <v>46</v>
      </c>
      <c r="C3035">
        <v>7714</v>
      </c>
      <c r="D3035">
        <v>3654</v>
      </c>
      <c r="E3035">
        <v>38</v>
      </c>
      <c r="F3035" t="s">
        <v>13</v>
      </c>
      <c r="G3035" t="s">
        <v>14</v>
      </c>
      <c r="H3035">
        <v>75340</v>
      </c>
      <c r="I3035">
        <v>56.6</v>
      </c>
      <c r="J3035" t="s">
        <v>32</v>
      </c>
      <c r="K3035">
        <v>200000</v>
      </c>
      <c r="L3035" t="s">
        <v>25</v>
      </c>
    </row>
    <row r="3036" spans="1:12" x14ac:dyDescent="0.3">
      <c r="A3036">
        <v>2012</v>
      </c>
      <c r="B3036" t="s">
        <v>46</v>
      </c>
      <c r="C3036">
        <v>7856</v>
      </c>
      <c r="D3036">
        <v>233</v>
      </c>
      <c r="E3036">
        <v>38</v>
      </c>
      <c r="F3036" t="s">
        <v>13</v>
      </c>
      <c r="G3036" t="s">
        <v>14</v>
      </c>
      <c r="H3036">
        <v>29170</v>
      </c>
      <c r="I3036">
        <v>55.5</v>
      </c>
      <c r="J3036" t="s">
        <v>32</v>
      </c>
      <c r="K3036">
        <v>4847</v>
      </c>
      <c r="L3036" t="s">
        <v>25</v>
      </c>
    </row>
    <row r="3037" spans="1:12" x14ac:dyDescent="0.3">
      <c r="A3037">
        <v>2013</v>
      </c>
      <c r="B3037" t="s">
        <v>46</v>
      </c>
      <c r="C3037">
        <v>32</v>
      </c>
      <c r="D3037">
        <v>233</v>
      </c>
      <c r="E3037">
        <v>38</v>
      </c>
      <c r="F3037" t="s">
        <v>13</v>
      </c>
      <c r="G3037" t="s">
        <v>14</v>
      </c>
      <c r="H3037">
        <v>1901</v>
      </c>
      <c r="I3037">
        <v>58.5</v>
      </c>
      <c r="J3037" t="s">
        <v>32</v>
      </c>
      <c r="K3037">
        <v>51239</v>
      </c>
      <c r="L3037" t="s">
        <v>25</v>
      </c>
    </row>
    <row r="3038" spans="1:12" x14ac:dyDescent="0.3">
      <c r="A3038">
        <v>2014</v>
      </c>
      <c r="B3038" t="s">
        <v>46</v>
      </c>
      <c r="C3038">
        <v>1</v>
      </c>
      <c r="D3038">
        <v>233</v>
      </c>
      <c r="E3038">
        <v>39</v>
      </c>
      <c r="F3038" t="s">
        <v>13</v>
      </c>
      <c r="G3038" t="s">
        <v>14</v>
      </c>
      <c r="H3038">
        <v>972</v>
      </c>
      <c r="I3038">
        <v>59.5</v>
      </c>
      <c r="J3038" t="s">
        <v>32</v>
      </c>
      <c r="K3038">
        <v>216396</v>
      </c>
      <c r="L3038" t="s">
        <v>25</v>
      </c>
    </row>
    <row r="3039" spans="1:12" x14ac:dyDescent="0.3">
      <c r="A3039">
        <v>2015</v>
      </c>
      <c r="B3039" t="s">
        <v>46</v>
      </c>
      <c r="C3039">
        <v>30</v>
      </c>
      <c r="D3039">
        <v>234</v>
      </c>
      <c r="E3039">
        <v>39</v>
      </c>
      <c r="F3039" t="s">
        <v>13</v>
      </c>
      <c r="G3039" t="s">
        <v>21</v>
      </c>
      <c r="H3039">
        <v>874</v>
      </c>
      <c r="I3039">
        <v>55</v>
      </c>
      <c r="J3039" t="s">
        <v>32</v>
      </c>
      <c r="K3039">
        <v>2644</v>
      </c>
      <c r="L3039" t="s">
        <v>25</v>
      </c>
    </row>
    <row r="3040" spans="1:12" x14ac:dyDescent="0.3">
      <c r="A3040">
        <v>2016</v>
      </c>
      <c r="B3040" t="s">
        <v>46</v>
      </c>
      <c r="C3040">
        <v>6</v>
      </c>
      <c r="D3040">
        <v>234</v>
      </c>
      <c r="E3040">
        <v>39</v>
      </c>
      <c r="F3040" t="s">
        <v>13</v>
      </c>
      <c r="G3040" t="s">
        <v>21</v>
      </c>
      <c r="H3040">
        <v>592</v>
      </c>
      <c r="I3040">
        <v>53</v>
      </c>
      <c r="J3040" t="s">
        <v>32</v>
      </c>
      <c r="K3040">
        <v>44235</v>
      </c>
      <c r="L3040" t="s">
        <v>25</v>
      </c>
    </row>
    <row r="3041" spans="1:12" x14ac:dyDescent="0.3">
      <c r="A3041">
        <v>2017</v>
      </c>
      <c r="B3041" t="s">
        <v>46</v>
      </c>
      <c r="C3041">
        <v>15</v>
      </c>
      <c r="D3041">
        <v>234</v>
      </c>
      <c r="E3041">
        <v>40</v>
      </c>
      <c r="F3041" t="s">
        <v>13</v>
      </c>
      <c r="G3041" t="s">
        <v>21</v>
      </c>
      <c r="H3041">
        <v>864</v>
      </c>
      <c r="I3041">
        <v>53.5</v>
      </c>
      <c r="J3041" t="s">
        <v>32</v>
      </c>
      <c r="K3041">
        <v>203317</v>
      </c>
      <c r="L3041" t="s">
        <v>25</v>
      </c>
    </row>
    <row r="3042" spans="1:12" x14ac:dyDescent="0.3">
      <c r="A3042">
        <v>2018</v>
      </c>
      <c r="B3042" t="s">
        <v>46</v>
      </c>
      <c r="C3042">
        <v>4</v>
      </c>
      <c r="D3042">
        <v>3105</v>
      </c>
      <c r="E3042">
        <v>40</v>
      </c>
      <c r="F3042" t="s">
        <v>13</v>
      </c>
      <c r="G3042" t="s">
        <v>21</v>
      </c>
      <c r="H3042">
        <v>5373</v>
      </c>
      <c r="I3042">
        <v>52.5</v>
      </c>
      <c r="J3042" t="s">
        <v>32</v>
      </c>
      <c r="K3042">
        <v>2134</v>
      </c>
      <c r="L3042" t="s">
        <v>25</v>
      </c>
    </row>
    <row r="3043" spans="1:12" x14ac:dyDescent="0.3">
      <c r="A3043">
        <v>2013</v>
      </c>
      <c r="B3043" t="s">
        <v>18</v>
      </c>
      <c r="C3043">
        <v>39</v>
      </c>
      <c r="D3043">
        <v>3105</v>
      </c>
      <c r="E3043">
        <v>40</v>
      </c>
      <c r="F3043" t="s">
        <v>13</v>
      </c>
      <c r="G3043" t="s">
        <v>21</v>
      </c>
      <c r="H3043">
        <v>6589</v>
      </c>
      <c r="I3043">
        <v>56</v>
      </c>
      <c r="J3043" t="s">
        <v>32</v>
      </c>
      <c r="K3043">
        <v>45186</v>
      </c>
      <c r="L3043" t="s">
        <v>25</v>
      </c>
    </row>
    <row r="3044" spans="1:12" x14ac:dyDescent="0.3">
      <c r="A3044">
        <v>2014</v>
      </c>
      <c r="B3044" t="s">
        <v>18</v>
      </c>
      <c r="C3044">
        <v>6</v>
      </c>
      <c r="D3044">
        <v>3105</v>
      </c>
      <c r="E3044">
        <v>41</v>
      </c>
      <c r="F3044" t="s">
        <v>13</v>
      </c>
      <c r="G3044" t="s">
        <v>21</v>
      </c>
      <c r="H3044">
        <v>5107</v>
      </c>
      <c r="I3044">
        <v>57</v>
      </c>
      <c r="J3044" t="s">
        <v>32</v>
      </c>
      <c r="K3044">
        <v>238542</v>
      </c>
      <c r="L3044" t="s">
        <v>25</v>
      </c>
    </row>
    <row r="3045" spans="1:12" x14ac:dyDescent="0.3">
      <c r="A3045">
        <v>2015</v>
      </c>
      <c r="B3045" t="s">
        <v>18</v>
      </c>
      <c r="C3045">
        <v>12</v>
      </c>
      <c r="D3045">
        <v>236</v>
      </c>
      <c r="E3045">
        <v>41</v>
      </c>
      <c r="F3045" t="s">
        <v>13</v>
      </c>
      <c r="G3045" t="s">
        <v>21</v>
      </c>
      <c r="H3045">
        <v>5518</v>
      </c>
      <c r="I3045">
        <v>57.5</v>
      </c>
      <c r="J3045" t="s">
        <v>32</v>
      </c>
      <c r="K3045">
        <v>1516</v>
      </c>
      <c r="L3045" t="s">
        <v>25</v>
      </c>
    </row>
    <row r="3046" spans="1:12" x14ac:dyDescent="0.3">
      <c r="A3046">
        <v>2016</v>
      </c>
      <c r="B3046" t="s">
        <v>18</v>
      </c>
      <c r="C3046">
        <v>3</v>
      </c>
      <c r="D3046">
        <v>236</v>
      </c>
      <c r="E3046">
        <v>41</v>
      </c>
      <c r="F3046" t="s">
        <v>13</v>
      </c>
      <c r="G3046" t="s">
        <v>21</v>
      </c>
      <c r="H3046">
        <v>4912</v>
      </c>
      <c r="I3046">
        <v>57</v>
      </c>
      <c r="J3046" t="s">
        <v>33</v>
      </c>
      <c r="K3046">
        <v>200000</v>
      </c>
      <c r="L3046" t="s">
        <v>25</v>
      </c>
    </row>
    <row r="3047" spans="1:12" x14ac:dyDescent="0.3">
      <c r="A3047">
        <v>2017</v>
      </c>
      <c r="B3047" t="s">
        <v>18</v>
      </c>
      <c r="C3047">
        <v>17</v>
      </c>
      <c r="D3047">
        <v>2903.1</v>
      </c>
      <c r="E3047">
        <v>42</v>
      </c>
      <c r="F3047" t="s">
        <v>13</v>
      </c>
      <c r="G3047" t="s">
        <v>21</v>
      </c>
      <c r="H3047">
        <v>3830</v>
      </c>
      <c r="I3047">
        <v>55</v>
      </c>
      <c r="J3047" t="s">
        <v>33</v>
      </c>
      <c r="K3047">
        <v>4847</v>
      </c>
      <c r="L3047" t="s">
        <v>25</v>
      </c>
    </row>
    <row r="3048" spans="1:12" x14ac:dyDescent="0.3">
      <c r="A3048">
        <v>2018</v>
      </c>
      <c r="B3048" t="s">
        <v>18</v>
      </c>
      <c r="C3048">
        <v>3</v>
      </c>
      <c r="D3048">
        <v>2903.1</v>
      </c>
      <c r="E3048">
        <v>42</v>
      </c>
      <c r="F3048" t="s">
        <v>13</v>
      </c>
      <c r="G3048" t="s">
        <v>21</v>
      </c>
      <c r="H3048">
        <v>4</v>
      </c>
      <c r="I3048">
        <v>56</v>
      </c>
      <c r="J3048" t="s">
        <v>33</v>
      </c>
      <c r="K3048">
        <v>51239</v>
      </c>
      <c r="L3048" t="s">
        <v>25</v>
      </c>
    </row>
    <row r="3049" spans="1:12" x14ac:dyDescent="0.3">
      <c r="A3049">
        <v>2004</v>
      </c>
      <c r="B3049" t="s">
        <v>18</v>
      </c>
      <c r="C3049">
        <v>9</v>
      </c>
      <c r="D3049">
        <v>2903.1</v>
      </c>
      <c r="E3049">
        <v>42</v>
      </c>
      <c r="F3049" t="s">
        <v>13</v>
      </c>
      <c r="G3049" t="s">
        <v>21</v>
      </c>
      <c r="H3049">
        <v>9</v>
      </c>
      <c r="I3049">
        <v>54</v>
      </c>
      <c r="J3049" t="s">
        <v>33</v>
      </c>
      <c r="K3049">
        <v>216396</v>
      </c>
      <c r="L3049" t="s">
        <v>25</v>
      </c>
    </row>
    <row r="3050" spans="1:12" x14ac:dyDescent="0.3">
      <c r="A3050">
        <v>2005</v>
      </c>
      <c r="B3050" t="s">
        <v>18</v>
      </c>
      <c r="C3050">
        <v>21</v>
      </c>
      <c r="D3050">
        <v>2996.6</v>
      </c>
      <c r="E3050">
        <v>43</v>
      </c>
      <c r="F3050" t="s">
        <v>13</v>
      </c>
      <c r="G3050" t="s">
        <v>21</v>
      </c>
      <c r="H3050">
        <v>12</v>
      </c>
      <c r="I3050">
        <v>58</v>
      </c>
      <c r="J3050" t="s">
        <v>33</v>
      </c>
      <c r="K3050">
        <v>2644</v>
      </c>
      <c r="L3050" t="s">
        <v>25</v>
      </c>
    </row>
    <row r="3051" spans="1:12" x14ac:dyDescent="0.3">
      <c r="A3051">
        <v>2006</v>
      </c>
      <c r="B3051" t="s">
        <v>18</v>
      </c>
      <c r="C3051">
        <v>11</v>
      </c>
      <c r="D3051">
        <v>2996.6</v>
      </c>
      <c r="E3051">
        <v>43</v>
      </c>
      <c r="F3051" t="s">
        <v>13</v>
      </c>
      <c r="G3051" t="s">
        <v>21</v>
      </c>
      <c r="H3051">
        <v>2089</v>
      </c>
      <c r="I3051">
        <v>58</v>
      </c>
      <c r="J3051" t="s">
        <v>33</v>
      </c>
      <c r="K3051">
        <v>44235</v>
      </c>
      <c r="L3051" t="s">
        <v>25</v>
      </c>
    </row>
    <row r="3052" spans="1:12" x14ac:dyDescent="0.3">
      <c r="A3052">
        <v>2007</v>
      </c>
      <c r="B3052" t="s">
        <v>18</v>
      </c>
      <c r="C3052">
        <v>4</v>
      </c>
      <c r="D3052">
        <v>2996.6</v>
      </c>
      <c r="E3052">
        <v>128</v>
      </c>
      <c r="F3052" t="s">
        <v>13</v>
      </c>
      <c r="G3052" t="s">
        <v>21</v>
      </c>
      <c r="H3052">
        <v>2810</v>
      </c>
      <c r="I3052">
        <v>59</v>
      </c>
      <c r="J3052" t="s">
        <v>33</v>
      </c>
      <c r="K3052">
        <v>203317</v>
      </c>
      <c r="L3052" t="s">
        <v>25</v>
      </c>
    </row>
    <row r="3053" spans="1:12" x14ac:dyDescent="0.3">
      <c r="A3053">
        <v>2008</v>
      </c>
      <c r="B3053" t="s">
        <v>18</v>
      </c>
      <c r="C3053">
        <v>15</v>
      </c>
      <c r="D3053">
        <v>3522.8</v>
      </c>
      <c r="E3053">
        <v>129</v>
      </c>
      <c r="F3053" t="s">
        <v>13</v>
      </c>
      <c r="G3053" t="s">
        <v>21</v>
      </c>
      <c r="H3053">
        <v>841</v>
      </c>
      <c r="I3053">
        <v>50</v>
      </c>
      <c r="J3053" t="s">
        <v>33</v>
      </c>
      <c r="K3053">
        <v>2134</v>
      </c>
      <c r="L3053" t="s">
        <v>25</v>
      </c>
    </row>
    <row r="3054" spans="1:12" x14ac:dyDescent="0.3">
      <c r="A3054">
        <v>2009</v>
      </c>
      <c r="B3054" t="s">
        <v>18</v>
      </c>
      <c r="C3054">
        <v>8</v>
      </c>
      <c r="D3054">
        <v>3522.8</v>
      </c>
      <c r="E3054">
        <v>130</v>
      </c>
      <c r="F3054" t="s">
        <v>13</v>
      </c>
      <c r="G3054" t="s">
        <v>21</v>
      </c>
      <c r="H3054">
        <v>3550</v>
      </c>
      <c r="I3054">
        <v>54</v>
      </c>
      <c r="J3054" t="s">
        <v>33</v>
      </c>
      <c r="K3054">
        <v>45186</v>
      </c>
      <c r="L3054" t="s">
        <v>25</v>
      </c>
    </row>
    <row r="3055" spans="1:12" x14ac:dyDescent="0.3">
      <c r="A3055">
        <v>2010</v>
      </c>
      <c r="B3055" t="s">
        <v>18</v>
      </c>
      <c r="C3055">
        <v>29</v>
      </c>
      <c r="D3055">
        <v>3522.8</v>
      </c>
      <c r="E3055">
        <v>131</v>
      </c>
      <c r="F3055" t="s">
        <v>13</v>
      </c>
      <c r="G3055" t="s">
        <v>21</v>
      </c>
      <c r="H3055">
        <v>109</v>
      </c>
      <c r="I3055">
        <v>53</v>
      </c>
      <c r="J3055" t="s">
        <v>33</v>
      </c>
      <c r="K3055">
        <v>238542</v>
      </c>
      <c r="L3055" t="s">
        <v>25</v>
      </c>
    </row>
    <row r="3056" spans="1:12" x14ac:dyDescent="0.3">
      <c r="A3056">
        <v>2011</v>
      </c>
      <c r="B3056" t="s">
        <v>18</v>
      </c>
      <c r="C3056">
        <v>1</v>
      </c>
      <c r="D3056">
        <v>2903.1</v>
      </c>
      <c r="E3056">
        <v>132</v>
      </c>
      <c r="F3056" t="s">
        <v>13</v>
      </c>
      <c r="G3056" t="s">
        <v>21</v>
      </c>
      <c r="H3056">
        <v>3368</v>
      </c>
      <c r="I3056">
        <v>52</v>
      </c>
      <c r="J3056" t="s">
        <v>33</v>
      </c>
      <c r="K3056">
        <v>1516</v>
      </c>
      <c r="L3056" t="s">
        <v>25</v>
      </c>
    </row>
    <row r="3057" spans="1:12" x14ac:dyDescent="0.3">
      <c r="A3057">
        <v>2012</v>
      </c>
      <c r="B3057" t="s">
        <v>18</v>
      </c>
      <c r="C3057">
        <v>13736</v>
      </c>
      <c r="D3057">
        <v>2903.1</v>
      </c>
      <c r="E3057">
        <v>133</v>
      </c>
      <c r="F3057" t="s">
        <v>13</v>
      </c>
      <c r="G3057" t="s">
        <v>21</v>
      </c>
      <c r="H3057">
        <v>3671</v>
      </c>
      <c r="I3057">
        <v>51</v>
      </c>
      <c r="J3057" t="s">
        <v>33</v>
      </c>
      <c r="K3057">
        <v>57259</v>
      </c>
      <c r="L3057" t="s">
        <v>25</v>
      </c>
    </row>
    <row r="3058" spans="1:12" x14ac:dyDescent="0.3">
      <c r="A3058">
        <v>2013</v>
      </c>
      <c r="B3058" t="s">
        <v>18</v>
      </c>
      <c r="C3058">
        <v>14003</v>
      </c>
      <c r="D3058">
        <v>2903.1</v>
      </c>
      <c r="E3058">
        <v>134</v>
      </c>
      <c r="F3058" t="s">
        <v>13</v>
      </c>
      <c r="G3058" t="s">
        <v>21</v>
      </c>
      <c r="H3058">
        <v>2404</v>
      </c>
      <c r="I3058">
        <v>57</v>
      </c>
      <c r="J3058" t="s">
        <v>33</v>
      </c>
      <c r="K3058">
        <v>234779</v>
      </c>
      <c r="L3058" t="s">
        <v>25</v>
      </c>
    </row>
    <row r="3059" spans="1:12" x14ac:dyDescent="0.3">
      <c r="A3059">
        <v>2014</v>
      </c>
      <c r="B3059" t="s">
        <v>18</v>
      </c>
      <c r="C3059">
        <v>14179</v>
      </c>
      <c r="D3059">
        <v>2996.6</v>
      </c>
      <c r="E3059">
        <v>135</v>
      </c>
      <c r="F3059" t="s">
        <v>13</v>
      </c>
      <c r="G3059" t="s">
        <v>21</v>
      </c>
      <c r="H3059">
        <v>2805</v>
      </c>
      <c r="I3059">
        <v>57</v>
      </c>
      <c r="J3059" t="s">
        <v>33</v>
      </c>
      <c r="K3059">
        <v>1493</v>
      </c>
      <c r="L3059" t="s">
        <v>25</v>
      </c>
    </row>
    <row r="3060" spans="1:12" x14ac:dyDescent="0.3">
      <c r="A3060">
        <v>2015</v>
      </c>
      <c r="B3060" t="s">
        <v>18</v>
      </c>
      <c r="C3060">
        <v>14319</v>
      </c>
      <c r="D3060">
        <v>2996.6</v>
      </c>
      <c r="E3060">
        <v>136</v>
      </c>
      <c r="F3060" t="s">
        <v>13</v>
      </c>
      <c r="G3060" t="s">
        <v>21</v>
      </c>
      <c r="H3060">
        <v>2331</v>
      </c>
      <c r="I3060">
        <v>60</v>
      </c>
      <c r="J3060" t="s">
        <v>33</v>
      </c>
      <c r="K3060">
        <v>64409</v>
      </c>
      <c r="L3060" t="s">
        <v>25</v>
      </c>
    </row>
    <row r="3061" spans="1:12" x14ac:dyDescent="0.3">
      <c r="A3061">
        <v>2016</v>
      </c>
      <c r="B3061" t="s">
        <v>18</v>
      </c>
      <c r="C3061">
        <v>14464</v>
      </c>
      <c r="D3061">
        <v>2996.6</v>
      </c>
      <c r="E3061">
        <v>137</v>
      </c>
      <c r="F3061" t="s">
        <v>13</v>
      </c>
      <c r="G3061" t="s">
        <v>21</v>
      </c>
      <c r="H3061">
        <v>2088</v>
      </c>
      <c r="I3061">
        <v>57</v>
      </c>
      <c r="J3061" t="s">
        <v>35</v>
      </c>
      <c r="K3061">
        <v>249978</v>
      </c>
      <c r="L3061" t="s">
        <v>25</v>
      </c>
    </row>
    <row r="3062" spans="1:12" x14ac:dyDescent="0.3">
      <c r="A3062">
        <v>2017</v>
      </c>
      <c r="B3062" t="s">
        <v>18</v>
      </c>
      <c r="C3062">
        <v>14876</v>
      </c>
      <c r="D3062">
        <v>3522.8</v>
      </c>
      <c r="E3062">
        <v>138</v>
      </c>
      <c r="F3062" t="s">
        <v>13</v>
      </c>
      <c r="G3062" t="s">
        <v>21</v>
      </c>
      <c r="H3062">
        <v>2628</v>
      </c>
      <c r="I3062">
        <v>57</v>
      </c>
      <c r="J3062" t="s">
        <v>35</v>
      </c>
      <c r="K3062">
        <v>637</v>
      </c>
      <c r="L3062" t="s">
        <v>25</v>
      </c>
    </row>
    <row r="3063" spans="1:12" x14ac:dyDescent="0.3">
      <c r="A3063">
        <v>2018</v>
      </c>
      <c r="B3063" t="s">
        <v>18</v>
      </c>
      <c r="C3063">
        <v>14976</v>
      </c>
      <c r="D3063">
        <v>3522.8</v>
      </c>
      <c r="E3063">
        <v>139</v>
      </c>
      <c r="F3063" t="s">
        <v>24</v>
      </c>
      <c r="G3063" t="s">
        <v>21</v>
      </c>
      <c r="H3063">
        <v>1939</v>
      </c>
      <c r="I3063">
        <v>54</v>
      </c>
      <c r="J3063" t="s">
        <v>35</v>
      </c>
      <c r="K3063">
        <v>43311</v>
      </c>
      <c r="L3063" t="s">
        <v>25</v>
      </c>
    </row>
    <row r="3064" spans="1:12" x14ac:dyDescent="0.3">
      <c r="A3064">
        <v>2015</v>
      </c>
      <c r="B3064" t="s">
        <v>18</v>
      </c>
      <c r="C3064">
        <v>15009</v>
      </c>
      <c r="D3064">
        <v>3522.8</v>
      </c>
      <c r="E3064">
        <v>140</v>
      </c>
      <c r="F3064" t="s">
        <v>24</v>
      </c>
      <c r="G3064" t="s">
        <v>21</v>
      </c>
      <c r="H3064">
        <v>1871</v>
      </c>
      <c r="I3064">
        <v>54.5</v>
      </c>
      <c r="J3064" t="s">
        <v>35</v>
      </c>
      <c r="K3064">
        <v>24848</v>
      </c>
      <c r="L3064" t="s">
        <v>25</v>
      </c>
    </row>
    <row r="3065" spans="1:12" x14ac:dyDescent="0.3">
      <c r="A3065">
        <v>2016</v>
      </c>
      <c r="B3065" t="s">
        <v>18</v>
      </c>
      <c r="C3065">
        <v>15114</v>
      </c>
      <c r="D3065">
        <v>3729.8</v>
      </c>
      <c r="E3065">
        <v>141</v>
      </c>
      <c r="F3065" t="s">
        <v>24</v>
      </c>
      <c r="G3065" t="s">
        <v>21</v>
      </c>
      <c r="H3065">
        <v>1868</v>
      </c>
      <c r="I3065">
        <v>56.6</v>
      </c>
      <c r="J3065" t="s">
        <v>35</v>
      </c>
      <c r="K3065">
        <v>761</v>
      </c>
      <c r="L3065" t="s">
        <v>25</v>
      </c>
    </row>
    <row r="3066" spans="1:12" x14ac:dyDescent="0.3">
      <c r="A3066">
        <v>2017</v>
      </c>
      <c r="B3066" t="s">
        <v>18</v>
      </c>
      <c r="C3066">
        <v>16224</v>
      </c>
      <c r="D3066">
        <v>3729.8</v>
      </c>
      <c r="E3066">
        <v>142</v>
      </c>
      <c r="F3066" t="s">
        <v>24</v>
      </c>
      <c r="G3066" t="s">
        <v>21</v>
      </c>
      <c r="H3066">
        <v>127919</v>
      </c>
      <c r="I3066">
        <v>55.5</v>
      </c>
      <c r="J3066" t="s">
        <v>35</v>
      </c>
      <c r="K3066">
        <v>45608</v>
      </c>
      <c r="L3066" t="s">
        <v>25</v>
      </c>
    </row>
    <row r="3067" spans="1:12" x14ac:dyDescent="0.3">
      <c r="A3067">
        <v>2018</v>
      </c>
      <c r="B3067" t="s">
        <v>18</v>
      </c>
      <c r="C3067">
        <v>17095</v>
      </c>
      <c r="D3067">
        <v>3729.8</v>
      </c>
      <c r="E3067">
        <v>143</v>
      </c>
      <c r="F3067" t="s">
        <v>24</v>
      </c>
      <c r="G3067" t="s">
        <v>21</v>
      </c>
      <c r="H3067">
        <v>75340</v>
      </c>
      <c r="I3067">
        <v>58.5</v>
      </c>
      <c r="J3067" t="s">
        <v>35</v>
      </c>
      <c r="K3067">
        <v>234581</v>
      </c>
      <c r="L3067" t="s">
        <v>25</v>
      </c>
    </row>
    <row r="3068" spans="1:12" x14ac:dyDescent="0.3">
      <c r="A3068">
        <v>2013</v>
      </c>
      <c r="B3068" t="s">
        <v>18</v>
      </c>
      <c r="C3068">
        <v>17512</v>
      </c>
      <c r="D3068">
        <v>2746.2</v>
      </c>
      <c r="E3068">
        <v>144</v>
      </c>
      <c r="F3068" t="s">
        <v>24</v>
      </c>
      <c r="G3068" t="s">
        <v>21</v>
      </c>
      <c r="H3068">
        <v>29170</v>
      </c>
      <c r="I3068">
        <v>59.5</v>
      </c>
      <c r="J3068" t="s">
        <v>35</v>
      </c>
      <c r="K3068">
        <v>646</v>
      </c>
      <c r="L3068" t="s">
        <v>25</v>
      </c>
    </row>
    <row r="3069" spans="1:12" x14ac:dyDescent="0.3">
      <c r="A3069">
        <v>2014</v>
      </c>
      <c r="B3069" t="s">
        <v>18</v>
      </c>
      <c r="C3069">
        <v>17587</v>
      </c>
      <c r="D3069">
        <v>2746.2</v>
      </c>
      <c r="E3069">
        <v>145</v>
      </c>
      <c r="F3069" t="s">
        <v>24</v>
      </c>
      <c r="G3069" t="s">
        <v>21</v>
      </c>
      <c r="H3069">
        <v>1901</v>
      </c>
      <c r="I3069">
        <v>55</v>
      </c>
      <c r="J3069" t="s">
        <v>35</v>
      </c>
      <c r="K3069">
        <v>43562</v>
      </c>
      <c r="L3069" t="s">
        <v>25</v>
      </c>
    </row>
    <row r="3070" spans="1:12" x14ac:dyDescent="0.3">
      <c r="A3070">
        <v>2015</v>
      </c>
      <c r="B3070" t="s">
        <v>18</v>
      </c>
      <c r="C3070">
        <v>17771</v>
      </c>
      <c r="D3070">
        <v>2746.2</v>
      </c>
      <c r="E3070">
        <v>146</v>
      </c>
      <c r="F3070" t="s">
        <v>24</v>
      </c>
      <c r="G3070" t="s">
        <v>21</v>
      </c>
      <c r="H3070">
        <v>972</v>
      </c>
      <c r="I3070">
        <v>53</v>
      </c>
      <c r="J3070" t="s">
        <v>35</v>
      </c>
      <c r="K3070">
        <v>200000</v>
      </c>
      <c r="L3070" t="s">
        <v>25</v>
      </c>
    </row>
    <row r="3071" spans="1:12" x14ac:dyDescent="0.3">
      <c r="A3071">
        <v>2016</v>
      </c>
      <c r="B3071" t="s">
        <v>18</v>
      </c>
      <c r="C3071">
        <v>17825</v>
      </c>
      <c r="D3071">
        <v>3360</v>
      </c>
      <c r="E3071">
        <v>147</v>
      </c>
      <c r="F3071" t="s">
        <v>24</v>
      </c>
      <c r="G3071" t="s">
        <v>21</v>
      </c>
      <c r="H3071">
        <v>874</v>
      </c>
      <c r="I3071">
        <v>53.5</v>
      </c>
      <c r="J3071" t="s">
        <v>35</v>
      </c>
      <c r="K3071">
        <v>4847</v>
      </c>
      <c r="L3071" t="s">
        <v>25</v>
      </c>
    </row>
    <row r="3072" spans="1:12" x14ac:dyDescent="0.3">
      <c r="A3072">
        <v>2017</v>
      </c>
      <c r="B3072" t="s">
        <v>18</v>
      </c>
      <c r="C3072">
        <v>3147</v>
      </c>
      <c r="D3072">
        <v>3360</v>
      </c>
      <c r="E3072">
        <v>148</v>
      </c>
      <c r="F3072" t="s">
        <v>24</v>
      </c>
      <c r="G3072" t="s">
        <v>21</v>
      </c>
      <c r="H3072">
        <v>592</v>
      </c>
      <c r="I3072">
        <v>52.5</v>
      </c>
      <c r="J3072" t="s">
        <v>35</v>
      </c>
      <c r="K3072">
        <v>51239</v>
      </c>
      <c r="L3072" t="s">
        <v>25</v>
      </c>
    </row>
    <row r="3073" spans="1:12" x14ac:dyDescent="0.3">
      <c r="A3073">
        <v>2018</v>
      </c>
      <c r="B3073" t="s">
        <v>18</v>
      </c>
      <c r="C3073">
        <v>2578</v>
      </c>
      <c r="D3073">
        <v>3360</v>
      </c>
      <c r="E3073">
        <v>149</v>
      </c>
      <c r="F3073" t="s">
        <v>24</v>
      </c>
      <c r="G3073" t="s">
        <v>21</v>
      </c>
      <c r="H3073">
        <v>864</v>
      </c>
      <c r="I3073">
        <v>56</v>
      </c>
      <c r="J3073" t="s">
        <v>35</v>
      </c>
      <c r="K3073">
        <v>216396</v>
      </c>
      <c r="L3073" t="s">
        <v>25</v>
      </c>
    </row>
    <row r="3074" spans="1:12" x14ac:dyDescent="0.3">
      <c r="A3074">
        <v>2004</v>
      </c>
      <c r="B3074" t="s">
        <v>18</v>
      </c>
      <c r="C3074">
        <v>1591</v>
      </c>
      <c r="D3074">
        <v>3605.4</v>
      </c>
      <c r="E3074">
        <v>150</v>
      </c>
      <c r="F3074" t="s">
        <v>24</v>
      </c>
      <c r="G3074" t="s">
        <v>21</v>
      </c>
      <c r="H3074">
        <v>5373</v>
      </c>
      <c r="I3074">
        <v>57</v>
      </c>
      <c r="J3074" t="s">
        <v>35</v>
      </c>
      <c r="K3074">
        <v>2644</v>
      </c>
      <c r="L3074" t="s">
        <v>25</v>
      </c>
    </row>
    <row r="3075" spans="1:12" x14ac:dyDescent="0.3">
      <c r="A3075">
        <v>2005</v>
      </c>
      <c r="B3075" t="s">
        <v>20</v>
      </c>
      <c r="C3075">
        <v>1298</v>
      </c>
      <c r="D3075">
        <v>3605.4</v>
      </c>
      <c r="E3075">
        <v>151</v>
      </c>
      <c r="F3075" t="s">
        <v>24</v>
      </c>
      <c r="G3075" t="s">
        <v>21</v>
      </c>
      <c r="H3075">
        <v>6589</v>
      </c>
      <c r="I3075">
        <v>57.5</v>
      </c>
      <c r="J3075" t="s">
        <v>35</v>
      </c>
      <c r="K3075">
        <v>44235</v>
      </c>
      <c r="L3075" t="s">
        <v>25</v>
      </c>
    </row>
    <row r="3076" spans="1:12" x14ac:dyDescent="0.3">
      <c r="A3076">
        <v>2006</v>
      </c>
      <c r="B3076" t="s">
        <v>20</v>
      </c>
      <c r="C3076">
        <v>4</v>
      </c>
      <c r="D3076">
        <v>2903.1</v>
      </c>
      <c r="E3076">
        <v>152</v>
      </c>
      <c r="F3076" t="s">
        <v>24</v>
      </c>
      <c r="G3076" t="s">
        <v>21</v>
      </c>
      <c r="H3076">
        <v>5107</v>
      </c>
      <c r="I3076">
        <v>57</v>
      </c>
      <c r="J3076" t="s">
        <v>37</v>
      </c>
      <c r="K3076">
        <v>203317</v>
      </c>
      <c r="L3076" t="s">
        <v>25</v>
      </c>
    </row>
    <row r="3077" spans="1:12" x14ac:dyDescent="0.3">
      <c r="A3077">
        <v>2007</v>
      </c>
      <c r="B3077" t="s">
        <v>20</v>
      </c>
      <c r="C3077">
        <v>1122</v>
      </c>
      <c r="D3077">
        <v>2903.1</v>
      </c>
      <c r="E3077">
        <v>153</v>
      </c>
      <c r="F3077" t="s">
        <v>24</v>
      </c>
      <c r="G3077" t="s">
        <v>21</v>
      </c>
      <c r="H3077">
        <v>5518</v>
      </c>
      <c r="I3077">
        <v>55</v>
      </c>
      <c r="J3077" t="s">
        <v>37</v>
      </c>
      <c r="K3077">
        <v>2134</v>
      </c>
      <c r="L3077" t="s">
        <v>25</v>
      </c>
    </row>
    <row r="3078" spans="1:12" x14ac:dyDescent="0.3">
      <c r="A3078">
        <v>2008</v>
      </c>
      <c r="B3078" t="s">
        <v>20</v>
      </c>
      <c r="C3078">
        <v>917</v>
      </c>
      <c r="D3078">
        <v>2903.1</v>
      </c>
      <c r="E3078">
        <v>154</v>
      </c>
      <c r="F3078" t="s">
        <v>24</v>
      </c>
      <c r="G3078" t="s">
        <v>21</v>
      </c>
      <c r="H3078">
        <v>4912</v>
      </c>
      <c r="I3078">
        <v>56</v>
      </c>
      <c r="J3078" t="s">
        <v>37</v>
      </c>
      <c r="K3078">
        <v>45186</v>
      </c>
      <c r="L3078" t="s">
        <v>25</v>
      </c>
    </row>
    <row r="3079" spans="1:12" x14ac:dyDescent="0.3">
      <c r="A3079">
        <v>2009</v>
      </c>
      <c r="B3079" t="s">
        <v>20</v>
      </c>
      <c r="C3079">
        <v>819</v>
      </c>
      <c r="D3079">
        <v>2996.6</v>
      </c>
      <c r="E3079">
        <v>155</v>
      </c>
      <c r="F3079" t="s">
        <v>24</v>
      </c>
      <c r="G3079" t="s">
        <v>21</v>
      </c>
      <c r="H3079">
        <v>3830</v>
      </c>
      <c r="I3079">
        <v>54</v>
      </c>
      <c r="J3079" t="s">
        <v>37</v>
      </c>
      <c r="K3079">
        <v>238542</v>
      </c>
      <c r="L3079" t="s">
        <v>25</v>
      </c>
    </row>
    <row r="3080" spans="1:12" x14ac:dyDescent="0.3">
      <c r="A3080">
        <v>2010</v>
      </c>
      <c r="B3080" t="s">
        <v>20</v>
      </c>
      <c r="C3080">
        <v>619</v>
      </c>
      <c r="D3080">
        <v>2996.6</v>
      </c>
      <c r="E3080">
        <v>156</v>
      </c>
      <c r="F3080" t="s">
        <v>24</v>
      </c>
      <c r="G3080" t="s">
        <v>21</v>
      </c>
      <c r="H3080">
        <v>313547</v>
      </c>
      <c r="I3080">
        <v>58</v>
      </c>
      <c r="J3080" t="s">
        <v>37</v>
      </c>
      <c r="K3080">
        <v>1516</v>
      </c>
      <c r="L3080" t="s">
        <v>25</v>
      </c>
    </row>
    <row r="3081" spans="1:12" x14ac:dyDescent="0.3">
      <c r="A3081">
        <v>2011</v>
      </c>
      <c r="B3081" t="s">
        <v>20</v>
      </c>
      <c r="C3081">
        <v>391</v>
      </c>
      <c r="D3081">
        <v>2996.6</v>
      </c>
      <c r="E3081">
        <v>157</v>
      </c>
      <c r="F3081" t="s">
        <v>24</v>
      </c>
      <c r="G3081" t="s">
        <v>21</v>
      </c>
      <c r="H3081">
        <v>2783</v>
      </c>
      <c r="I3081">
        <v>58</v>
      </c>
      <c r="J3081" t="s">
        <v>37</v>
      </c>
      <c r="K3081">
        <v>57259</v>
      </c>
      <c r="L3081" t="s">
        <v>25</v>
      </c>
    </row>
    <row r="3082" spans="1:12" x14ac:dyDescent="0.3">
      <c r="A3082">
        <v>2012</v>
      </c>
      <c r="B3082" t="s">
        <v>20</v>
      </c>
      <c r="C3082">
        <v>211</v>
      </c>
      <c r="D3082">
        <v>3522.8</v>
      </c>
      <c r="E3082">
        <v>158</v>
      </c>
      <c r="F3082" t="s">
        <v>24</v>
      </c>
      <c r="G3082" t="s">
        <v>26</v>
      </c>
      <c r="H3082">
        <v>1533</v>
      </c>
      <c r="I3082">
        <v>59</v>
      </c>
      <c r="J3082" t="s">
        <v>37</v>
      </c>
      <c r="K3082">
        <v>234779</v>
      </c>
      <c r="L3082" t="s">
        <v>25</v>
      </c>
    </row>
    <row r="3083" spans="1:12" x14ac:dyDescent="0.3">
      <c r="A3083">
        <v>2013</v>
      </c>
      <c r="B3083" t="s">
        <v>20</v>
      </c>
      <c r="C3083">
        <v>153</v>
      </c>
      <c r="D3083">
        <v>3522.8</v>
      </c>
      <c r="E3083">
        <v>159</v>
      </c>
      <c r="F3083" t="s">
        <v>24</v>
      </c>
      <c r="G3083" t="s">
        <v>26</v>
      </c>
      <c r="H3083">
        <v>1647</v>
      </c>
      <c r="I3083">
        <v>50</v>
      </c>
      <c r="J3083" t="s">
        <v>37</v>
      </c>
      <c r="K3083">
        <v>1493</v>
      </c>
      <c r="L3083" t="s">
        <v>25</v>
      </c>
    </row>
    <row r="3084" spans="1:12" x14ac:dyDescent="0.3">
      <c r="A3084">
        <v>2014</v>
      </c>
      <c r="B3084" t="s">
        <v>20</v>
      </c>
      <c r="C3084">
        <v>111</v>
      </c>
      <c r="D3084">
        <v>3522.8</v>
      </c>
      <c r="E3084">
        <v>160</v>
      </c>
      <c r="F3084" t="s">
        <v>24</v>
      </c>
      <c r="G3084" t="s">
        <v>26</v>
      </c>
      <c r="H3084">
        <v>975</v>
      </c>
      <c r="I3084">
        <v>54</v>
      </c>
      <c r="J3084" t="s">
        <v>37</v>
      </c>
      <c r="K3084">
        <v>64409</v>
      </c>
      <c r="L3084" t="s">
        <v>25</v>
      </c>
    </row>
    <row r="3085" spans="1:12" x14ac:dyDescent="0.3">
      <c r="A3085">
        <v>2015</v>
      </c>
      <c r="B3085" t="s">
        <v>20</v>
      </c>
      <c r="C3085">
        <v>76</v>
      </c>
      <c r="D3085">
        <v>3729.8</v>
      </c>
      <c r="E3085">
        <v>161</v>
      </c>
      <c r="F3085" t="s">
        <v>24</v>
      </c>
      <c r="G3085" t="s">
        <v>26</v>
      </c>
      <c r="H3085">
        <v>2</v>
      </c>
      <c r="I3085">
        <v>53</v>
      </c>
      <c r="J3085" t="s">
        <v>37</v>
      </c>
      <c r="K3085">
        <v>249978</v>
      </c>
      <c r="L3085" t="s">
        <v>25</v>
      </c>
    </row>
    <row r="3086" spans="1:12" x14ac:dyDescent="0.3">
      <c r="A3086">
        <v>2016</v>
      </c>
      <c r="B3086" t="s">
        <v>20</v>
      </c>
      <c r="C3086">
        <v>53</v>
      </c>
      <c r="D3086">
        <v>2903.1</v>
      </c>
      <c r="E3086">
        <v>162</v>
      </c>
      <c r="F3086" t="s">
        <v>24</v>
      </c>
      <c r="G3086" t="s">
        <v>26</v>
      </c>
      <c r="H3086">
        <v>836</v>
      </c>
      <c r="I3086">
        <v>52</v>
      </c>
      <c r="J3086" t="s">
        <v>37</v>
      </c>
      <c r="K3086">
        <v>637</v>
      </c>
      <c r="L3086" t="s">
        <v>25</v>
      </c>
    </row>
    <row r="3087" spans="1:12" x14ac:dyDescent="0.3">
      <c r="A3087">
        <v>2017</v>
      </c>
      <c r="B3087" t="s">
        <v>20</v>
      </c>
      <c r="C3087">
        <v>2688</v>
      </c>
      <c r="D3087">
        <v>2903.1</v>
      </c>
      <c r="E3087">
        <v>163</v>
      </c>
      <c r="F3087" t="s">
        <v>24</v>
      </c>
      <c r="G3087" t="s">
        <v>26</v>
      </c>
      <c r="H3087">
        <v>806</v>
      </c>
      <c r="I3087">
        <v>51</v>
      </c>
      <c r="J3087" t="s">
        <v>37</v>
      </c>
      <c r="K3087">
        <v>43311</v>
      </c>
      <c r="L3087" t="s">
        <v>25</v>
      </c>
    </row>
    <row r="3088" spans="1:12" x14ac:dyDescent="0.3">
      <c r="A3088">
        <v>2016</v>
      </c>
      <c r="B3088" t="s">
        <v>20</v>
      </c>
      <c r="C3088">
        <v>2311</v>
      </c>
      <c r="D3088">
        <v>2903.1</v>
      </c>
      <c r="E3088">
        <v>164</v>
      </c>
      <c r="F3088" t="s">
        <v>24</v>
      </c>
      <c r="G3088" t="s">
        <v>26</v>
      </c>
      <c r="H3088">
        <v>880</v>
      </c>
      <c r="I3088">
        <v>57</v>
      </c>
      <c r="J3088" t="s">
        <v>37</v>
      </c>
      <c r="K3088">
        <v>24848</v>
      </c>
      <c r="L3088" t="s">
        <v>25</v>
      </c>
    </row>
    <row r="3089" spans="1:12" x14ac:dyDescent="0.3">
      <c r="A3089">
        <v>2017</v>
      </c>
      <c r="B3089" t="s">
        <v>20</v>
      </c>
      <c r="C3089">
        <v>2188</v>
      </c>
      <c r="D3089">
        <v>2996.6</v>
      </c>
      <c r="E3089">
        <v>165</v>
      </c>
      <c r="F3089" t="s">
        <v>24</v>
      </c>
      <c r="G3089" t="s">
        <v>26</v>
      </c>
      <c r="H3089">
        <v>770</v>
      </c>
      <c r="I3089">
        <v>57</v>
      </c>
      <c r="J3089" t="s">
        <v>37</v>
      </c>
      <c r="K3089">
        <v>761</v>
      </c>
      <c r="L3089" t="s">
        <v>25</v>
      </c>
    </row>
    <row r="3090" spans="1:12" x14ac:dyDescent="0.3">
      <c r="A3090">
        <v>2018</v>
      </c>
      <c r="B3090" t="s">
        <v>20</v>
      </c>
      <c r="C3090">
        <v>1998</v>
      </c>
      <c r="D3090">
        <v>2996.6</v>
      </c>
      <c r="E3090">
        <v>166</v>
      </c>
      <c r="F3090" t="s">
        <v>24</v>
      </c>
      <c r="G3090" t="s">
        <v>26</v>
      </c>
      <c r="H3090">
        <v>395</v>
      </c>
      <c r="I3090">
        <v>60</v>
      </c>
      <c r="J3090" t="s">
        <v>37</v>
      </c>
      <c r="K3090">
        <v>45608</v>
      </c>
      <c r="L3090" t="s">
        <v>25</v>
      </c>
    </row>
    <row r="3091" spans="1:12" x14ac:dyDescent="0.3">
      <c r="A3091">
        <v>2013</v>
      </c>
      <c r="B3091" t="s">
        <v>20</v>
      </c>
      <c r="C3091">
        <v>2006</v>
      </c>
      <c r="D3091">
        <v>2996.6</v>
      </c>
      <c r="E3091">
        <v>167</v>
      </c>
      <c r="F3091" t="s">
        <v>24</v>
      </c>
      <c r="G3091" t="s">
        <v>26</v>
      </c>
      <c r="H3091">
        <v>187</v>
      </c>
      <c r="I3091">
        <v>57</v>
      </c>
      <c r="J3091" t="s">
        <v>39</v>
      </c>
      <c r="K3091">
        <v>234581</v>
      </c>
      <c r="L3091" t="s">
        <v>25</v>
      </c>
    </row>
    <row r="3092" spans="1:12" x14ac:dyDescent="0.3">
      <c r="A3092">
        <v>2014</v>
      </c>
      <c r="B3092" t="s">
        <v>20</v>
      </c>
      <c r="C3092">
        <v>2034</v>
      </c>
      <c r="D3092">
        <v>3522.8</v>
      </c>
      <c r="E3092">
        <v>168</v>
      </c>
      <c r="F3092" t="s">
        <v>24</v>
      </c>
      <c r="G3092" t="s">
        <v>26</v>
      </c>
      <c r="H3092">
        <v>187</v>
      </c>
      <c r="I3092">
        <v>57</v>
      </c>
      <c r="J3092" t="s">
        <v>39</v>
      </c>
      <c r="K3092">
        <v>646</v>
      </c>
      <c r="L3092" t="s">
        <v>25</v>
      </c>
    </row>
    <row r="3093" spans="1:12" x14ac:dyDescent="0.3">
      <c r="A3093">
        <v>2015</v>
      </c>
      <c r="B3093" t="s">
        <v>20</v>
      </c>
      <c r="C3093">
        <v>2035</v>
      </c>
      <c r="D3093">
        <v>3522.8</v>
      </c>
      <c r="E3093">
        <v>169</v>
      </c>
      <c r="F3093" t="s">
        <v>24</v>
      </c>
      <c r="G3093" t="s">
        <v>26</v>
      </c>
      <c r="H3093">
        <v>121</v>
      </c>
      <c r="I3093">
        <v>54</v>
      </c>
      <c r="J3093" t="s">
        <v>39</v>
      </c>
      <c r="K3093">
        <v>43562</v>
      </c>
      <c r="L3093" t="s">
        <v>25</v>
      </c>
    </row>
    <row r="3094" spans="1:12" x14ac:dyDescent="0.3">
      <c r="A3094">
        <v>2016</v>
      </c>
      <c r="B3094" t="s">
        <v>20</v>
      </c>
      <c r="C3094">
        <v>2074</v>
      </c>
      <c r="D3094">
        <v>3522.8</v>
      </c>
      <c r="E3094">
        <v>170</v>
      </c>
      <c r="F3094" t="s">
        <v>24</v>
      </c>
      <c r="G3094" t="s">
        <v>26</v>
      </c>
      <c r="H3094">
        <v>103</v>
      </c>
      <c r="I3094">
        <v>54.5</v>
      </c>
      <c r="J3094" t="s">
        <v>39</v>
      </c>
      <c r="K3094">
        <v>200000</v>
      </c>
      <c r="L3094" t="s">
        <v>25</v>
      </c>
    </row>
    <row r="3095" spans="1:12" x14ac:dyDescent="0.3">
      <c r="A3095">
        <v>2017</v>
      </c>
      <c r="B3095" t="s">
        <v>20</v>
      </c>
      <c r="C3095">
        <v>2127</v>
      </c>
      <c r="D3095">
        <v>3729.8</v>
      </c>
      <c r="E3095">
        <v>171</v>
      </c>
      <c r="F3095" t="s">
        <v>24</v>
      </c>
      <c r="G3095" t="s">
        <v>26</v>
      </c>
      <c r="H3095">
        <v>71</v>
      </c>
      <c r="I3095">
        <v>56.6</v>
      </c>
      <c r="J3095" t="s">
        <v>39</v>
      </c>
      <c r="K3095">
        <v>4847</v>
      </c>
      <c r="L3095" t="s">
        <v>25</v>
      </c>
    </row>
    <row r="3096" spans="1:12" x14ac:dyDescent="0.3">
      <c r="A3096">
        <v>2018</v>
      </c>
      <c r="B3096" t="s">
        <v>20</v>
      </c>
      <c r="C3096">
        <v>2090</v>
      </c>
      <c r="D3096">
        <v>3729.8</v>
      </c>
      <c r="E3096">
        <v>172</v>
      </c>
      <c r="F3096" t="s">
        <v>24</v>
      </c>
      <c r="G3096" t="s">
        <v>26</v>
      </c>
      <c r="H3096">
        <v>3961</v>
      </c>
      <c r="I3096">
        <v>55.5</v>
      </c>
      <c r="J3096" t="s">
        <v>39</v>
      </c>
      <c r="K3096">
        <v>51239</v>
      </c>
      <c r="L3096" t="s">
        <v>25</v>
      </c>
    </row>
    <row r="3097" spans="1:12" x14ac:dyDescent="0.3">
      <c r="A3097">
        <v>2004</v>
      </c>
      <c r="B3097" t="s">
        <v>20</v>
      </c>
      <c r="C3097">
        <v>2059</v>
      </c>
      <c r="D3097">
        <v>3729.8</v>
      </c>
      <c r="E3097">
        <v>173</v>
      </c>
      <c r="F3097" t="s">
        <v>24</v>
      </c>
      <c r="G3097" t="s">
        <v>26</v>
      </c>
      <c r="H3097">
        <v>4247</v>
      </c>
      <c r="I3097">
        <v>58.5</v>
      </c>
      <c r="J3097" t="s">
        <v>39</v>
      </c>
      <c r="K3097">
        <v>216396</v>
      </c>
      <c r="L3097" t="s">
        <v>25</v>
      </c>
    </row>
    <row r="3098" spans="1:12" x14ac:dyDescent="0.3">
      <c r="A3098">
        <v>2005</v>
      </c>
      <c r="B3098" t="s">
        <v>20</v>
      </c>
      <c r="C3098">
        <v>2050</v>
      </c>
      <c r="D3098">
        <v>2746.2</v>
      </c>
      <c r="E3098">
        <v>174</v>
      </c>
      <c r="F3098" t="s">
        <v>24</v>
      </c>
      <c r="G3098" t="s">
        <v>26</v>
      </c>
      <c r="H3098">
        <v>3290</v>
      </c>
      <c r="I3098">
        <v>59.5</v>
      </c>
      <c r="J3098" t="s">
        <v>39</v>
      </c>
      <c r="K3098">
        <v>2644</v>
      </c>
      <c r="L3098" t="s">
        <v>25</v>
      </c>
    </row>
    <row r="3099" spans="1:12" x14ac:dyDescent="0.3">
      <c r="A3099">
        <v>2006</v>
      </c>
      <c r="B3099" t="s">
        <v>20</v>
      </c>
      <c r="C3099">
        <v>1865</v>
      </c>
      <c r="D3099">
        <v>2746.2</v>
      </c>
      <c r="E3099">
        <v>175</v>
      </c>
      <c r="F3099" t="s">
        <v>24</v>
      </c>
      <c r="G3099" t="s">
        <v>26</v>
      </c>
      <c r="H3099">
        <v>3138</v>
      </c>
      <c r="I3099">
        <v>55</v>
      </c>
      <c r="J3099" t="s">
        <v>39</v>
      </c>
      <c r="K3099">
        <v>44235</v>
      </c>
      <c r="L3099" t="s">
        <v>25</v>
      </c>
    </row>
    <row r="3100" spans="1:12" x14ac:dyDescent="0.3">
      <c r="A3100">
        <v>2007</v>
      </c>
      <c r="B3100" t="s">
        <v>20</v>
      </c>
      <c r="C3100">
        <v>1841</v>
      </c>
      <c r="D3100">
        <v>2746.2</v>
      </c>
      <c r="E3100">
        <v>176</v>
      </c>
      <c r="F3100" t="s">
        <v>24</v>
      </c>
      <c r="G3100" t="s">
        <v>26</v>
      </c>
      <c r="H3100">
        <v>3423</v>
      </c>
      <c r="I3100">
        <v>53</v>
      </c>
      <c r="J3100" t="s">
        <v>39</v>
      </c>
      <c r="K3100">
        <v>203317</v>
      </c>
      <c r="L3100" t="s">
        <v>25</v>
      </c>
    </row>
    <row r="3101" spans="1:12" x14ac:dyDescent="0.3">
      <c r="A3101">
        <v>2008</v>
      </c>
      <c r="B3101" t="s">
        <v>20</v>
      </c>
      <c r="C3101">
        <v>1799</v>
      </c>
      <c r="D3101">
        <v>3360</v>
      </c>
      <c r="E3101">
        <v>177</v>
      </c>
      <c r="F3101" t="s">
        <v>24</v>
      </c>
      <c r="G3101" t="s">
        <v>26</v>
      </c>
      <c r="H3101">
        <v>3899</v>
      </c>
      <c r="I3101">
        <v>53.5</v>
      </c>
      <c r="J3101" t="s">
        <v>39</v>
      </c>
      <c r="K3101">
        <v>2134</v>
      </c>
      <c r="L3101" t="s">
        <v>25</v>
      </c>
    </row>
    <row r="3102" spans="1:12" hidden="1" x14ac:dyDescent="0.3">
      <c r="A3102">
        <v>2009</v>
      </c>
      <c r="B3102" t="s">
        <v>67</v>
      </c>
      <c r="C3102">
        <v>1468</v>
      </c>
      <c r="D3102">
        <v>3360</v>
      </c>
      <c r="E3102">
        <v>178</v>
      </c>
      <c r="G3102" t="s">
        <v>26</v>
      </c>
      <c r="H3102">
        <v>4015</v>
      </c>
      <c r="I3102">
        <v>52.5</v>
      </c>
      <c r="J3102" t="s">
        <v>39</v>
      </c>
      <c r="K3102">
        <v>45186</v>
      </c>
      <c r="L3102" t="s">
        <v>25</v>
      </c>
    </row>
    <row r="3103" spans="1:12" hidden="1" x14ac:dyDescent="0.3">
      <c r="A3103">
        <v>2010</v>
      </c>
      <c r="B3103" t="s">
        <v>67</v>
      </c>
      <c r="C3103">
        <v>568</v>
      </c>
      <c r="D3103">
        <v>3360</v>
      </c>
      <c r="E3103">
        <v>179</v>
      </c>
      <c r="G3103" t="s">
        <v>26</v>
      </c>
      <c r="H3103">
        <v>4279</v>
      </c>
      <c r="I3103">
        <v>56</v>
      </c>
      <c r="J3103" t="s">
        <v>39</v>
      </c>
      <c r="K3103">
        <v>238542</v>
      </c>
      <c r="L3103" t="s">
        <v>25</v>
      </c>
    </row>
    <row r="3104" spans="1:12" hidden="1" x14ac:dyDescent="0.3">
      <c r="A3104">
        <v>2011</v>
      </c>
      <c r="B3104" t="s">
        <v>67</v>
      </c>
      <c r="C3104">
        <v>407</v>
      </c>
      <c r="D3104">
        <v>3605.4</v>
      </c>
      <c r="E3104">
        <v>180</v>
      </c>
      <c r="G3104" t="s">
        <v>26</v>
      </c>
      <c r="H3104">
        <v>4167</v>
      </c>
      <c r="I3104">
        <v>57</v>
      </c>
      <c r="J3104" t="s">
        <v>39</v>
      </c>
      <c r="K3104">
        <v>1516</v>
      </c>
      <c r="L3104" t="s">
        <v>25</v>
      </c>
    </row>
    <row r="3105" spans="1:12" hidden="1" x14ac:dyDescent="0.3">
      <c r="A3105">
        <v>2012</v>
      </c>
      <c r="B3105" t="s">
        <v>67</v>
      </c>
      <c r="C3105">
        <v>177</v>
      </c>
      <c r="D3105">
        <v>3605.4</v>
      </c>
      <c r="E3105">
        <v>181</v>
      </c>
      <c r="G3105" t="s">
        <v>26</v>
      </c>
      <c r="H3105">
        <v>4479</v>
      </c>
      <c r="I3105">
        <v>57.5</v>
      </c>
      <c r="J3105" t="s">
        <v>39</v>
      </c>
      <c r="K3105">
        <v>200000</v>
      </c>
      <c r="L3105" t="s">
        <v>25</v>
      </c>
    </row>
    <row r="3106" spans="1:12" hidden="1" x14ac:dyDescent="0.3">
      <c r="A3106">
        <v>2013</v>
      </c>
      <c r="B3106" t="s">
        <v>67</v>
      </c>
      <c r="C3106">
        <v>51</v>
      </c>
      <c r="D3106">
        <v>3605.4</v>
      </c>
      <c r="E3106">
        <v>182</v>
      </c>
      <c r="G3106" t="s">
        <v>26</v>
      </c>
      <c r="H3106">
        <v>3699</v>
      </c>
      <c r="I3106">
        <v>57</v>
      </c>
      <c r="J3106" t="s">
        <v>40</v>
      </c>
      <c r="K3106">
        <v>4847</v>
      </c>
      <c r="L3106" t="s">
        <v>25</v>
      </c>
    </row>
    <row r="3107" spans="1:12" hidden="1" x14ac:dyDescent="0.3">
      <c r="A3107">
        <v>2014</v>
      </c>
      <c r="B3107" t="s">
        <v>67</v>
      </c>
      <c r="C3107">
        <v>173</v>
      </c>
      <c r="D3107">
        <v>3512.4</v>
      </c>
      <c r="E3107">
        <v>183</v>
      </c>
      <c r="G3107" t="s">
        <v>26</v>
      </c>
      <c r="H3107">
        <v>4904</v>
      </c>
      <c r="I3107">
        <v>55</v>
      </c>
      <c r="J3107" t="s">
        <v>40</v>
      </c>
      <c r="K3107">
        <v>51239</v>
      </c>
      <c r="L3107" t="s">
        <v>25</v>
      </c>
    </row>
    <row r="3108" spans="1:12" hidden="1" x14ac:dyDescent="0.3">
      <c r="A3108">
        <v>2015</v>
      </c>
      <c r="B3108" t="s">
        <v>67</v>
      </c>
      <c r="C3108">
        <v>201</v>
      </c>
      <c r="D3108">
        <v>3512.4</v>
      </c>
      <c r="E3108">
        <v>184</v>
      </c>
      <c r="G3108" t="s">
        <v>26</v>
      </c>
      <c r="H3108">
        <v>2821</v>
      </c>
      <c r="I3108">
        <v>56</v>
      </c>
      <c r="J3108" t="s">
        <v>40</v>
      </c>
      <c r="K3108">
        <v>216396</v>
      </c>
      <c r="L3108" t="s">
        <v>25</v>
      </c>
    </row>
    <row r="3109" spans="1:12" hidden="1" x14ac:dyDescent="0.3">
      <c r="A3109">
        <v>2016</v>
      </c>
      <c r="B3109" t="s">
        <v>67</v>
      </c>
      <c r="C3109">
        <v>206</v>
      </c>
      <c r="D3109">
        <v>3512.4</v>
      </c>
      <c r="E3109">
        <v>185</v>
      </c>
      <c r="G3109" t="s">
        <v>26</v>
      </c>
      <c r="H3109">
        <v>3472</v>
      </c>
      <c r="I3109">
        <v>54</v>
      </c>
      <c r="J3109" t="s">
        <v>40</v>
      </c>
      <c r="K3109">
        <v>2644</v>
      </c>
      <c r="L3109" t="s">
        <v>25</v>
      </c>
    </row>
    <row r="3110" spans="1:12" hidden="1" x14ac:dyDescent="0.3">
      <c r="A3110">
        <v>2017</v>
      </c>
      <c r="B3110" t="s">
        <v>67</v>
      </c>
      <c r="C3110">
        <v>243</v>
      </c>
      <c r="D3110">
        <v>3296</v>
      </c>
      <c r="E3110">
        <v>186</v>
      </c>
      <c r="G3110" t="s">
        <v>26</v>
      </c>
      <c r="H3110">
        <v>3647</v>
      </c>
      <c r="I3110">
        <v>58</v>
      </c>
      <c r="J3110" t="s">
        <v>40</v>
      </c>
      <c r="K3110">
        <v>44235</v>
      </c>
      <c r="L3110" t="s">
        <v>25</v>
      </c>
    </row>
    <row r="3111" spans="1:12" hidden="1" x14ac:dyDescent="0.3">
      <c r="A3111">
        <v>2016</v>
      </c>
      <c r="B3111" t="s">
        <v>67</v>
      </c>
      <c r="C3111">
        <v>123</v>
      </c>
      <c r="D3111">
        <v>3296</v>
      </c>
      <c r="E3111">
        <v>187</v>
      </c>
      <c r="G3111" t="s">
        <v>26</v>
      </c>
      <c r="H3111">
        <v>393</v>
      </c>
      <c r="I3111">
        <v>58</v>
      </c>
      <c r="J3111" t="s">
        <v>40</v>
      </c>
      <c r="K3111">
        <v>203317</v>
      </c>
      <c r="L3111" t="s">
        <v>25</v>
      </c>
    </row>
    <row r="3112" spans="1:12" hidden="1" x14ac:dyDescent="0.3">
      <c r="A3112">
        <v>2017</v>
      </c>
      <c r="B3112" t="s">
        <v>67</v>
      </c>
      <c r="C3112">
        <v>82</v>
      </c>
      <c r="D3112">
        <v>3296</v>
      </c>
      <c r="E3112">
        <v>188</v>
      </c>
      <c r="G3112" t="s">
        <v>26</v>
      </c>
      <c r="H3112">
        <v>167</v>
      </c>
      <c r="I3112">
        <v>59</v>
      </c>
      <c r="J3112" t="s">
        <v>40</v>
      </c>
      <c r="K3112">
        <v>2134</v>
      </c>
      <c r="L3112" t="s">
        <v>25</v>
      </c>
    </row>
    <row r="3113" spans="1:12" hidden="1" x14ac:dyDescent="0.3">
      <c r="A3113">
        <v>2016</v>
      </c>
      <c r="B3113" t="s">
        <v>67</v>
      </c>
      <c r="C3113">
        <v>74</v>
      </c>
      <c r="D3113">
        <v>3550</v>
      </c>
      <c r="E3113">
        <v>189</v>
      </c>
      <c r="G3113" t="s">
        <v>26</v>
      </c>
      <c r="H3113">
        <v>71</v>
      </c>
      <c r="I3113">
        <v>50</v>
      </c>
      <c r="J3113" t="s">
        <v>40</v>
      </c>
      <c r="K3113">
        <v>45186</v>
      </c>
      <c r="L3113" t="s">
        <v>25</v>
      </c>
    </row>
    <row r="3114" spans="1:12" hidden="1" x14ac:dyDescent="0.3">
      <c r="A3114">
        <v>2017</v>
      </c>
      <c r="B3114" t="s">
        <v>67</v>
      </c>
      <c r="C3114">
        <v>18</v>
      </c>
      <c r="D3114">
        <v>3550</v>
      </c>
      <c r="E3114">
        <v>190</v>
      </c>
      <c r="G3114" t="s">
        <v>26</v>
      </c>
      <c r="H3114">
        <v>52</v>
      </c>
      <c r="I3114">
        <v>54</v>
      </c>
      <c r="J3114" t="s">
        <v>40</v>
      </c>
      <c r="K3114">
        <v>238542</v>
      </c>
      <c r="L3114" t="s">
        <v>25</v>
      </c>
    </row>
    <row r="3115" spans="1:12" hidden="1" x14ac:dyDescent="0.3">
      <c r="A3115">
        <v>2018</v>
      </c>
      <c r="B3115" t="s">
        <v>67</v>
      </c>
      <c r="C3115">
        <v>37</v>
      </c>
      <c r="D3115">
        <v>3550</v>
      </c>
      <c r="E3115">
        <v>191</v>
      </c>
      <c r="G3115" t="s">
        <v>26</v>
      </c>
      <c r="H3115">
        <v>313547</v>
      </c>
      <c r="I3115">
        <v>53</v>
      </c>
      <c r="J3115" t="s">
        <v>40</v>
      </c>
      <c r="K3115">
        <v>1516</v>
      </c>
      <c r="L3115" t="s">
        <v>25</v>
      </c>
    </row>
    <row r="3116" spans="1:12" hidden="1" x14ac:dyDescent="0.3">
      <c r="A3116">
        <v>2013</v>
      </c>
      <c r="B3116" t="s">
        <v>67</v>
      </c>
      <c r="C3116">
        <v>35</v>
      </c>
      <c r="D3116">
        <v>3654</v>
      </c>
      <c r="E3116">
        <v>192</v>
      </c>
      <c r="G3116" t="s">
        <v>26</v>
      </c>
      <c r="H3116">
        <v>2783</v>
      </c>
      <c r="I3116">
        <v>52</v>
      </c>
      <c r="J3116" t="s">
        <v>40</v>
      </c>
      <c r="K3116">
        <v>57259</v>
      </c>
      <c r="L3116" t="s">
        <v>25</v>
      </c>
    </row>
    <row r="3117" spans="1:12" hidden="1" x14ac:dyDescent="0.3">
      <c r="A3117">
        <v>2014</v>
      </c>
      <c r="B3117" t="s">
        <v>67</v>
      </c>
      <c r="C3117">
        <v>5974</v>
      </c>
      <c r="D3117">
        <v>3654</v>
      </c>
      <c r="E3117">
        <v>193</v>
      </c>
      <c r="G3117" t="s">
        <v>26</v>
      </c>
      <c r="H3117">
        <v>1533</v>
      </c>
      <c r="I3117">
        <v>51</v>
      </c>
      <c r="J3117" t="s">
        <v>40</v>
      </c>
      <c r="K3117">
        <v>234779</v>
      </c>
      <c r="L3117" t="s">
        <v>25</v>
      </c>
    </row>
    <row r="3118" spans="1:12" hidden="1" x14ac:dyDescent="0.3">
      <c r="A3118">
        <v>2015</v>
      </c>
      <c r="B3118" t="s">
        <v>68</v>
      </c>
      <c r="C3118">
        <v>6631</v>
      </c>
      <c r="D3118">
        <v>3654</v>
      </c>
      <c r="E3118">
        <v>194</v>
      </c>
      <c r="G3118" t="s">
        <v>26</v>
      </c>
      <c r="H3118">
        <v>1647</v>
      </c>
      <c r="I3118">
        <v>57</v>
      </c>
      <c r="J3118" t="s">
        <v>40</v>
      </c>
      <c r="K3118">
        <v>1493</v>
      </c>
      <c r="L3118" t="s">
        <v>25</v>
      </c>
    </row>
    <row r="3119" spans="1:12" hidden="1" x14ac:dyDescent="0.3">
      <c r="A3119">
        <v>2016</v>
      </c>
      <c r="B3119" t="s">
        <v>68</v>
      </c>
      <c r="C3119">
        <v>6705</v>
      </c>
      <c r="D3119">
        <v>233</v>
      </c>
      <c r="E3119">
        <v>195</v>
      </c>
      <c r="G3119" t="s">
        <v>26</v>
      </c>
      <c r="H3119">
        <v>975</v>
      </c>
      <c r="I3119">
        <v>57</v>
      </c>
      <c r="J3119" t="s">
        <v>40</v>
      </c>
      <c r="K3119">
        <v>64409</v>
      </c>
      <c r="L3119" t="s">
        <v>25</v>
      </c>
    </row>
    <row r="3120" spans="1:12" hidden="1" x14ac:dyDescent="0.3">
      <c r="A3120">
        <v>2017</v>
      </c>
      <c r="B3120" t="s">
        <v>68</v>
      </c>
      <c r="C3120">
        <v>5876</v>
      </c>
      <c r="D3120">
        <v>233</v>
      </c>
      <c r="E3120">
        <v>196</v>
      </c>
      <c r="G3120" t="s">
        <v>26</v>
      </c>
      <c r="H3120">
        <v>2</v>
      </c>
      <c r="I3120">
        <v>60</v>
      </c>
      <c r="J3120" t="s">
        <v>40</v>
      </c>
      <c r="K3120">
        <v>249978</v>
      </c>
      <c r="L3120" t="s">
        <v>25</v>
      </c>
    </row>
    <row r="3121" spans="1:12" hidden="1" x14ac:dyDescent="0.3">
      <c r="A3121">
        <v>2018</v>
      </c>
      <c r="B3121" t="s">
        <v>68</v>
      </c>
      <c r="C3121">
        <v>326</v>
      </c>
      <c r="D3121">
        <v>233</v>
      </c>
      <c r="E3121">
        <v>197</v>
      </c>
      <c r="G3121" t="s">
        <v>26</v>
      </c>
      <c r="H3121">
        <v>836</v>
      </c>
      <c r="I3121">
        <v>57</v>
      </c>
      <c r="J3121" t="s">
        <v>42</v>
      </c>
      <c r="K3121">
        <v>637</v>
      </c>
      <c r="L3121" t="s">
        <v>25</v>
      </c>
    </row>
    <row r="3122" spans="1:12" hidden="1" x14ac:dyDescent="0.3">
      <c r="A3122">
        <v>2004</v>
      </c>
      <c r="B3122" t="s">
        <v>68</v>
      </c>
      <c r="C3122">
        <v>6470</v>
      </c>
      <c r="D3122">
        <v>234</v>
      </c>
      <c r="E3122">
        <v>198</v>
      </c>
      <c r="G3122" t="s">
        <v>26</v>
      </c>
      <c r="H3122">
        <v>806</v>
      </c>
      <c r="I3122">
        <v>57</v>
      </c>
      <c r="J3122" t="s">
        <v>42</v>
      </c>
      <c r="K3122">
        <v>43311</v>
      </c>
      <c r="L3122" t="s">
        <v>25</v>
      </c>
    </row>
    <row r="3123" spans="1:12" hidden="1" x14ac:dyDescent="0.3">
      <c r="A3123">
        <v>2005</v>
      </c>
      <c r="B3123" t="s">
        <v>68</v>
      </c>
      <c r="C3123">
        <v>1279</v>
      </c>
      <c r="D3123">
        <v>234</v>
      </c>
      <c r="E3123">
        <v>199</v>
      </c>
      <c r="G3123" t="s">
        <v>26</v>
      </c>
      <c r="H3123">
        <v>880</v>
      </c>
      <c r="I3123">
        <v>54</v>
      </c>
      <c r="J3123" t="s">
        <v>42</v>
      </c>
      <c r="K3123">
        <v>24848</v>
      </c>
      <c r="L3123" t="s">
        <v>25</v>
      </c>
    </row>
    <row r="3124" spans="1:12" hidden="1" x14ac:dyDescent="0.3">
      <c r="A3124">
        <v>2006</v>
      </c>
      <c r="B3124" t="s">
        <v>68</v>
      </c>
      <c r="C3124">
        <v>13283</v>
      </c>
      <c r="D3124">
        <v>234</v>
      </c>
      <c r="E3124">
        <v>200</v>
      </c>
      <c r="G3124" t="s">
        <v>26</v>
      </c>
      <c r="H3124">
        <v>770</v>
      </c>
      <c r="I3124">
        <v>54.5</v>
      </c>
      <c r="J3124" t="s">
        <v>42</v>
      </c>
      <c r="K3124">
        <v>761</v>
      </c>
      <c r="L3124" t="s">
        <v>25</v>
      </c>
    </row>
    <row r="3125" spans="1:12" hidden="1" x14ac:dyDescent="0.3">
      <c r="A3125">
        <v>2007</v>
      </c>
      <c r="B3125" t="s">
        <v>68</v>
      </c>
      <c r="C3125">
        <v>52119</v>
      </c>
      <c r="D3125">
        <v>3105</v>
      </c>
      <c r="E3125">
        <v>201</v>
      </c>
      <c r="G3125" t="s">
        <v>26</v>
      </c>
      <c r="H3125">
        <v>395</v>
      </c>
      <c r="I3125">
        <v>56.6</v>
      </c>
      <c r="J3125" t="s">
        <v>42</v>
      </c>
      <c r="K3125">
        <v>45608</v>
      </c>
      <c r="L3125" t="s">
        <v>25</v>
      </c>
    </row>
    <row r="3126" spans="1:12" hidden="1" x14ac:dyDescent="0.3">
      <c r="A3126">
        <v>2008</v>
      </c>
      <c r="B3126" t="s">
        <v>68</v>
      </c>
      <c r="C3126">
        <v>725</v>
      </c>
      <c r="D3126">
        <v>3105</v>
      </c>
      <c r="E3126">
        <v>202</v>
      </c>
      <c r="G3126" t="s">
        <v>14</v>
      </c>
      <c r="H3126">
        <v>187</v>
      </c>
      <c r="I3126">
        <v>55.5</v>
      </c>
      <c r="J3126" t="s">
        <v>42</v>
      </c>
      <c r="K3126">
        <v>234581</v>
      </c>
      <c r="L3126" t="s">
        <v>25</v>
      </c>
    </row>
    <row r="3127" spans="1:12" hidden="1" x14ac:dyDescent="0.3">
      <c r="A3127">
        <v>2009</v>
      </c>
      <c r="B3127" t="s">
        <v>68</v>
      </c>
      <c r="C3127">
        <v>12885</v>
      </c>
      <c r="D3127">
        <v>3105</v>
      </c>
      <c r="E3127">
        <v>203</v>
      </c>
      <c r="G3127" t="s">
        <v>14</v>
      </c>
      <c r="H3127">
        <v>187</v>
      </c>
      <c r="I3127">
        <v>58.5</v>
      </c>
      <c r="J3127" t="s">
        <v>42</v>
      </c>
      <c r="K3127">
        <v>646</v>
      </c>
      <c r="L3127" t="s">
        <v>25</v>
      </c>
    </row>
    <row r="3128" spans="1:12" hidden="1" x14ac:dyDescent="0.3">
      <c r="A3128">
        <v>2010</v>
      </c>
      <c r="B3128" t="s">
        <v>68</v>
      </c>
      <c r="C3128">
        <v>51179</v>
      </c>
      <c r="D3128">
        <v>236</v>
      </c>
      <c r="E3128">
        <v>204</v>
      </c>
      <c r="G3128" t="s">
        <v>14</v>
      </c>
      <c r="H3128">
        <v>121</v>
      </c>
      <c r="I3128">
        <v>59.5</v>
      </c>
      <c r="J3128" t="s">
        <v>42</v>
      </c>
      <c r="K3128">
        <v>43562</v>
      </c>
      <c r="L3128" t="s">
        <v>25</v>
      </c>
    </row>
    <row r="3129" spans="1:12" hidden="1" x14ac:dyDescent="0.3">
      <c r="A3129">
        <v>2011</v>
      </c>
      <c r="B3129" t="s">
        <v>68</v>
      </c>
      <c r="C3129">
        <v>468</v>
      </c>
      <c r="D3129">
        <v>236</v>
      </c>
      <c r="E3129">
        <v>205</v>
      </c>
      <c r="G3129" t="s">
        <v>14</v>
      </c>
      <c r="H3129">
        <v>103</v>
      </c>
      <c r="I3129">
        <v>55</v>
      </c>
      <c r="J3129" t="s">
        <v>42</v>
      </c>
      <c r="K3129">
        <v>200000</v>
      </c>
      <c r="L3129" t="s">
        <v>25</v>
      </c>
    </row>
    <row r="3130" spans="1:12" hidden="1" x14ac:dyDescent="0.3">
      <c r="A3130">
        <v>2012</v>
      </c>
      <c r="B3130" t="s">
        <v>68</v>
      </c>
      <c r="C3130">
        <v>11841</v>
      </c>
      <c r="D3130">
        <v>2903.1</v>
      </c>
      <c r="E3130">
        <v>206</v>
      </c>
      <c r="G3130" t="s">
        <v>14</v>
      </c>
      <c r="H3130">
        <v>71</v>
      </c>
      <c r="I3130">
        <v>53</v>
      </c>
      <c r="J3130" t="s">
        <v>42</v>
      </c>
      <c r="K3130">
        <v>4847</v>
      </c>
      <c r="L3130" t="s">
        <v>25</v>
      </c>
    </row>
    <row r="3131" spans="1:12" hidden="1" x14ac:dyDescent="0.3">
      <c r="A3131">
        <v>2013</v>
      </c>
      <c r="B3131" t="s">
        <v>68</v>
      </c>
      <c r="C3131">
        <v>50975</v>
      </c>
      <c r="D3131">
        <v>2903.1</v>
      </c>
      <c r="E3131">
        <v>207</v>
      </c>
      <c r="G3131" t="s">
        <v>14</v>
      </c>
      <c r="H3131">
        <v>3961</v>
      </c>
      <c r="I3131">
        <v>53.5</v>
      </c>
      <c r="J3131" t="s">
        <v>42</v>
      </c>
      <c r="K3131">
        <v>51239</v>
      </c>
      <c r="L3131" t="s">
        <v>25</v>
      </c>
    </row>
    <row r="3132" spans="1:12" hidden="1" x14ac:dyDescent="0.3">
      <c r="A3132">
        <v>2014</v>
      </c>
      <c r="B3132" t="s">
        <v>68</v>
      </c>
      <c r="C3132">
        <v>206</v>
      </c>
      <c r="D3132">
        <v>2903.1</v>
      </c>
      <c r="E3132">
        <v>208</v>
      </c>
      <c r="G3132" t="s">
        <v>14</v>
      </c>
      <c r="H3132">
        <v>4247</v>
      </c>
      <c r="I3132">
        <v>52.5</v>
      </c>
      <c r="J3132" t="s">
        <v>42</v>
      </c>
      <c r="K3132">
        <v>216396</v>
      </c>
      <c r="L3132" t="s">
        <v>25</v>
      </c>
    </row>
    <row r="3133" spans="1:12" hidden="1" x14ac:dyDescent="0.3">
      <c r="A3133">
        <v>2015</v>
      </c>
      <c r="B3133" t="s">
        <v>68</v>
      </c>
      <c r="C3133">
        <v>10922</v>
      </c>
      <c r="D3133">
        <v>2996.6</v>
      </c>
      <c r="E3133">
        <v>209</v>
      </c>
      <c r="G3133" t="s">
        <v>14</v>
      </c>
      <c r="H3133">
        <v>3290</v>
      </c>
      <c r="I3133">
        <v>56</v>
      </c>
      <c r="J3133" t="s">
        <v>42</v>
      </c>
      <c r="K3133">
        <v>2644</v>
      </c>
      <c r="L3133" t="s">
        <v>25</v>
      </c>
    </row>
    <row r="3134" spans="1:12" hidden="1" x14ac:dyDescent="0.3">
      <c r="A3134">
        <v>2016</v>
      </c>
      <c r="B3134" t="s">
        <v>68</v>
      </c>
      <c r="C3134">
        <v>51390</v>
      </c>
      <c r="D3134">
        <v>2996.6</v>
      </c>
      <c r="E3134">
        <v>210</v>
      </c>
      <c r="G3134" t="s">
        <v>14</v>
      </c>
      <c r="H3134">
        <v>3138</v>
      </c>
      <c r="I3134">
        <v>59.5</v>
      </c>
      <c r="J3134" t="s">
        <v>42</v>
      </c>
      <c r="K3134">
        <v>44235</v>
      </c>
      <c r="L3134" t="s">
        <v>25</v>
      </c>
    </row>
    <row r="3135" spans="1:12" hidden="1" x14ac:dyDescent="0.3">
      <c r="A3135">
        <v>2017</v>
      </c>
      <c r="B3135" t="s">
        <v>68</v>
      </c>
      <c r="C3135">
        <v>177</v>
      </c>
      <c r="D3135">
        <v>2996.6</v>
      </c>
      <c r="E3135">
        <v>211</v>
      </c>
      <c r="G3135" t="s">
        <v>14</v>
      </c>
      <c r="H3135">
        <v>3423</v>
      </c>
      <c r="I3135">
        <v>55</v>
      </c>
      <c r="J3135" t="s">
        <v>42</v>
      </c>
      <c r="K3135">
        <v>203317</v>
      </c>
      <c r="L3135" t="s">
        <v>25</v>
      </c>
    </row>
    <row r="3136" spans="1:12" hidden="1" x14ac:dyDescent="0.3">
      <c r="A3136">
        <v>2017</v>
      </c>
      <c r="B3136" t="s">
        <v>68</v>
      </c>
      <c r="C3136">
        <v>10723</v>
      </c>
      <c r="D3136">
        <v>3522.8</v>
      </c>
      <c r="E3136">
        <v>212</v>
      </c>
      <c r="G3136" t="s">
        <v>14</v>
      </c>
      <c r="H3136">
        <v>3899</v>
      </c>
      <c r="I3136">
        <v>53</v>
      </c>
      <c r="J3136" t="s">
        <v>43</v>
      </c>
      <c r="K3136">
        <v>2134</v>
      </c>
      <c r="L3136" t="s">
        <v>25</v>
      </c>
    </row>
    <row r="3137" spans="1:12" hidden="1" x14ac:dyDescent="0.3">
      <c r="A3137">
        <v>2016</v>
      </c>
      <c r="B3137" t="s">
        <v>68</v>
      </c>
      <c r="C3137">
        <v>51709</v>
      </c>
      <c r="D3137">
        <v>3522.8</v>
      </c>
      <c r="E3137">
        <v>213</v>
      </c>
      <c r="G3137" t="s">
        <v>14</v>
      </c>
      <c r="H3137">
        <v>4015</v>
      </c>
      <c r="I3137">
        <v>53.5</v>
      </c>
      <c r="J3137" t="s">
        <v>43</v>
      </c>
      <c r="K3137">
        <v>45186</v>
      </c>
      <c r="L3137" t="s">
        <v>25</v>
      </c>
    </row>
    <row r="3138" spans="1:12" hidden="1" x14ac:dyDescent="0.3">
      <c r="A3138">
        <v>2017</v>
      </c>
      <c r="B3138" t="s">
        <v>68</v>
      </c>
      <c r="C3138">
        <v>146</v>
      </c>
      <c r="D3138">
        <v>3522.8</v>
      </c>
      <c r="E3138">
        <v>214</v>
      </c>
      <c r="G3138" t="s">
        <v>14</v>
      </c>
      <c r="H3138">
        <v>4279</v>
      </c>
      <c r="I3138">
        <v>52.5</v>
      </c>
      <c r="J3138" t="s">
        <v>43</v>
      </c>
      <c r="K3138">
        <v>238542</v>
      </c>
      <c r="L3138" t="s">
        <v>25</v>
      </c>
    </row>
    <row r="3139" spans="1:12" hidden="1" x14ac:dyDescent="0.3">
      <c r="A3139">
        <v>2018</v>
      </c>
      <c r="B3139" t="s">
        <v>68</v>
      </c>
      <c r="C3139">
        <v>10910</v>
      </c>
      <c r="D3139">
        <v>3729.8</v>
      </c>
      <c r="E3139">
        <v>215</v>
      </c>
      <c r="G3139" t="s">
        <v>14</v>
      </c>
      <c r="H3139">
        <v>4167</v>
      </c>
      <c r="I3139">
        <v>56</v>
      </c>
      <c r="J3139" t="s">
        <v>43</v>
      </c>
      <c r="K3139">
        <v>1516</v>
      </c>
      <c r="L3139" t="s">
        <v>25</v>
      </c>
    </row>
    <row r="3140" spans="1:12" hidden="1" x14ac:dyDescent="0.3">
      <c r="A3140">
        <v>2013</v>
      </c>
      <c r="B3140" t="s">
        <v>68</v>
      </c>
      <c r="C3140">
        <v>51355</v>
      </c>
      <c r="D3140">
        <v>3729.8</v>
      </c>
      <c r="E3140">
        <v>216</v>
      </c>
      <c r="G3140" t="s">
        <v>14</v>
      </c>
      <c r="H3140">
        <v>4479</v>
      </c>
      <c r="I3140">
        <v>57</v>
      </c>
      <c r="J3140" t="s">
        <v>43</v>
      </c>
      <c r="K3140">
        <v>57259</v>
      </c>
      <c r="L3140" t="s">
        <v>25</v>
      </c>
    </row>
    <row r="3141" spans="1:12" hidden="1" x14ac:dyDescent="0.3">
      <c r="A3141">
        <v>2014</v>
      </c>
      <c r="B3141" t="s">
        <v>68</v>
      </c>
      <c r="C3141">
        <v>160</v>
      </c>
      <c r="D3141">
        <v>3729.8</v>
      </c>
      <c r="E3141">
        <v>217</v>
      </c>
      <c r="G3141" t="s">
        <v>14</v>
      </c>
      <c r="H3141">
        <v>3699</v>
      </c>
      <c r="I3141">
        <v>57.5</v>
      </c>
      <c r="J3141" t="s">
        <v>43</v>
      </c>
      <c r="K3141">
        <v>234779</v>
      </c>
      <c r="L3141" t="s">
        <v>25</v>
      </c>
    </row>
    <row r="3142" spans="1:12" hidden="1" x14ac:dyDescent="0.3">
      <c r="A3142">
        <v>2015</v>
      </c>
      <c r="B3142" t="s">
        <v>68</v>
      </c>
      <c r="C3142">
        <v>10912</v>
      </c>
      <c r="D3142">
        <v>2746.2</v>
      </c>
      <c r="E3142">
        <v>218</v>
      </c>
      <c r="G3142" t="s">
        <v>14</v>
      </c>
      <c r="H3142">
        <v>4904</v>
      </c>
      <c r="I3142">
        <v>57</v>
      </c>
      <c r="J3142" t="s">
        <v>43</v>
      </c>
      <c r="K3142">
        <v>1493</v>
      </c>
      <c r="L3142" t="s">
        <v>25</v>
      </c>
    </row>
    <row r="3143" spans="1:12" hidden="1" x14ac:dyDescent="0.3">
      <c r="A3143">
        <v>2016</v>
      </c>
      <c r="B3143" t="s">
        <v>68</v>
      </c>
      <c r="C3143">
        <v>51353</v>
      </c>
      <c r="D3143">
        <v>2746.2</v>
      </c>
      <c r="E3143">
        <v>219</v>
      </c>
      <c r="G3143" t="s">
        <v>14</v>
      </c>
      <c r="H3143">
        <v>2821</v>
      </c>
      <c r="I3143">
        <v>55</v>
      </c>
      <c r="J3143" t="s">
        <v>43</v>
      </c>
      <c r="K3143">
        <v>64409</v>
      </c>
      <c r="L3143" t="s">
        <v>25</v>
      </c>
    </row>
    <row r="3144" spans="1:12" hidden="1" x14ac:dyDescent="0.3">
      <c r="A3144">
        <v>2017</v>
      </c>
      <c r="B3144" t="s">
        <v>68</v>
      </c>
      <c r="C3144">
        <v>142</v>
      </c>
      <c r="D3144">
        <v>2746.2</v>
      </c>
      <c r="E3144">
        <v>220</v>
      </c>
      <c r="G3144" t="s">
        <v>14</v>
      </c>
      <c r="H3144">
        <v>3472</v>
      </c>
      <c r="I3144">
        <v>56</v>
      </c>
      <c r="J3144" t="s">
        <v>43</v>
      </c>
      <c r="K3144">
        <v>249978</v>
      </c>
      <c r="L3144" t="s">
        <v>25</v>
      </c>
    </row>
    <row r="3145" spans="1:12" hidden="1" x14ac:dyDescent="0.3">
      <c r="A3145">
        <v>2018</v>
      </c>
      <c r="B3145" t="s">
        <v>68</v>
      </c>
      <c r="C3145">
        <v>10505</v>
      </c>
      <c r="D3145">
        <v>3360</v>
      </c>
      <c r="E3145">
        <v>221</v>
      </c>
      <c r="G3145" t="s">
        <v>14</v>
      </c>
      <c r="H3145">
        <v>3647</v>
      </c>
      <c r="I3145">
        <v>54</v>
      </c>
      <c r="J3145" t="s">
        <v>43</v>
      </c>
      <c r="K3145">
        <v>637</v>
      </c>
      <c r="L3145" t="s">
        <v>25</v>
      </c>
    </row>
    <row r="3146" spans="1:12" hidden="1" x14ac:dyDescent="0.3">
      <c r="A3146">
        <v>2004</v>
      </c>
      <c r="B3146" t="s">
        <v>68</v>
      </c>
      <c r="C3146">
        <v>51040</v>
      </c>
      <c r="D3146">
        <v>3360</v>
      </c>
      <c r="E3146">
        <v>222</v>
      </c>
      <c r="G3146" t="s">
        <v>14</v>
      </c>
      <c r="H3146">
        <v>393</v>
      </c>
      <c r="I3146">
        <v>58</v>
      </c>
      <c r="J3146" t="s">
        <v>43</v>
      </c>
      <c r="K3146">
        <v>43311</v>
      </c>
      <c r="L3146" t="s">
        <v>25</v>
      </c>
    </row>
    <row r="3147" spans="1:12" hidden="1" x14ac:dyDescent="0.3">
      <c r="A3147">
        <v>2005</v>
      </c>
      <c r="B3147" t="s">
        <v>68</v>
      </c>
      <c r="C3147">
        <v>154</v>
      </c>
      <c r="D3147">
        <v>3360</v>
      </c>
      <c r="E3147">
        <v>27</v>
      </c>
      <c r="G3147" t="s">
        <v>14</v>
      </c>
      <c r="H3147">
        <v>167</v>
      </c>
      <c r="I3147">
        <v>58</v>
      </c>
      <c r="J3147" t="s">
        <v>43</v>
      </c>
      <c r="K3147">
        <v>24848</v>
      </c>
      <c r="L3147" t="s">
        <v>25</v>
      </c>
    </row>
    <row r="3148" spans="1:12" hidden="1" x14ac:dyDescent="0.3">
      <c r="A3148">
        <v>2006</v>
      </c>
      <c r="B3148" t="s">
        <v>68</v>
      </c>
      <c r="C3148">
        <v>10318</v>
      </c>
      <c r="D3148">
        <v>3605.4</v>
      </c>
      <c r="E3148">
        <v>27</v>
      </c>
      <c r="G3148" t="s">
        <v>14</v>
      </c>
      <c r="H3148">
        <v>71</v>
      </c>
      <c r="I3148">
        <v>59</v>
      </c>
      <c r="J3148" t="s">
        <v>43</v>
      </c>
      <c r="K3148">
        <v>761</v>
      </c>
      <c r="L3148" t="s">
        <v>25</v>
      </c>
    </row>
    <row r="3149" spans="1:12" hidden="1" x14ac:dyDescent="0.3">
      <c r="A3149">
        <v>2007</v>
      </c>
      <c r="B3149" t="s">
        <v>68</v>
      </c>
      <c r="C3149">
        <v>48083</v>
      </c>
      <c r="D3149">
        <v>3605.4</v>
      </c>
      <c r="E3149">
        <v>27</v>
      </c>
      <c r="G3149" t="s">
        <v>14</v>
      </c>
      <c r="H3149">
        <v>52</v>
      </c>
      <c r="I3149">
        <v>50</v>
      </c>
      <c r="J3149" t="s">
        <v>43</v>
      </c>
      <c r="K3149">
        <v>45608</v>
      </c>
      <c r="L3149" t="s">
        <v>25</v>
      </c>
    </row>
    <row r="3150" spans="1:12" hidden="1" x14ac:dyDescent="0.3">
      <c r="A3150">
        <v>2008</v>
      </c>
      <c r="B3150" t="s">
        <v>68</v>
      </c>
      <c r="C3150">
        <v>143</v>
      </c>
      <c r="D3150">
        <v>3605.4</v>
      </c>
      <c r="E3150">
        <v>27</v>
      </c>
      <c r="G3150" t="s">
        <v>14</v>
      </c>
      <c r="H3150">
        <v>2570</v>
      </c>
      <c r="I3150">
        <v>54</v>
      </c>
      <c r="J3150" t="s">
        <v>43</v>
      </c>
      <c r="K3150">
        <v>234581</v>
      </c>
      <c r="L3150" t="s">
        <v>25</v>
      </c>
    </row>
    <row r="3151" spans="1:12" hidden="1" x14ac:dyDescent="0.3">
      <c r="A3151">
        <v>2009</v>
      </c>
      <c r="B3151" t="s">
        <v>68</v>
      </c>
      <c r="C3151">
        <v>9283</v>
      </c>
      <c r="D3151">
        <v>3512.4</v>
      </c>
      <c r="E3151">
        <v>27</v>
      </c>
      <c r="G3151" t="s">
        <v>14</v>
      </c>
      <c r="H3151">
        <v>27170</v>
      </c>
      <c r="I3151">
        <v>53</v>
      </c>
      <c r="J3151" t="s">
        <v>15</v>
      </c>
      <c r="K3151">
        <v>646</v>
      </c>
      <c r="L3151" t="s">
        <v>25</v>
      </c>
    </row>
    <row r="3152" spans="1:12" hidden="1" x14ac:dyDescent="0.3">
      <c r="A3152">
        <v>2010</v>
      </c>
      <c r="B3152" t="s">
        <v>68</v>
      </c>
      <c r="C3152">
        <v>47200</v>
      </c>
      <c r="D3152">
        <v>3512.4</v>
      </c>
      <c r="E3152">
        <v>27.2</v>
      </c>
      <c r="G3152" t="s">
        <v>14</v>
      </c>
      <c r="H3152">
        <v>114744</v>
      </c>
      <c r="I3152">
        <v>59.5</v>
      </c>
      <c r="J3152" t="s">
        <v>15</v>
      </c>
      <c r="K3152">
        <v>43562</v>
      </c>
      <c r="L3152" t="s">
        <v>22</v>
      </c>
    </row>
    <row r="3153" spans="1:12" hidden="1" x14ac:dyDescent="0.3">
      <c r="A3153">
        <v>2011</v>
      </c>
      <c r="B3153" t="s">
        <v>68</v>
      </c>
      <c r="C3153">
        <v>158</v>
      </c>
      <c r="D3153">
        <v>3512.4</v>
      </c>
      <c r="E3153">
        <v>27.2</v>
      </c>
      <c r="G3153" t="s">
        <v>14</v>
      </c>
      <c r="H3153">
        <v>1402</v>
      </c>
      <c r="I3153">
        <v>55</v>
      </c>
      <c r="J3153" t="s">
        <v>15</v>
      </c>
      <c r="K3153">
        <v>200000</v>
      </c>
      <c r="L3153" t="s">
        <v>22</v>
      </c>
    </row>
    <row r="3154" spans="1:12" hidden="1" x14ac:dyDescent="0.3">
      <c r="A3154">
        <v>2012</v>
      </c>
      <c r="B3154" t="s">
        <v>68</v>
      </c>
      <c r="C3154">
        <v>8982</v>
      </c>
      <c r="D3154">
        <v>3296</v>
      </c>
      <c r="E3154">
        <v>27.2</v>
      </c>
      <c r="G3154" t="s">
        <v>14</v>
      </c>
      <c r="H3154">
        <v>23456</v>
      </c>
      <c r="I3154">
        <v>53</v>
      </c>
      <c r="J3154" t="s">
        <v>15</v>
      </c>
      <c r="K3154">
        <v>4847</v>
      </c>
      <c r="L3154" t="s">
        <v>22</v>
      </c>
    </row>
    <row r="3155" spans="1:12" hidden="1" x14ac:dyDescent="0.3">
      <c r="A3155">
        <v>2013</v>
      </c>
      <c r="B3155" t="s">
        <v>68</v>
      </c>
      <c r="C3155">
        <v>46990</v>
      </c>
      <c r="D3155">
        <v>3296</v>
      </c>
      <c r="E3155">
        <v>27</v>
      </c>
      <c r="G3155" t="s">
        <v>14</v>
      </c>
      <c r="H3155">
        <v>107809</v>
      </c>
      <c r="I3155">
        <v>53.5</v>
      </c>
      <c r="J3155" t="s">
        <v>15</v>
      </c>
      <c r="K3155">
        <v>51239</v>
      </c>
      <c r="L3155" t="s">
        <v>22</v>
      </c>
    </row>
    <row r="3156" spans="1:12" hidden="1" x14ac:dyDescent="0.3">
      <c r="A3156">
        <v>2014</v>
      </c>
      <c r="B3156" t="s">
        <v>68</v>
      </c>
      <c r="C3156">
        <v>103</v>
      </c>
      <c r="D3156">
        <v>3296</v>
      </c>
      <c r="E3156">
        <v>27</v>
      </c>
      <c r="G3156" t="s">
        <v>14</v>
      </c>
      <c r="H3156">
        <v>1132</v>
      </c>
      <c r="I3156">
        <v>52.5</v>
      </c>
      <c r="J3156" t="s">
        <v>15</v>
      </c>
      <c r="K3156">
        <v>216396</v>
      </c>
      <c r="L3156" t="s">
        <v>22</v>
      </c>
    </row>
    <row r="3157" spans="1:12" hidden="1" x14ac:dyDescent="0.3">
      <c r="A3157">
        <v>2015</v>
      </c>
      <c r="B3157" t="s">
        <v>68</v>
      </c>
      <c r="C3157">
        <v>8239</v>
      </c>
      <c r="D3157">
        <v>3550</v>
      </c>
      <c r="E3157">
        <v>27</v>
      </c>
      <c r="G3157" t="s">
        <v>14</v>
      </c>
      <c r="H3157">
        <v>23960</v>
      </c>
      <c r="I3157">
        <v>56</v>
      </c>
      <c r="J3157" t="s">
        <v>15</v>
      </c>
      <c r="K3157">
        <v>2644</v>
      </c>
      <c r="L3157" t="s">
        <v>22</v>
      </c>
    </row>
    <row r="3158" spans="1:12" hidden="1" x14ac:dyDescent="0.3">
      <c r="A3158">
        <v>2016</v>
      </c>
      <c r="B3158" t="s">
        <v>68</v>
      </c>
      <c r="C3158">
        <v>44563</v>
      </c>
      <c r="D3158">
        <v>3550</v>
      </c>
      <c r="E3158">
        <v>27</v>
      </c>
      <c r="G3158" t="s">
        <v>14</v>
      </c>
      <c r="H3158">
        <v>126487</v>
      </c>
      <c r="I3158">
        <v>57</v>
      </c>
      <c r="J3158" t="s">
        <v>15</v>
      </c>
      <c r="K3158">
        <v>44235</v>
      </c>
      <c r="L3158" t="s">
        <v>22</v>
      </c>
    </row>
    <row r="3159" spans="1:12" hidden="1" x14ac:dyDescent="0.3">
      <c r="A3159">
        <v>2017</v>
      </c>
      <c r="B3159" t="s">
        <v>68</v>
      </c>
      <c r="C3159">
        <v>96</v>
      </c>
      <c r="D3159">
        <v>3550</v>
      </c>
      <c r="E3159">
        <v>27</v>
      </c>
      <c r="G3159" t="s">
        <v>14</v>
      </c>
      <c r="H3159">
        <v>804</v>
      </c>
      <c r="I3159">
        <v>57.5</v>
      </c>
      <c r="J3159" t="s">
        <v>15</v>
      </c>
      <c r="K3159">
        <v>203317</v>
      </c>
      <c r="L3159" t="s">
        <v>22</v>
      </c>
    </row>
  </sheetData>
  <pageMargins left="0.7" right="0.7" top="0.75" bottom="0.75" header="0.3" footer="0.3"/>
  <tableParts count="1">
    <tablePart r:id="rId1"/>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F557B70-B753-4A92-AC13-0C9B2C347C60}">
  <dimension ref="A3:P55"/>
  <sheetViews>
    <sheetView tabSelected="1" topLeftCell="A26" workbookViewId="0">
      <selection activeCell="W22" sqref="W22"/>
    </sheetView>
  </sheetViews>
  <sheetFormatPr defaultRowHeight="14.4" x14ac:dyDescent="0.3"/>
  <cols>
    <col min="1" max="2" width="12.44140625" bestFit="1" customWidth="1"/>
    <col min="3" max="3" width="12" bestFit="1" customWidth="1"/>
    <col min="4" max="4" width="9.88671875" bestFit="1" customWidth="1"/>
    <col min="5" max="5" width="13.21875" bestFit="1" customWidth="1"/>
    <col min="6" max="6" width="13.44140625" bestFit="1" customWidth="1"/>
    <col min="7" max="7" width="17.88671875" bestFit="1" customWidth="1"/>
    <col min="8" max="8" width="14.88671875" bestFit="1" customWidth="1"/>
    <col min="9" max="9" width="9" bestFit="1" customWidth="1"/>
    <col min="10" max="10" width="8" bestFit="1" customWidth="1"/>
    <col min="11" max="11" width="9" bestFit="1" customWidth="1"/>
    <col min="12" max="12" width="9.77734375" bestFit="1" customWidth="1"/>
    <col min="13" max="15" width="9" bestFit="1" customWidth="1"/>
    <col min="16" max="16" width="10.5546875" bestFit="1" customWidth="1"/>
    <col min="17" max="25" width="8" bestFit="1" customWidth="1"/>
    <col min="26" max="26" width="7" bestFit="1" customWidth="1"/>
    <col min="27" max="28" width="8" bestFit="1" customWidth="1"/>
    <col min="29" max="29" width="7" bestFit="1" customWidth="1"/>
    <col min="30" max="30" width="8" bestFit="1" customWidth="1"/>
    <col min="31" max="31" width="7" bestFit="1" customWidth="1"/>
    <col min="32" max="33" width="8" bestFit="1" customWidth="1"/>
    <col min="34" max="34" width="7" bestFit="1" customWidth="1"/>
    <col min="35" max="49" width="8" bestFit="1" customWidth="1"/>
    <col min="50" max="50" width="9" bestFit="1" customWidth="1"/>
    <col min="51" max="51" width="8" bestFit="1" customWidth="1"/>
    <col min="52" max="52" width="9" bestFit="1" customWidth="1"/>
    <col min="53" max="161" width="8" bestFit="1" customWidth="1"/>
    <col min="162" max="162" width="17.88671875" bestFit="1" customWidth="1"/>
    <col min="163" max="165" width="7" bestFit="1" customWidth="1"/>
    <col min="166" max="166" width="4" bestFit="1" customWidth="1"/>
    <col min="167" max="168" width="7" bestFit="1" customWidth="1"/>
    <col min="169" max="169" width="5" bestFit="1" customWidth="1"/>
    <col min="170" max="178" width="7" bestFit="1" customWidth="1"/>
    <col min="179" max="179" width="6" bestFit="1" customWidth="1"/>
    <col min="180" max="181" width="7" bestFit="1" customWidth="1"/>
    <col min="182" max="182" width="6" bestFit="1" customWidth="1"/>
    <col min="183" max="183" width="7" bestFit="1" customWidth="1"/>
    <col min="184" max="185" width="6" bestFit="1" customWidth="1"/>
    <col min="186" max="186" width="5" bestFit="1" customWidth="1"/>
    <col min="187" max="188" width="4" bestFit="1" customWidth="1"/>
    <col min="189" max="189" width="7" bestFit="1" customWidth="1"/>
    <col min="190" max="190" width="6" bestFit="1" customWidth="1"/>
    <col min="191" max="195" width="7" bestFit="1" customWidth="1"/>
    <col min="196" max="196" width="6" bestFit="1" customWidth="1"/>
    <col min="197" max="200" width="7" bestFit="1" customWidth="1"/>
    <col min="201" max="202" width="6" bestFit="1" customWidth="1"/>
    <col min="203" max="204" width="7" bestFit="1" customWidth="1"/>
    <col min="205" max="205" width="6" bestFit="1" customWidth="1"/>
    <col min="206" max="208" width="7" bestFit="1" customWidth="1"/>
    <col min="209" max="209" width="6" bestFit="1" customWidth="1"/>
    <col min="210" max="211" width="7" bestFit="1" customWidth="1"/>
    <col min="212" max="212" width="4" bestFit="1" customWidth="1"/>
    <col min="213" max="213" width="6" bestFit="1" customWidth="1"/>
    <col min="214" max="216" width="7" bestFit="1" customWidth="1"/>
    <col min="217" max="217" width="6" bestFit="1" customWidth="1"/>
    <col min="218" max="218" width="7" bestFit="1" customWidth="1"/>
    <col min="219" max="221" width="6" bestFit="1" customWidth="1"/>
    <col min="222" max="222" width="5" bestFit="1" customWidth="1"/>
    <col min="223" max="223" width="7" bestFit="1" customWidth="1"/>
    <col min="224" max="225" width="6" bestFit="1" customWidth="1"/>
    <col min="226" max="226" width="7" bestFit="1" customWidth="1"/>
    <col min="227" max="227" width="6" bestFit="1" customWidth="1"/>
    <col min="228" max="241" width="7" bestFit="1" customWidth="1"/>
    <col min="242" max="242" width="6" bestFit="1" customWidth="1"/>
    <col min="243" max="243" width="7" bestFit="1" customWidth="1"/>
    <col min="244" max="247" width="6" bestFit="1" customWidth="1"/>
    <col min="248" max="249" width="7" bestFit="1" customWidth="1"/>
    <col min="250" max="250" width="6" bestFit="1" customWidth="1"/>
    <col min="251" max="255" width="7" bestFit="1" customWidth="1"/>
    <col min="256" max="256" width="6" bestFit="1" customWidth="1"/>
    <col min="257" max="270" width="7" bestFit="1" customWidth="1"/>
    <col min="271" max="271" width="6" bestFit="1" customWidth="1"/>
    <col min="272" max="273" width="7" bestFit="1" customWidth="1"/>
    <col min="274" max="275" width="5" bestFit="1" customWidth="1"/>
    <col min="276" max="281" width="7" bestFit="1" customWidth="1"/>
    <col min="282" max="282" width="6" bestFit="1" customWidth="1"/>
    <col min="283" max="292" width="7" bestFit="1" customWidth="1"/>
    <col min="293" max="295" width="6" bestFit="1" customWidth="1"/>
    <col min="296" max="299" width="7" bestFit="1" customWidth="1"/>
    <col min="300" max="303" width="6" bestFit="1" customWidth="1"/>
    <col min="304" max="305" width="7" bestFit="1" customWidth="1"/>
    <col min="306" max="306" width="6" bestFit="1" customWidth="1"/>
    <col min="307" max="312" width="7" bestFit="1" customWidth="1"/>
    <col min="313" max="313" width="6" bestFit="1" customWidth="1"/>
    <col min="314" max="317" width="7" bestFit="1" customWidth="1"/>
    <col min="318" max="318" width="14.88671875" bestFit="1" customWidth="1"/>
    <col min="319" max="321" width="7" bestFit="1" customWidth="1"/>
    <col min="322" max="326" width="6" bestFit="1" customWidth="1"/>
    <col min="327" max="328" width="7" bestFit="1" customWidth="1"/>
    <col min="329" max="331" width="6" bestFit="1" customWidth="1"/>
    <col min="332" max="332" width="7" bestFit="1" customWidth="1"/>
    <col min="333" max="333" width="6" bestFit="1" customWidth="1"/>
    <col min="334" max="334" width="7" bestFit="1" customWidth="1"/>
    <col min="335" max="335" width="6" bestFit="1" customWidth="1"/>
    <col min="336" max="337" width="7" bestFit="1" customWidth="1"/>
    <col min="338" max="343" width="6" bestFit="1" customWidth="1"/>
    <col min="344" max="344" width="4" bestFit="1" customWidth="1"/>
    <col min="345" max="346" width="6" bestFit="1" customWidth="1"/>
    <col min="347" max="347" width="7" bestFit="1" customWidth="1"/>
    <col min="348" max="348" width="6" bestFit="1" customWidth="1"/>
    <col min="349" max="350" width="7" bestFit="1" customWidth="1"/>
    <col min="351" max="351" width="6" bestFit="1" customWidth="1"/>
    <col min="352" max="352" width="7" bestFit="1" customWidth="1"/>
    <col min="353" max="353" width="6" bestFit="1" customWidth="1"/>
    <col min="354" max="356" width="7" bestFit="1" customWidth="1"/>
    <col min="357" max="357" width="6" bestFit="1" customWidth="1"/>
    <col min="358" max="358" width="7" bestFit="1" customWidth="1"/>
    <col min="359" max="359" width="6" bestFit="1" customWidth="1"/>
    <col min="360" max="360" width="7" bestFit="1" customWidth="1"/>
    <col min="361" max="361" width="6" bestFit="1" customWidth="1"/>
    <col min="362" max="362" width="7" bestFit="1" customWidth="1"/>
    <col min="363" max="363" width="6" bestFit="1" customWidth="1"/>
    <col min="364" max="364" width="7" bestFit="1" customWidth="1"/>
    <col min="365" max="366" width="6" bestFit="1" customWidth="1"/>
    <col min="367" max="367" width="7" bestFit="1" customWidth="1"/>
    <col min="368" max="369" width="6" bestFit="1" customWidth="1"/>
    <col min="370" max="371" width="7" bestFit="1" customWidth="1"/>
    <col min="372" max="372" width="6" bestFit="1" customWidth="1"/>
    <col min="373" max="373" width="7" bestFit="1" customWidth="1"/>
    <col min="374" max="376" width="6" bestFit="1" customWidth="1"/>
    <col min="377" max="377" width="4" bestFit="1" customWidth="1"/>
    <col min="378" max="378" width="6" bestFit="1" customWidth="1"/>
    <col min="379" max="379" width="7" bestFit="1" customWidth="1"/>
    <col min="380" max="382" width="6" bestFit="1" customWidth="1"/>
    <col min="383" max="383" width="7" bestFit="1" customWidth="1"/>
    <col min="384" max="385" width="6" bestFit="1" customWidth="1"/>
    <col min="386" max="387" width="7" bestFit="1" customWidth="1"/>
    <col min="388" max="389" width="6" bestFit="1" customWidth="1"/>
    <col min="390" max="391" width="7" bestFit="1" customWidth="1"/>
    <col min="392" max="392" width="5" bestFit="1" customWidth="1"/>
    <col min="393" max="396" width="6" bestFit="1" customWidth="1"/>
    <col min="397" max="397" width="7" bestFit="1" customWidth="1"/>
    <col min="398" max="398" width="6" bestFit="1" customWidth="1"/>
    <col min="399" max="399" width="7" bestFit="1" customWidth="1"/>
    <col min="400" max="411" width="6" bestFit="1" customWidth="1"/>
    <col min="412" max="412" width="7" bestFit="1" customWidth="1"/>
    <col min="413" max="413" width="6" bestFit="1" customWidth="1"/>
    <col min="414" max="415" width="7" bestFit="1" customWidth="1"/>
    <col min="416" max="416" width="6" bestFit="1" customWidth="1"/>
    <col min="417" max="418" width="7" bestFit="1" customWidth="1"/>
    <col min="419" max="426" width="6" bestFit="1" customWidth="1"/>
    <col min="427" max="427" width="7" bestFit="1" customWidth="1"/>
    <col min="428" max="428" width="6" bestFit="1" customWidth="1"/>
    <col min="429" max="429" width="7" bestFit="1" customWidth="1"/>
    <col min="430" max="431" width="6" bestFit="1" customWidth="1"/>
    <col min="432" max="432" width="7" bestFit="1" customWidth="1"/>
    <col min="433" max="433" width="6" bestFit="1" customWidth="1"/>
    <col min="434" max="438" width="7" bestFit="1" customWidth="1"/>
    <col min="439" max="440" width="6" bestFit="1" customWidth="1"/>
    <col min="441" max="444" width="7" bestFit="1" customWidth="1"/>
    <col min="445" max="447" width="6" bestFit="1" customWidth="1"/>
    <col min="448" max="448" width="7" bestFit="1" customWidth="1"/>
    <col min="449" max="450" width="6" bestFit="1" customWidth="1"/>
    <col min="451" max="451" width="7" bestFit="1" customWidth="1"/>
    <col min="452" max="453" width="6" bestFit="1" customWidth="1"/>
    <col min="454" max="454" width="7" bestFit="1" customWidth="1"/>
    <col min="455" max="455" width="6" bestFit="1" customWidth="1"/>
    <col min="456" max="456" width="7" bestFit="1" customWidth="1"/>
    <col min="457" max="457" width="6" bestFit="1" customWidth="1"/>
    <col min="458" max="461" width="7" bestFit="1" customWidth="1"/>
    <col min="462" max="464" width="6" bestFit="1" customWidth="1"/>
    <col min="465" max="466" width="7" bestFit="1" customWidth="1"/>
    <col min="467" max="467" width="6" bestFit="1" customWidth="1"/>
    <col min="468" max="469" width="7" bestFit="1" customWidth="1"/>
    <col min="470" max="470" width="6" bestFit="1" customWidth="1"/>
    <col min="471" max="473" width="7" bestFit="1" customWidth="1"/>
    <col min="474" max="474" width="18" bestFit="1" customWidth="1"/>
    <col min="475" max="475" width="22.44140625" bestFit="1" customWidth="1"/>
    <col min="476" max="476" width="19.44140625" bestFit="1" customWidth="1"/>
    <col min="477" max="478" width="5" bestFit="1" customWidth="1"/>
    <col min="479" max="479" width="7" bestFit="1" customWidth="1"/>
    <col min="480" max="480" width="6" bestFit="1" customWidth="1"/>
    <col min="481" max="483" width="7" bestFit="1" customWidth="1"/>
    <col min="484" max="484" width="6" bestFit="1" customWidth="1"/>
    <col min="485" max="485" width="7" bestFit="1" customWidth="1"/>
    <col min="486" max="486" width="8.44140625" bestFit="1" customWidth="1"/>
    <col min="487" max="490" width="7" bestFit="1" customWidth="1"/>
    <col min="491" max="491" width="4" bestFit="1" customWidth="1"/>
    <col min="492" max="492" width="7" bestFit="1" customWidth="1"/>
    <col min="493" max="493" width="5" bestFit="1" customWidth="1"/>
    <col min="494" max="494" width="7" bestFit="1" customWidth="1"/>
    <col min="495" max="497" width="5" bestFit="1" customWidth="1"/>
    <col min="498" max="498" width="7" bestFit="1" customWidth="1"/>
    <col min="499" max="499" width="5" bestFit="1" customWidth="1"/>
    <col min="500" max="501" width="7" bestFit="1" customWidth="1"/>
    <col min="502" max="503" width="5" bestFit="1" customWidth="1"/>
    <col min="504" max="509" width="7" bestFit="1" customWidth="1"/>
    <col min="510" max="511" width="6" bestFit="1" customWidth="1"/>
    <col min="512" max="512" width="7" bestFit="1" customWidth="1"/>
    <col min="513" max="513" width="6" bestFit="1" customWidth="1"/>
    <col min="514" max="514" width="8.44140625" bestFit="1" customWidth="1"/>
    <col min="515" max="515" width="7" bestFit="1" customWidth="1"/>
    <col min="516" max="516" width="5" bestFit="1" customWidth="1"/>
    <col min="517" max="517" width="4" bestFit="1" customWidth="1"/>
    <col min="518" max="518" width="7" bestFit="1" customWidth="1"/>
    <col min="519" max="519" width="4" bestFit="1" customWidth="1"/>
    <col min="520" max="520" width="6" bestFit="1" customWidth="1"/>
    <col min="521" max="523" width="7" bestFit="1" customWidth="1"/>
    <col min="524" max="524" width="6" bestFit="1" customWidth="1"/>
    <col min="525" max="525" width="8.44140625" bestFit="1" customWidth="1"/>
    <col min="526" max="526" width="5.6640625" bestFit="1" customWidth="1"/>
    <col min="527" max="527" width="5" bestFit="1" customWidth="1"/>
    <col min="528" max="533" width="7" bestFit="1" customWidth="1"/>
    <col min="534" max="535" width="5" bestFit="1" customWidth="1"/>
    <col min="536" max="542" width="7" bestFit="1" customWidth="1"/>
    <col min="543" max="543" width="5" bestFit="1" customWidth="1"/>
    <col min="544" max="544" width="7" bestFit="1" customWidth="1"/>
    <col min="545" max="545" width="5" bestFit="1" customWidth="1"/>
    <col min="546" max="546" width="7" bestFit="1" customWidth="1"/>
    <col min="547" max="547" width="5" bestFit="1" customWidth="1"/>
    <col min="548" max="549" width="7" bestFit="1" customWidth="1"/>
    <col min="550" max="551" width="6" bestFit="1" customWidth="1"/>
    <col min="552" max="552" width="7" bestFit="1" customWidth="1"/>
    <col min="553" max="553" width="6" bestFit="1" customWidth="1"/>
    <col min="554" max="554" width="8.44140625" bestFit="1" customWidth="1"/>
    <col min="555" max="555" width="7" bestFit="1" customWidth="1"/>
    <col min="556" max="556" width="4" bestFit="1" customWidth="1"/>
    <col min="557" max="557" width="7" bestFit="1" customWidth="1"/>
    <col min="558" max="558" width="5" bestFit="1" customWidth="1"/>
    <col min="559" max="559" width="7" bestFit="1" customWidth="1"/>
    <col min="560" max="561" width="6" bestFit="1" customWidth="1"/>
    <col min="562" max="563" width="7" bestFit="1" customWidth="1"/>
    <col min="564" max="564" width="6" bestFit="1" customWidth="1"/>
    <col min="565" max="565" width="8.44140625" bestFit="1" customWidth="1"/>
    <col min="566" max="566" width="7" bestFit="1" customWidth="1"/>
    <col min="567" max="567" width="5" bestFit="1" customWidth="1"/>
    <col min="568" max="569" width="7" bestFit="1" customWidth="1"/>
    <col min="570" max="571" width="5" bestFit="1" customWidth="1"/>
    <col min="572" max="572" width="7" bestFit="1" customWidth="1"/>
    <col min="573" max="573" width="5" bestFit="1" customWidth="1"/>
    <col min="574" max="577" width="4" bestFit="1" customWidth="1"/>
    <col min="578" max="579" width="7" bestFit="1" customWidth="1"/>
    <col min="580" max="580" width="5" bestFit="1" customWidth="1"/>
    <col min="581" max="584" width="7" bestFit="1" customWidth="1"/>
    <col min="585" max="585" width="5" bestFit="1" customWidth="1"/>
    <col min="586" max="586" width="7" bestFit="1" customWidth="1"/>
    <col min="587" max="588" width="6" bestFit="1" customWidth="1"/>
    <col min="589" max="589" width="7" bestFit="1" customWidth="1"/>
    <col min="590" max="591" width="6" bestFit="1" customWidth="1"/>
    <col min="592" max="592" width="7" bestFit="1" customWidth="1"/>
    <col min="593" max="593" width="6" bestFit="1" customWidth="1"/>
    <col min="594" max="594" width="8.44140625" bestFit="1" customWidth="1"/>
    <col min="595" max="596" width="7" bestFit="1" customWidth="1"/>
    <col min="597" max="597" width="5" bestFit="1" customWidth="1"/>
    <col min="598" max="598" width="7" bestFit="1" customWidth="1"/>
    <col min="599" max="599" width="4" bestFit="1" customWidth="1"/>
    <col min="600" max="601" width="7" bestFit="1" customWidth="1"/>
    <col min="602" max="602" width="5" bestFit="1" customWidth="1"/>
    <col min="603" max="603" width="7" bestFit="1" customWidth="1"/>
    <col min="604" max="604" width="5" bestFit="1" customWidth="1"/>
    <col min="605" max="606" width="7" bestFit="1" customWidth="1"/>
    <col min="607" max="607" width="4" bestFit="1" customWidth="1"/>
    <col min="608" max="608" width="7" bestFit="1" customWidth="1"/>
    <col min="609" max="609" width="4" bestFit="1" customWidth="1"/>
    <col min="610" max="610" width="7" bestFit="1" customWidth="1"/>
    <col min="611" max="611" width="5" bestFit="1" customWidth="1"/>
    <col min="612" max="613" width="7" bestFit="1" customWidth="1"/>
    <col min="614" max="615" width="5" bestFit="1" customWidth="1"/>
    <col min="616" max="617" width="7" bestFit="1" customWidth="1"/>
    <col min="618" max="618" width="5" bestFit="1" customWidth="1"/>
    <col min="619" max="621" width="7" bestFit="1" customWidth="1"/>
    <col min="622" max="622" width="5" bestFit="1" customWidth="1"/>
    <col min="623" max="631" width="7" bestFit="1" customWidth="1"/>
    <col min="632" max="632" width="5" bestFit="1" customWidth="1"/>
    <col min="633" max="633" width="7" bestFit="1" customWidth="1"/>
    <col min="634" max="634" width="6" bestFit="1" customWidth="1"/>
    <col min="635" max="635" width="7" bestFit="1" customWidth="1"/>
    <col min="636" max="636" width="6" bestFit="1" customWidth="1"/>
    <col min="637" max="640" width="7" bestFit="1" customWidth="1"/>
    <col min="641" max="642" width="6" bestFit="1" customWidth="1"/>
    <col min="643" max="644" width="7" bestFit="1" customWidth="1"/>
    <col min="645" max="645" width="9" bestFit="1" customWidth="1"/>
    <col min="646" max="647" width="7" bestFit="1" customWidth="1"/>
    <col min="648" max="648" width="5" bestFit="1" customWidth="1"/>
    <col min="649" max="650" width="4" bestFit="1" customWidth="1"/>
    <col min="651" max="651" width="7" bestFit="1" customWidth="1"/>
    <col min="652" max="652" width="5" bestFit="1" customWidth="1"/>
    <col min="653" max="653" width="7" bestFit="1" customWidth="1"/>
    <col min="654" max="655" width="5" bestFit="1" customWidth="1"/>
    <col min="656" max="656" width="8.44140625" bestFit="1" customWidth="1"/>
    <col min="657" max="657" width="5.6640625" bestFit="1" customWidth="1"/>
    <col min="658" max="658" width="7" bestFit="1" customWidth="1"/>
    <col min="659" max="660" width="5" bestFit="1" customWidth="1"/>
    <col min="661" max="662" width="4" bestFit="1" customWidth="1"/>
    <col min="663" max="663" width="7" bestFit="1" customWidth="1"/>
    <col min="664" max="665" width="5" bestFit="1" customWidth="1"/>
    <col min="666" max="666" width="7" bestFit="1" customWidth="1"/>
    <col min="667" max="667" width="8.44140625" bestFit="1" customWidth="1"/>
    <col min="668" max="668" width="5.6640625" bestFit="1" customWidth="1"/>
    <col min="669" max="669" width="7" bestFit="1" customWidth="1"/>
    <col min="670" max="670" width="5" bestFit="1" customWidth="1"/>
    <col min="671" max="672" width="4" bestFit="1" customWidth="1"/>
    <col min="673" max="673" width="7" bestFit="1" customWidth="1"/>
    <col min="674" max="677" width="5" bestFit="1" customWidth="1"/>
    <col min="678" max="678" width="8.44140625" bestFit="1" customWidth="1"/>
    <col min="679" max="679" width="5.6640625" bestFit="1" customWidth="1"/>
    <col min="680" max="680" width="7" bestFit="1" customWidth="1"/>
    <col min="681" max="685" width="5" bestFit="1" customWidth="1"/>
    <col min="686" max="686" width="7" bestFit="1" customWidth="1"/>
    <col min="687" max="688" width="5" bestFit="1" customWidth="1"/>
    <col min="689" max="689" width="8.44140625" bestFit="1" customWidth="1"/>
    <col min="690" max="690" width="7" bestFit="1" customWidth="1"/>
    <col min="691" max="694" width="5" bestFit="1" customWidth="1"/>
    <col min="695" max="695" width="4" bestFit="1" customWidth="1"/>
    <col min="696" max="698" width="7" bestFit="1" customWidth="1"/>
    <col min="699" max="699" width="5" bestFit="1" customWidth="1"/>
    <col min="700" max="700" width="8.44140625" bestFit="1" customWidth="1"/>
    <col min="701" max="701" width="5.6640625" bestFit="1" customWidth="1"/>
    <col min="702" max="702" width="5" bestFit="1" customWidth="1"/>
    <col min="703" max="703" width="7" bestFit="1" customWidth="1"/>
    <col min="704" max="707" width="5" bestFit="1" customWidth="1"/>
    <col min="708" max="708" width="7" bestFit="1" customWidth="1"/>
    <col min="709" max="709" width="5" bestFit="1" customWidth="1"/>
    <col min="710" max="710" width="7" bestFit="1" customWidth="1"/>
    <col min="711" max="711" width="8.44140625" bestFit="1" customWidth="1"/>
    <col min="712" max="712" width="5.6640625" bestFit="1" customWidth="1"/>
    <col min="713" max="720" width="7" bestFit="1" customWidth="1"/>
    <col min="721" max="721" width="6" bestFit="1" customWidth="1"/>
    <col min="722" max="722" width="8.44140625" bestFit="1" customWidth="1"/>
    <col min="723" max="723" width="5.6640625" bestFit="1" customWidth="1"/>
    <col min="724" max="727" width="7" bestFit="1" customWidth="1"/>
    <col min="728" max="729" width="5" bestFit="1" customWidth="1"/>
    <col min="730" max="730" width="7" bestFit="1" customWidth="1"/>
    <col min="731" max="731" width="5" bestFit="1" customWidth="1"/>
    <col min="732" max="732" width="7" bestFit="1" customWidth="1"/>
    <col min="733" max="733" width="8.44140625" bestFit="1" customWidth="1"/>
    <col min="734" max="734" width="5.6640625" bestFit="1" customWidth="1"/>
    <col min="735" max="735" width="7" bestFit="1" customWidth="1"/>
    <col min="736" max="737" width="5" bestFit="1" customWidth="1"/>
    <col min="738" max="738" width="4" bestFit="1" customWidth="1"/>
    <col min="739" max="740" width="5" bestFit="1" customWidth="1"/>
    <col min="741" max="741" width="7" bestFit="1" customWidth="1"/>
    <col min="742" max="743" width="5" bestFit="1" customWidth="1"/>
    <col min="744" max="744" width="8.44140625" bestFit="1" customWidth="1"/>
    <col min="745" max="747" width="7" bestFit="1" customWidth="1"/>
    <col min="748" max="748" width="5" bestFit="1" customWidth="1"/>
    <col min="749" max="749" width="7" bestFit="1" customWidth="1"/>
    <col min="750" max="750" width="5" bestFit="1" customWidth="1"/>
    <col min="751" max="751" width="7" bestFit="1" customWidth="1"/>
    <col min="752" max="754" width="5" bestFit="1" customWidth="1"/>
    <col min="755" max="760" width="7" bestFit="1" customWidth="1"/>
    <col min="761" max="761" width="5" bestFit="1" customWidth="1"/>
    <col min="762" max="763" width="6" bestFit="1" customWidth="1"/>
    <col min="764" max="766" width="7" bestFit="1" customWidth="1"/>
    <col min="767" max="771" width="6" bestFit="1" customWidth="1"/>
    <col min="772" max="772" width="7" bestFit="1" customWidth="1"/>
    <col min="773" max="773" width="8.44140625" bestFit="1" customWidth="1"/>
    <col min="774" max="774" width="5.6640625" bestFit="1" customWidth="1"/>
    <col min="775" max="775" width="7" bestFit="1" customWidth="1"/>
    <col min="776" max="776" width="5" bestFit="1" customWidth="1"/>
    <col min="777" max="777" width="7" bestFit="1" customWidth="1"/>
    <col min="778" max="778" width="4" bestFit="1" customWidth="1"/>
    <col min="779" max="782" width="7" bestFit="1" customWidth="1"/>
    <col min="783" max="784" width="5" bestFit="1" customWidth="1"/>
    <col min="785" max="786" width="7" bestFit="1" customWidth="1"/>
    <col min="787" max="787" width="5" bestFit="1" customWidth="1"/>
    <col min="788" max="790" width="7" bestFit="1" customWidth="1"/>
    <col min="791" max="791" width="5" bestFit="1" customWidth="1"/>
    <col min="792" max="794" width="7" bestFit="1" customWidth="1"/>
    <col min="795" max="795" width="5" bestFit="1" customWidth="1"/>
    <col min="796" max="796" width="7" bestFit="1" customWidth="1"/>
    <col min="797" max="797" width="6" bestFit="1" customWidth="1"/>
    <col min="798" max="798" width="7" bestFit="1" customWidth="1"/>
    <col min="799" max="800" width="6" bestFit="1" customWidth="1"/>
    <col min="801" max="801" width="8.44140625" bestFit="1" customWidth="1"/>
    <col min="802" max="803" width="7" bestFit="1" customWidth="1"/>
    <col min="804" max="804" width="5" bestFit="1" customWidth="1"/>
    <col min="805" max="808" width="7" bestFit="1" customWidth="1"/>
    <col min="809" max="810" width="6" bestFit="1" customWidth="1"/>
    <col min="811" max="811" width="8.44140625" bestFit="1" customWidth="1"/>
    <col min="812" max="816" width="7" bestFit="1" customWidth="1"/>
    <col min="817" max="817" width="5" bestFit="1" customWidth="1"/>
    <col min="818" max="819" width="7" bestFit="1" customWidth="1"/>
    <col min="820" max="820" width="4" bestFit="1" customWidth="1"/>
    <col min="821" max="821" width="7" bestFit="1" customWidth="1"/>
    <col min="822" max="823" width="5" bestFit="1" customWidth="1"/>
    <col min="824" max="824" width="7" bestFit="1" customWidth="1"/>
    <col min="825" max="825" width="5" bestFit="1" customWidth="1"/>
    <col min="826" max="829" width="7" bestFit="1" customWidth="1"/>
    <col min="830" max="830" width="5" bestFit="1" customWidth="1"/>
    <col min="831" max="832" width="7" bestFit="1" customWidth="1"/>
    <col min="833" max="833" width="5" bestFit="1" customWidth="1"/>
    <col min="834" max="834" width="7" bestFit="1" customWidth="1"/>
    <col min="835" max="835" width="6" bestFit="1" customWidth="1"/>
    <col min="836" max="836" width="7" bestFit="1" customWidth="1"/>
    <col min="837" max="837" width="6" bestFit="1" customWidth="1"/>
    <col min="838" max="838" width="7" bestFit="1" customWidth="1"/>
    <col min="839" max="839" width="8.44140625" bestFit="1" customWidth="1"/>
    <col min="840" max="841" width="7" bestFit="1" customWidth="1"/>
    <col min="842" max="842" width="5" bestFit="1" customWidth="1"/>
    <col min="843" max="844" width="7" bestFit="1" customWidth="1"/>
    <col min="845" max="845" width="5" bestFit="1" customWidth="1"/>
    <col min="846" max="847" width="7" bestFit="1" customWidth="1"/>
    <col min="848" max="848" width="5" bestFit="1" customWidth="1"/>
    <col min="849" max="849" width="7" bestFit="1" customWidth="1"/>
    <col min="850" max="850" width="5" bestFit="1" customWidth="1"/>
    <col min="851" max="853" width="7" bestFit="1" customWidth="1"/>
    <col min="854" max="854" width="5" bestFit="1" customWidth="1"/>
    <col min="855" max="857" width="7" bestFit="1" customWidth="1"/>
    <col min="858" max="858" width="5" bestFit="1" customWidth="1"/>
    <col min="859" max="859" width="6" bestFit="1" customWidth="1"/>
    <col min="860" max="860" width="7" bestFit="1" customWidth="1"/>
    <col min="861" max="861" width="6" bestFit="1" customWidth="1"/>
    <col min="862" max="864" width="7" bestFit="1" customWidth="1"/>
    <col min="865" max="865" width="8.44140625" bestFit="1" customWidth="1"/>
    <col min="866" max="866" width="7" bestFit="1" customWidth="1"/>
    <col min="867" max="867" width="5" bestFit="1" customWidth="1"/>
    <col min="868" max="869" width="7" bestFit="1" customWidth="1"/>
    <col min="870" max="870" width="4" bestFit="1" customWidth="1"/>
    <col min="871" max="871" width="7" bestFit="1" customWidth="1"/>
    <col min="872" max="872" width="5" bestFit="1" customWidth="1"/>
    <col min="873" max="873" width="7" bestFit="1" customWidth="1"/>
    <col min="874" max="875" width="5" bestFit="1" customWidth="1"/>
    <col min="876" max="877" width="7" bestFit="1" customWidth="1"/>
    <col min="878" max="878" width="6" bestFit="1" customWidth="1"/>
    <col min="879" max="879" width="7" bestFit="1" customWidth="1"/>
    <col min="880" max="881" width="6" bestFit="1" customWidth="1"/>
    <col min="882" max="882" width="7" bestFit="1" customWidth="1"/>
    <col min="883" max="883" width="8.44140625" bestFit="1" customWidth="1"/>
    <col min="884" max="884" width="7" bestFit="1" customWidth="1"/>
    <col min="885" max="885" width="4" bestFit="1" customWidth="1"/>
    <col min="886" max="886" width="7" bestFit="1" customWidth="1"/>
    <col min="887" max="887" width="4" bestFit="1" customWidth="1"/>
    <col min="888" max="888" width="5" bestFit="1" customWidth="1"/>
    <col min="889" max="889" width="4" bestFit="1" customWidth="1"/>
    <col min="890" max="890" width="5" bestFit="1" customWidth="1"/>
    <col min="891" max="896" width="7" bestFit="1" customWidth="1"/>
    <col min="897" max="898" width="6" bestFit="1" customWidth="1"/>
    <col min="899" max="900" width="7" bestFit="1" customWidth="1"/>
    <col min="901" max="901" width="6" bestFit="1" customWidth="1"/>
    <col min="902" max="902" width="8.44140625" bestFit="1" customWidth="1"/>
    <col min="903" max="903" width="5.6640625" bestFit="1" customWidth="1"/>
    <col min="904" max="904" width="7" bestFit="1" customWidth="1"/>
    <col min="905" max="905" width="4" bestFit="1" customWidth="1"/>
    <col min="906" max="913" width="7" bestFit="1" customWidth="1"/>
    <col min="914" max="914" width="5" bestFit="1" customWidth="1"/>
    <col min="915" max="918" width="7" bestFit="1" customWidth="1"/>
    <col min="919" max="919" width="5" bestFit="1" customWidth="1"/>
    <col min="920" max="920" width="7" bestFit="1" customWidth="1"/>
    <col min="921" max="921" width="5" bestFit="1" customWidth="1"/>
    <col min="922" max="922" width="7" bestFit="1" customWidth="1"/>
    <col min="923" max="923" width="6" bestFit="1" customWidth="1"/>
    <col min="924" max="924" width="7" bestFit="1" customWidth="1"/>
    <col min="925" max="926" width="6" bestFit="1" customWidth="1"/>
    <col min="927" max="927" width="7" bestFit="1" customWidth="1"/>
    <col min="928" max="928" width="8.44140625" bestFit="1" customWidth="1"/>
    <col min="929" max="929" width="5.6640625" bestFit="1" customWidth="1"/>
    <col min="930" max="930" width="7" bestFit="1" customWidth="1"/>
    <col min="931" max="931" width="4" bestFit="1" customWidth="1"/>
    <col min="932" max="934" width="7" bestFit="1" customWidth="1"/>
    <col min="935" max="936" width="5" bestFit="1" customWidth="1"/>
    <col min="937" max="941" width="7" bestFit="1" customWidth="1"/>
    <col min="942" max="942" width="5" bestFit="1" customWidth="1"/>
    <col min="943" max="944" width="7" bestFit="1" customWidth="1"/>
    <col min="945" max="945" width="5" bestFit="1" customWidth="1"/>
    <col min="946" max="946" width="7" bestFit="1" customWidth="1"/>
    <col min="947" max="948" width="5" bestFit="1" customWidth="1"/>
    <col min="949" max="949" width="7" bestFit="1" customWidth="1"/>
    <col min="950" max="950" width="6" bestFit="1" customWidth="1"/>
    <col min="951" max="953" width="7" bestFit="1" customWidth="1"/>
    <col min="954" max="954" width="8.44140625" bestFit="1" customWidth="1"/>
    <col min="955" max="958" width="7" bestFit="1" customWidth="1"/>
    <col min="959" max="959" width="4" bestFit="1" customWidth="1"/>
    <col min="960" max="961" width="7" bestFit="1" customWidth="1"/>
    <col min="962" max="962" width="5" bestFit="1" customWidth="1"/>
    <col min="963" max="963" width="7" bestFit="1" customWidth="1"/>
    <col min="964" max="968" width="5" bestFit="1" customWidth="1"/>
    <col min="969" max="970" width="7" bestFit="1" customWidth="1"/>
    <col min="971" max="971" width="5" bestFit="1" customWidth="1"/>
    <col min="972" max="972" width="7" bestFit="1" customWidth="1"/>
    <col min="973" max="975" width="6" bestFit="1" customWidth="1"/>
    <col min="976" max="976" width="7" bestFit="1" customWidth="1"/>
    <col min="977" max="977" width="6" bestFit="1" customWidth="1"/>
    <col min="978" max="981" width="7" bestFit="1" customWidth="1"/>
    <col min="982" max="982" width="8.44140625" bestFit="1" customWidth="1"/>
    <col min="983" max="983" width="5.6640625" bestFit="1" customWidth="1"/>
    <col min="984" max="987" width="7" bestFit="1" customWidth="1"/>
    <col min="988" max="988" width="4" bestFit="1" customWidth="1"/>
    <col min="989" max="991" width="5" bestFit="1" customWidth="1"/>
    <col min="992" max="997" width="7" bestFit="1" customWidth="1"/>
    <col min="998" max="998" width="5" bestFit="1" customWidth="1"/>
    <col min="999" max="1000" width="7" bestFit="1" customWidth="1"/>
    <col min="1001" max="1001" width="5" bestFit="1" customWidth="1"/>
    <col min="1002" max="1002" width="7" bestFit="1" customWidth="1"/>
    <col min="1003" max="1003" width="6" bestFit="1" customWidth="1"/>
    <col min="1004" max="1005" width="7" bestFit="1" customWidth="1"/>
    <col min="1006" max="1006" width="6" bestFit="1" customWidth="1"/>
    <col min="1007" max="1007" width="7" bestFit="1" customWidth="1"/>
    <col min="1008" max="1008" width="8.44140625" bestFit="1" customWidth="1"/>
    <col min="1009" max="1009" width="5.6640625" bestFit="1" customWidth="1"/>
    <col min="1010" max="1013" width="7" bestFit="1" customWidth="1"/>
    <col min="1014" max="1014" width="5" bestFit="1" customWidth="1"/>
    <col min="1015" max="1016" width="7" bestFit="1" customWidth="1"/>
    <col min="1017" max="1017" width="4" bestFit="1" customWidth="1"/>
    <col min="1018" max="1019" width="5" bestFit="1" customWidth="1"/>
    <col min="1020" max="1024" width="7" bestFit="1" customWidth="1"/>
    <col min="1025" max="1025" width="5" bestFit="1" customWidth="1"/>
    <col min="1026" max="1026" width="7" bestFit="1" customWidth="1"/>
    <col min="1027" max="1028" width="5" bestFit="1" customWidth="1"/>
    <col min="1029" max="1031" width="7" bestFit="1" customWidth="1"/>
    <col min="1032" max="1032" width="6" bestFit="1" customWidth="1"/>
    <col min="1033" max="1034" width="7" bestFit="1" customWidth="1"/>
    <col min="1035" max="1035" width="6" bestFit="1" customWidth="1"/>
    <col min="1036" max="1036" width="8.44140625" bestFit="1" customWidth="1"/>
    <col min="1037" max="1037" width="5.6640625" bestFit="1" customWidth="1"/>
    <col min="1038" max="1038" width="5" bestFit="1" customWidth="1"/>
    <col min="1039" max="1039" width="7" bestFit="1" customWidth="1"/>
    <col min="1040" max="1040" width="5" bestFit="1" customWidth="1"/>
    <col min="1041" max="1041" width="4" bestFit="1" customWidth="1"/>
    <col min="1042" max="1045" width="7" bestFit="1" customWidth="1"/>
    <col min="1046" max="1046" width="5" bestFit="1" customWidth="1"/>
    <col min="1047" max="1048" width="7" bestFit="1" customWidth="1"/>
    <col min="1049" max="1049" width="5" bestFit="1" customWidth="1"/>
    <col min="1050" max="1053" width="7" bestFit="1" customWidth="1"/>
    <col min="1054" max="1054" width="5" bestFit="1" customWidth="1"/>
    <col min="1055" max="1060" width="7" bestFit="1" customWidth="1"/>
    <col min="1061" max="1061" width="6" bestFit="1" customWidth="1"/>
    <col min="1062" max="1062" width="8.44140625" bestFit="1" customWidth="1"/>
    <col min="1063" max="1063" width="5.6640625" bestFit="1" customWidth="1"/>
    <col min="1064" max="1064" width="7" bestFit="1" customWidth="1"/>
    <col min="1065" max="1065" width="5" bestFit="1" customWidth="1"/>
    <col min="1066" max="1070" width="7" bestFit="1" customWidth="1"/>
    <col min="1071" max="1071" width="5" bestFit="1" customWidth="1"/>
    <col min="1072" max="1073" width="4" bestFit="1" customWidth="1"/>
    <col min="1074" max="1074" width="5" bestFit="1" customWidth="1"/>
    <col min="1075" max="1075" width="7" bestFit="1" customWidth="1"/>
    <col min="1076" max="1076" width="5" bestFit="1" customWidth="1"/>
    <col min="1077" max="1078" width="7" bestFit="1" customWidth="1"/>
    <col min="1079" max="1080" width="5" bestFit="1" customWidth="1"/>
    <col min="1081" max="1081" width="7" bestFit="1" customWidth="1"/>
    <col min="1082" max="1082" width="5" bestFit="1" customWidth="1"/>
    <col min="1083" max="1083" width="7" bestFit="1" customWidth="1"/>
    <col min="1084" max="1084" width="6" bestFit="1" customWidth="1"/>
    <col min="1085" max="1087" width="7" bestFit="1" customWidth="1"/>
    <col min="1088" max="1088" width="6" bestFit="1" customWidth="1"/>
    <col min="1089" max="1089" width="7" bestFit="1" customWidth="1"/>
    <col min="1090" max="1090" width="8.44140625" bestFit="1" customWidth="1"/>
    <col min="1091" max="1091" width="5.6640625" bestFit="1" customWidth="1"/>
    <col min="1092" max="1092" width="7" bestFit="1" customWidth="1"/>
    <col min="1093" max="1093" width="4" bestFit="1" customWidth="1"/>
    <col min="1094" max="1094" width="5" bestFit="1" customWidth="1"/>
    <col min="1095" max="1107" width="7" bestFit="1" customWidth="1"/>
    <col min="1108" max="1109" width="5" bestFit="1" customWidth="1"/>
    <col min="1110" max="1110" width="7" bestFit="1" customWidth="1"/>
    <col min="1111" max="1115" width="6" bestFit="1" customWidth="1"/>
    <col min="1116" max="1116" width="8.44140625" bestFit="1" customWidth="1"/>
    <col min="1117" max="1117" width="7" bestFit="1" customWidth="1"/>
    <col min="1118" max="1118" width="4" bestFit="1" customWidth="1"/>
    <col min="1119" max="1119" width="7" bestFit="1" customWidth="1"/>
    <col min="1120" max="1120" width="5" bestFit="1" customWidth="1"/>
    <col min="1121" max="1122" width="7" bestFit="1" customWidth="1"/>
    <col min="1123" max="1124" width="5" bestFit="1" customWidth="1"/>
    <col min="1125" max="1125" width="7" bestFit="1" customWidth="1"/>
    <col min="1126" max="1126" width="4" bestFit="1" customWidth="1"/>
    <col min="1127" max="1127" width="7" bestFit="1" customWidth="1"/>
    <col min="1128" max="1128" width="5" bestFit="1" customWidth="1"/>
    <col min="1129" max="1129" width="7" bestFit="1" customWidth="1"/>
    <col min="1130" max="1130" width="6" bestFit="1" customWidth="1"/>
    <col min="1131" max="1132" width="7" bestFit="1" customWidth="1"/>
    <col min="1133" max="1133" width="6" bestFit="1" customWidth="1"/>
    <col min="1134" max="1134" width="7" bestFit="1" customWidth="1"/>
    <col min="1135" max="1135" width="9.44140625" bestFit="1" customWidth="1"/>
    <col min="1136" max="1136" width="6.6640625" bestFit="1" customWidth="1"/>
    <col min="1137" max="1137" width="5" bestFit="1" customWidth="1"/>
    <col min="1138" max="1138" width="4" bestFit="1" customWidth="1"/>
    <col min="1139" max="1144" width="7" bestFit="1" customWidth="1"/>
    <col min="1145" max="1146" width="5" bestFit="1" customWidth="1"/>
    <col min="1147" max="1148" width="7" bestFit="1" customWidth="1"/>
    <col min="1149" max="1149" width="5" bestFit="1" customWidth="1"/>
    <col min="1150" max="1150" width="6" bestFit="1" customWidth="1"/>
    <col min="1151" max="1151" width="7" bestFit="1" customWidth="1"/>
    <col min="1152" max="1152" width="6" bestFit="1" customWidth="1"/>
    <col min="1153" max="1153" width="7" bestFit="1" customWidth="1"/>
    <col min="1154" max="1154" width="9.44140625" bestFit="1" customWidth="1"/>
    <col min="1155" max="1155" width="6.6640625" bestFit="1" customWidth="1"/>
    <col min="1156" max="1157" width="4" bestFit="1" customWidth="1"/>
    <col min="1158" max="1158" width="7" bestFit="1" customWidth="1"/>
    <col min="1159" max="1161" width="5" bestFit="1" customWidth="1"/>
    <col min="1162" max="1162" width="7" bestFit="1" customWidth="1"/>
    <col min="1163" max="1163" width="5" bestFit="1" customWidth="1"/>
    <col min="1164" max="1165" width="7" bestFit="1" customWidth="1"/>
    <col min="1166" max="1166" width="5" bestFit="1" customWidth="1"/>
    <col min="1167" max="1175" width="7" bestFit="1" customWidth="1"/>
    <col min="1176" max="1177" width="6" bestFit="1" customWidth="1"/>
    <col min="1178" max="1178" width="7" bestFit="1" customWidth="1"/>
    <col min="1179" max="1179" width="6" bestFit="1" customWidth="1"/>
    <col min="1180" max="1180" width="9.44140625" bestFit="1" customWidth="1"/>
    <col min="1181" max="1181" width="6.6640625" bestFit="1" customWidth="1"/>
    <col min="1182" max="1183" width="4" bestFit="1" customWidth="1"/>
    <col min="1184" max="1184" width="7" bestFit="1" customWidth="1"/>
    <col min="1185" max="1186" width="5" bestFit="1" customWidth="1"/>
    <col min="1187" max="1192" width="7" bestFit="1" customWidth="1"/>
    <col min="1193" max="1193" width="5" bestFit="1" customWidth="1"/>
    <col min="1194" max="1198" width="7" bestFit="1" customWidth="1"/>
    <col min="1199" max="1200" width="5" bestFit="1" customWidth="1"/>
    <col min="1201" max="1203" width="6" bestFit="1" customWidth="1"/>
    <col min="1204" max="1205" width="7" bestFit="1" customWidth="1"/>
    <col min="1206" max="1206" width="9.44140625" bestFit="1" customWidth="1"/>
    <col min="1207" max="1209" width="7" bestFit="1" customWidth="1"/>
    <col min="1210" max="1210" width="5" bestFit="1" customWidth="1"/>
    <col min="1211" max="1212" width="7" bestFit="1" customWidth="1"/>
    <col min="1213" max="1213" width="4" bestFit="1" customWidth="1"/>
    <col min="1214" max="1214" width="7" bestFit="1" customWidth="1"/>
    <col min="1215" max="1218" width="5" bestFit="1" customWidth="1"/>
    <col min="1219" max="1220" width="7" bestFit="1" customWidth="1"/>
    <col min="1221" max="1221" width="5" bestFit="1" customWidth="1"/>
    <col min="1222" max="1223" width="7" bestFit="1" customWidth="1"/>
    <col min="1224" max="1224" width="5" bestFit="1" customWidth="1"/>
    <col min="1225" max="1226" width="7" bestFit="1" customWidth="1"/>
    <col min="1227" max="1229" width="6" bestFit="1" customWidth="1"/>
    <col min="1230" max="1231" width="7" bestFit="1" customWidth="1"/>
    <col min="1232" max="1232" width="6" bestFit="1" customWidth="1"/>
    <col min="1233" max="1233" width="7" bestFit="1" customWidth="1"/>
    <col min="1234" max="1234" width="9.44140625" bestFit="1" customWidth="1"/>
    <col min="1235" max="1238" width="7" bestFit="1" customWidth="1"/>
    <col min="1239" max="1239" width="5" bestFit="1" customWidth="1"/>
    <col min="1240" max="1240" width="7" bestFit="1" customWidth="1"/>
    <col min="1241" max="1241" width="5" bestFit="1" customWidth="1"/>
    <col min="1242" max="1242" width="7" bestFit="1" customWidth="1"/>
    <col min="1243" max="1244" width="5" bestFit="1" customWidth="1"/>
    <col min="1245" max="1245" width="7" bestFit="1" customWidth="1"/>
    <col min="1246" max="1246" width="5" bestFit="1" customWidth="1"/>
    <col min="1247" max="1247" width="7" bestFit="1" customWidth="1"/>
    <col min="1248" max="1249" width="5" bestFit="1" customWidth="1"/>
    <col min="1250" max="1254" width="7" bestFit="1" customWidth="1"/>
    <col min="1255" max="1255" width="6" bestFit="1" customWidth="1"/>
    <col min="1256" max="1257" width="7" bestFit="1" customWidth="1"/>
    <col min="1258" max="1259" width="6" bestFit="1" customWidth="1"/>
    <col min="1260" max="1261" width="7" bestFit="1" customWidth="1"/>
    <col min="1262" max="1262" width="9.44140625" bestFit="1" customWidth="1"/>
    <col min="1263" max="1266" width="7" bestFit="1" customWidth="1"/>
    <col min="1267" max="1268" width="5" bestFit="1" customWidth="1"/>
    <col min="1269" max="1271" width="7" bestFit="1" customWidth="1"/>
    <col min="1272" max="1272" width="4" bestFit="1" customWidth="1"/>
    <col min="1273" max="1273" width="5" bestFit="1" customWidth="1"/>
    <col min="1274" max="1274" width="4" bestFit="1" customWidth="1"/>
    <col min="1275" max="1276" width="5" bestFit="1" customWidth="1"/>
    <col min="1277" max="1277" width="7" bestFit="1" customWidth="1"/>
    <col min="1278" max="1278" width="4" bestFit="1" customWidth="1"/>
    <col min="1279" max="1280" width="7" bestFit="1" customWidth="1"/>
    <col min="1281" max="1283" width="5" bestFit="1" customWidth="1"/>
    <col min="1284" max="1284" width="6" bestFit="1" customWidth="1"/>
    <col min="1285" max="1287" width="7" bestFit="1" customWidth="1"/>
    <col min="1288" max="1288" width="6" bestFit="1" customWidth="1"/>
    <col min="1289" max="1289" width="7" bestFit="1" customWidth="1"/>
    <col min="1290" max="1290" width="9.44140625" bestFit="1" customWidth="1"/>
    <col min="1291" max="1292" width="7" bestFit="1" customWidth="1"/>
    <col min="1293" max="1293" width="4" bestFit="1" customWidth="1"/>
    <col min="1294" max="1297" width="7" bestFit="1" customWidth="1"/>
    <col min="1298" max="1299" width="5" bestFit="1" customWidth="1"/>
    <col min="1300" max="1301" width="7" bestFit="1" customWidth="1"/>
    <col min="1302" max="1305" width="5" bestFit="1" customWidth="1"/>
    <col min="1306" max="1308" width="7" bestFit="1" customWidth="1"/>
    <col min="1309" max="1309" width="5" bestFit="1" customWidth="1"/>
    <col min="1310" max="1313" width="7" bestFit="1" customWidth="1"/>
    <col min="1314" max="1316" width="6" bestFit="1" customWidth="1"/>
    <col min="1317" max="1317" width="7" bestFit="1" customWidth="1"/>
    <col min="1318" max="1318" width="9.44140625" bestFit="1" customWidth="1"/>
    <col min="1319" max="1319" width="7" bestFit="1" customWidth="1"/>
    <col min="1320" max="1320" width="5" bestFit="1" customWidth="1"/>
    <col min="1321" max="1321" width="4" bestFit="1" customWidth="1"/>
    <col min="1322" max="1322" width="5" bestFit="1" customWidth="1"/>
    <col min="1323" max="1323" width="4" bestFit="1" customWidth="1"/>
    <col min="1324" max="1325" width="7" bestFit="1" customWidth="1"/>
    <col min="1326" max="1326" width="5" bestFit="1" customWidth="1"/>
    <col min="1327" max="1331" width="7" bestFit="1" customWidth="1"/>
    <col min="1332" max="1332" width="5" bestFit="1" customWidth="1"/>
    <col min="1333" max="1335" width="7" bestFit="1" customWidth="1"/>
    <col min="1336" max="1336" width="6" bestFit="1" customWidth="1"/>
    <col min="1337" max="1338" width="7" bestFit="1" customWidth="1"/>
    <col min="1339" max="1339" width="6" bestFit="1" customWidth="1"/>
    <col min="1340" max="1340" width="7" bestFit="1" customWidth="1"/>
    <col min="1341" max="1344" width="6" bestFit="1" customWidth="1"/>
    <col min="1345" max="1345" width="7" bestFit="1" customWidth="1"/>
    <col min="1346" max="1346" width="9.44140625" bestFit="1" customWidth="1"/>
    <col min="1347" max="1354" width="7" bestFit="1" customWidth="1"/>
    <col min="1355" max="1355" width="5" bestFit="1" customWidth="1"/>
    <col min="1356" max="1357" width="7" bestFit="1" customWidth="1"/>
    <col min="1358" max="1363" width="5" bestFit="1" customWidth="1"/>
    <col min="1364" max="1366" width="7" bestFit="1" customWidth="1"/>
    <col min="1367" max="1369" width="6" bestFit="1" customWidth="1"/>
    <col min="1370" max="1371" width="7" bestFit="1" customWidth="1"/>
    <col min="1372" max="1373" width="6" bestFit="1" customWidth="1"/>
    <col min="1374" max="1374" width="9.44140625" bestFit="1" customWidth="1"/>
    <col min="1375" max="1375" width="6.6640625" bestFit="1" customWidth="1"/>
    <col min="1376" max="1376" width="7" bestFit="1" customWidth="1"/>
    <col min="1377" max="1379" width="5" bestFit="1" customWidth="1"/>
    <col min="1380" max="1383" width="7" bestFit="1" customWidth="1"/>
    <col min="1384" max="1384" width="5" bestFit="1" customWidth="1"/>
    <col min="1385" max="1385" width="7" bestFit="1" customWidth="1"/>
    <col min="1386" max="1386" width="5" bestFit="1" customWidth="1"/>
    <col min="1387" max="1393" width="7" bestFit="1" customWidth="1"/>
    <col min="1394" max="1394" width="6" bestFit="1" customWidth="1"/>
    <col min="1395" max="1396" width="7" bestFit="1" customWidth="1"/>
    <col min="1397" max="1401" width="6" bestFit="1" customWidth="1"/>
    <col min="1402" max="1402" width="9.44140625" bestFit="1" customWidth="1"/>
    <col min="1403" max="1403" width="6.6640625" bestFit="1" customWidth="1"/>
    <col min="1404" max="1407" width="5" bestFit="1" customWidth="1"/>
    <col min="1408" max="1409" width="7" bestFit="1" customWidth="1"/>
    <col min="1410" max="1410" width="5" bestFit="1" customWidth="1"/>
    <col min="1411" max="1421" width="7" bestFit="1" customWidth="1"/>
    <col min="1422" max="1422" width="6" bestFit="1" customWidth="1"/>
    <col min="1423" max="1423" width="7" bestFit="1" customWidth="1"/>
    <col min="1424" max="1427" width="6" bestFit="1" customWidth="1"/>
    <col min="1428" max="1428" width="7" bestFit="1" customWidth="1"/>
    <col min="1429" max="1429" width="6" bestFit="1" customWidth="1"/>
    <col min="1430" max="1430" width="9.44140625" bestFit="1" customWidth="1"/>
    <col min="1431" max="1432" width="7" bestFit="1" customWidth="1"/>
    <col min="1433" max="1433" width="5" bestFit="1" customWidth="1"/>
    <col min="1434" max="1434" width="4" bestFit="1" customWidth="1"/>
    <col min="1435" max="1439" width="7" bestFit="1" customWidth="1"/>
    <col min="1440" max="1442" width="5" bestFit="1" customWidth="1"/>
    <col min="1443" max="1444" width="7" bestFit="1" customWidth="1"/>
    <col min="1445" max="1445" width="6" bestFit="1" customWidth="1"/>
    <col min="1446" max="1446" width="7" bestFit="1" customWidth="1"/>
    <col min="1447" max="1448" width="6" bestFit="1" customWidth="1"/>
    <col min="1449" max="1449" width="9.44140625" bestFit="1" customWidth="1"/>
    <col min="1450" max="1450" width="6.6640625" bestFit="1" customWidth="1"/>
    <col min="1451" max="1452" width="7" bestFit="1" customWidth="1"/>
    <col min="1453" max="1453" width="4" bestFit="1" customWidth="1"/>
    <col min="1454" max="1454" width="7" bestFit="1" customWidth="1"/>
    <col min="1455" max="1455" width="5" bestFit="1" customWidth="1"/>
    <col min="1456" max="1457" width="7" bestFit="1" customWidth="1"/>
    <col min="1458" max="1458" width="5" bestFit="1" customWidth="1"/>
    <col min="1459" max="1462" width="7" bestFit="1" customWidth="1"/>
    <col min="1463" max="1463" width="5" bestFit="1" customWidth="1"/>
    <col min="1464" max="1465" width="7" bestFit="1" customWidth="1"/>
    <col min="1466" max="1466" width="5" bestFit="1" customWidth="1"/>
    <col min="1467" max="1467" width="6" bestFit="1" customWidth="1"/>
    <col min="1468" max="1468" width="7" bestFit="1" customWidth="1"/>
    <col min="1469" max="1471" width="6" bestFit="1" customWidth="1"/>
    <col min="1472" max="1472" width="7" bestFit="1" customWidth="1"/>
    <col min="1473" max="1473" width="6" bestFit="1" customWidth="1"/>
    <col min="1474" max="1476" width="7" bestFit="1" customWidth="1"/>
    <col min="1477" max="1477" width="9.44140625" bestFit="1" customWidth="1"/>
    <col min="1478" max="1478" width="6.6640625" bestFit="1" customWidth="1"/>
    <col min="1479" max="1479" width="5" bestFit="1" customWidth="1"/>
    <col min="1480" max="1480" width="4" bestFit="1" customWidth="1"/>
    <col min="1481" max="1485" width="7" bestFit="1" customWidth="1"/>
    <col min="1486" max="1486" width="4" bestFit="1" customWidth="1"/>
    <col min="1487" max="1488" width="7" bestFit="1" customWidth="1"/>
    <col min="1489" max="1489" width="5" bestFit="1" customWidth="1"/>
    <col min="1490" max="1497" width="7" bestFit="1" customWidth="1"/>
    <col min="1498" max="1502" width="6" bestFit="1" customWidth="1"/>
    <col min="1503" max="1503" width="9.44140625" bestFit="1" customWidth="1"/>
    <col min="1504" max="1504" width="6.6640625" bestFit="1" customWidth="1"/>
    <col min="1505" max="1507" width="5" bestFit="1" customWidth="1"/>
    <col min="1508" max="1510" width="7" bestFit="1" customWidth="1"/>
    <col min="1511" max="1511" width="5" bestFit="1" customWidth="1"/>
    <col min="1512" max="1518" width="7" bestFit="1" customWidth="1"/>
    <col min="1519" max="1519" width="5" bestFit="1" customWidth="1"/>
    <col min="1520" max="1520" width="6" bestFit="1" customWidth="1"/>
    <col min="1521" max="1521" width="7" bestFit="1" customWidth="1"/>
    <col min="1522" max="1524" width="6" bestFit="1" customWidth="1"/>
    <col min="1525" max="1526" width="7" bestFit="1" customWidth="1"/>
    <col min="1527" max="1528" width="6" bestFit="1" customWidth="1"/>
    <col min="1529" max="1530" width="7" bestFit="1" customWidth="1"/>
    <col min="1531" max="1531" width="9.44140625" bestFit="1" customWidth="1"/>
    <col min="1532" max="1537" width="7" bestFit="1" customWidth="1"/>
    <col min="1538" max="1538" width="4" bestFit="1" customWidth="1"/>
    <col min="1539" max="1539" width="7" bestFit="1" customWidth="1"/>
    <col min="1540" max="1544" width="5" bestFit="1" customWidth="1"/>
    <col min="1545" max="1546" width="7" bestFit="1" customWidth="1"/>
    <col min="1547" max="1547" width="5" bestFit="1" customWidth="1"/>
    <col min="1548" max="1551" width="7" bestFit="1" customWidth="1"/>
    <col min="1552" max="1554" width="6" bestFit="1" customWidth="1"/>
    <col min="1555" max="1556" width="7" bestFit="1" customWidth="1"/>
    <col min="1557" max="1557" width="6" bestFit="1" customWidth="1"/>
    <col min="1558" max="1558" width="9.44140625" bestFit="1" customWidth="1"/>
    <col min="1559" max="1559" width="7" bestFit="1" customWidth="1"/>
    <col min="1560" max="1561" width="5" bestFit="1" customWidth="1"/>
    <col min="1562" max="1565" width="7" bestFit="1" customWidth="1"/>
    <col min="1566" max="1566" width="5" bestFit="1" customWidth="1"/>
    <col min="1567" max="1567" width="7" bestFit="1" customWidth="1"/>
    <col min="1568" max="1569" width="5" bestFit="1" customWidth="1"/>
    <col min="1570" max="1573" width="7" bestFit="1" customWidth="1"/>
    <col min="1574" max="1576" width="5" bestFit="1" customWidth="1"/>
    <col min="1577" max="1577" width="6" bestFit="1" customWidth="1"/>
    <col min="1578" max="1582" width="7" bestFit="1" customWidth="1"/>
    <col min="1583" max="1584" width="6" bestFit="1" customWidth="1"/>
    <col min="1585" max="1585" width="7" bestFit="1" customWidth="1"/>
    <col min="1586" max="1586" width="6" bestFit="1" customWidth="1"/>
    <col min="1587" max="1587" width="9.44140625" bestFit="1" customWidth="1"/>
    <col min="1588" max="1588" width="7" bestFit="1" customWidth="1"/>
    <col min="1589" max="1589" width="5" bestFit="1" customWidth="1"/>
    <col min="1590" max="1590" width="7" bestFit="1" customWidth="1"/>
    <col min="1591" max="1591" width="5" bestFit="1" customWidth="1"/>
    <col min="1592" max="1592" width="7" bestFit="1" customWidth="1"/>
    <col min="1593" max="1593" width="4" bestFit="1" customWidth="1"/>
    <col min="1594" max="1595" width="7" bestFit="1" customWidth="1"/>
    <col min="1596" max="1596" width="5" bestFit="1" customWidth="1"/>
    <col min="1597" max="1598" width="7" bestFit="1" customWidth="1"/>
    <col min="1599" max="1599" width="5" bestFit="1" customWidth="1"/>
    <col min="1600" max="1600" width="7" bestFit="1" customWidth="1"/>
    <col min="1601" max="1601" width="5" bestFit="1" customWidth="1"/>
    <col min="1602" max="1602" width="7" bestFit="1" customWidth="1"/>
    <col min="1603" max="1603" width="5" bestFit="1" customWidth="1"/>
    <col min="1604" max="1606" width="7" bestFit="1" customWidth="1"/>
    <col min="1607" max="1607" width="5" bestFit="1" customWidth="1"/>
    <col min="1608" max="1608" width="6" bestFit="1" customWidth="1"/>
    <col min="1609" max="1614" width="7" bestFit="1" customWidth="1"/>
    <col min="1615" max="1615" width="9.44140625" bestFit="1" customWidth="1"/>
    <col min="1616" max="1616" width="6.6640625" bestFit="1" customWidth="1"/>
    <col min="1617" max="1617" width="5" bestFit="1" customWidth="1"/>
    <col min="1618" max="1618" width="7" bestFit="1" customWidth="1"/>
    <col min="1619" max="1620" width="5" bestFit="1" customWidth="1"/>
    <col min="1621" max="1621" width="7" bestFit="1" customWidth="1"/>
    <col min="1622" max="1623" width="5" bestFit="1" customWidth="1"/>
    <col min="1624" max="1624" width="7" bestFit="1" customWidth="1"/>
    <col min="1625" max="1625" width="5" bestFit="1" customWidth="1"/>
    <col min="1626" max="1626" width="7" bestFit="1" customWidth="1"/>
    <col min="1627" max="1627" width="5" bestFit="1" customWidth="1"/>
    <col min="1628" max="1628" width="7" bestFit="1" customWidth="1"/>
    <col min="1629" max="1629" width="5" bestFit="1" customWidth="1"/>
    <col min="1630" max="1630" width="7" bestFit="1" customWidth="1"/>
    <col min="1631" max="1631" width="5" bestFit="1" customWidth="1"/>
    <col min="1632" max="1641" width="7" bestFit="1" customWidth="1"/>
    <col min="1642" max="1642" width="6" bestFit="1" customWidth="1"/>
    <col min="1643" max="1643" width="7" bestFit="1" customWidth="1"/>
    <col min="1644" max="1644" width="9.44140625" bestFit="1" customWidth="1"/>
    <col min="1645" max="1646" width="7" bestFit="1" customWidth="1"/>
    <col min="1647" max="1649" width="5" bestFit="1" customWidth="1"/>
    <col min="1650" max="1650" width="7" bestFit="1" customWidth="1"/>
    <col min="1651" max="1651" width="5" bestFit="1" customWidth="1"/>
    <col min="1652" max="1652" width="7" bestFit="1" customWidth="1"/>
    <col min="1653" max="1653" width="5" bestFit="1" customWidth="1"/>
    <col min="1654" max="1658" width="7" bestFit="1" customWidth="1"/>
    <col min="1659" max="1660" width="5" bestFit="1" customWidth="1"/>
    <col min="1661" max="1661" width="7" bestFit="1" customWidth="1"/>
    <col min="1662" max="1662" width="6" bestFit="1" customWidth="1"/>
    <col min="1663" max="1663" width="7" bestFit="1" customWidth="1"/>
    <col min="1664" max="1666" width="6" bestFit="1" customWidth="1"/>
    <col min="1667" max="1669" width="7" bestFit="1" customWidth="1"/>
    <col min="1670" max="1671" width="6" bestFit="1" customWidth="1"/>
    <col min="1672" max="1672" width="9.44140625" bestFit="1" customWidth="1"/>
    <col min="1673" max="1673" width="6.6640625" bestFit="1" customWidth="1"/>
    <col min="1674" max="1674" width="5" bestFit="1" customWidth="1"/>
    <col min="1675" max="1675" width="7" bestFit="1" customWidth="1"/>
    <col min="1676" max="1676" width="4" bestFit="1" customWidth="1"/>
    <col min="1677" max="1677" width="5" bestFit="1" customWidth="1"/>
    <col min="1678" max="1679" width="7" bestFit="1" customWidth="1"/>
    <col min="1680" max="1680" width="5" bestFit="1" customWidth="1"/>
    <col min="1681" max="1685" width="7" bestFit="1" customWidth="1"/>
    <col min="1686" max="1686" width="5" bestFit="1" customWidth="1"/>
    <col min="1687" max="1687" width="7" bestFit="1" customWidth="1"/>
    <col min="1688" max="1688" width="5" bestFit="1" customWidth="1"/>
    <col min="1689" max="1692" width="7" bestFit="1" customWidth="1"/>
    <col min="1693" max="1693" width="6" bestFit="1" customWidth="1"/>
    <col min="1694" max="1694" width="7" bestFit="1" customWidth="1"/>
    <col min="1695" max="1695" width="6" bestFit="1" customWidth="1"/>
    <col min="1696" max="1698" width="7" bestFit="1" customWidth="1"/>
    <col min="1699" max="1700" width="6" bestFit="1" customWidth="1"/>
    <col min="1701" max="1701" width="9.44140625" bestFit="1" customWidth="1"/>
    <col min="1702" max="1702" width="6.6640625" bestFit="1" customWidth="1"/>
    <col min="1703" max="1703" width="5" bestFit="1" customWidth="1"/>
    <col min="1704" max="1704" width="7" bestFit="1" customWidth="1"/>
    <col min="1705" max="1705" width="5" bestFit="1" customWidth="1"/>
    <col min="1706" max="1710" width="7" bestFit="1" customWidth="1"/>
    <col min="1711" max="1711" width="5" bestFit="1" customWidth="1"/>
    <col min="1712" max="1712" width="7" bestFit="1" customWidth="1"/>
    <col min="1713" max="1714" width="5" bestFit="1" customWidth="1"/>
    <col min="1715" max="1717" width="7" bestFit="1" customWidth="1"/>
    <col min="1718" max="1719" width="5" bestFit="1" customWidth="1"/>
    <col min="1720" max="1720" width="7" bestFit="1" customWidth="1"/>
    <col min="1721" max="1721" width="5" bestFit="1" customWidth="1"/>
    <col min="1722" max="1722" width="7" bestFit="1" customWidth="1"/>
    <col min="1723" max="1724" width="6" bestFit="1" customWidth="1"/>
    <col min="1725" max="1727" width="7" bestFit="1" customWidth="1"/>
    <col min="1728" max="1728" width="6" bestFit="1" customWidth="1"/>
    <col min="1729" max="1729" width="9.44140625" bestFit="1" customWidth="1"/>
    <col min="1730" max="1736" width="7" bestFit="1" customWidth="1"/>
    <col min="1737" max="1737" width="5" bestFit="1" customWidth="1"/>
    <col min="1738" max="1738" width="7" bestFit="1" customWidth="1"/>
    <col min="1739" max="1739" width="5" bestFit="1" customWidth="1"/>
    <col min="1740" max="1740" width="7" bestFit="1" customWidth="1"/>
    <col min="1741" max="1741" width="5" bestFit="1" customWidth="1"/>
    <col min="1742" max="1742" width="7" bestFit="1" customWidth="1"/>
    <col min="1743" max="1743" width="5" bestFit="1" customWidth="1"/>
    <col min="1744" max="1744" width="7" bestFit="1" customWidth="1"/>
    <col min="1745" max="1745" width="5" bestFit="1" customWidth="1"/>
    <col min="1746" max="1748" width="7" bestFit="1" customWidth="1"/>
    <col min="1749" max="1749" width="5" bestFit="1" customWidth="1"/>
    <col min="1750" max="1750" width="6" bestFit="1" customWidth="1"/>
    <col min="1751" max="1751" width="7" bestFit="1" customWidth="1"/>
    <col min="1752" max="1753" width="6" bestFit="1" customWidth="1"/>
    <col min="1754" max="1755" width="7" bestFit="1" customWidth="1"/>
    <col min="1756" max="1756" width="6" bestFit="1" customWidth="1"/>
    <col min="1757" max="1757" width="9.44140625" bestFit="1" customWidth="1"/>
    <col min="1758" max="1758" width="7" bestFit="1" customWidth="1"/>
    <col min="1759" max="1759" width="5" bestFit="1" customWidth="1"/>
    <col min="1760" max="1761" width="7" bestFit="1" customWidth="1"/>
    <col min="1762" max="1762" width="4" bestFit="1" customWidth="1"/>
    <col min="1763" max="1763" width="7" bestFit="1" customWidth="1"/>
    <col min="1764" max="1766" width="5" bestFit="1" customWidth="1"/>
    <col min="1767" max="1767" width="7" bestFit="1" customWidth="1"/>
    <col min="1768" max="1768" width="5" bestFit="1" customWidth="1"/>
    <col min="1769" max="1770" width="7" bestFit="1" customWidth="1"/>
    <col min="1771" max="1771" width="5" bestFit="1" customWidth="1"/>
    <col min="1772" max="1772" width="7" bestFit="1" customWidth="1"/>
    <col min="1773" max="1773" width="5" bestFit="1" customWidth="1"/>
    <col min="1774" max="1774" width="7" bestFit="1" customWidth="1"/>
    <col min="1775" max="1775" width="6" bestFit="1" customWidth="1"/>
    <col min="1776" max="1776" width="7" bestFit="1" customWidth="1"/>
    <col min="1777" max="1779" width="6" bestFit="1" customWidth="1"/>
    <col min="1780" max="1782" width="7" bestFit="1" customWidth="1"/>
    <col min="1783" max="1784" width="6" bestFit="1" customWidth="1"/>
    <col min="1785" max="1785" width="7" bestFit="1" customWidth="1"/>
    <col min="1786" max="1786" width="9.44140625" bestFit="1" customWidth="1"/>
    <col min="1787" max="1787" width="6.6640625" bestFit="1" customWidth="1"/>
    <col min="1788" max="1788" width="7" bestFit="1" customWidth="1"/>
    <col min="1789" max="1789" width="5" bestFit="1" customWidth="1"/>
    <col min="1790" max="1790" width="7" bestFit="1" customWidth="1"/>
    <col min="1791" max="1791" width="5" bestFit="1" customWidth="1"/>
    <col min="1792" max="1793" width="7" bestFit="1" customWidth="1"/>
    <col min="1794" max="1795" width="5" bestFit="1" customWidth="1"/>
    <col min="1796" max="1796" width="7" bestFit="1" customWidth="1"/>
    <col min="1797" max="1797" width="5" bestFit="1" customWidth="1"/>
    <col min="1798" max="1798" width="7" bestFit="1" customWidth="1"/>
    <col min="1799" max="1799" width="5" bestFit="1" customWidth="1"/>
    <col min="1800" max="1804" width="7" bestFit="1" customWidth="1"/>
    <col min="1805" max="1805" width="5" bestFit="1" customWidth="1"/>
    <col min="1806" max="1806" width="6" bestFit="1" customWidth="1"/>
    <col min="1807" max="1807" width="7" bestFit="1" customWidth="1"/>
    <col min="1808" max="1811" width="6" bestFit="1" customWidth="1"/>
    <col min="1812" max="1812" width="7" bestFit="1" customWidth="1"/>
    <col min="1813" max="1813" width="6" bestFit="1" customWidth="1"/>
    <col min="1814" max="1814" width="9.44140625" bestFit="1" customWidth="1"/>
    <col min="1815" max="1815" width="6.6640625" bestFit="1" customWidth="1"/>
    <col min="1816" max="1817" width="7" bestFit="1" customWidth="1"/>
    <col min="1818" max="1819" width="4" bestFit="1" customWidth="1"/>
    <col min="1820" max="1820" width="5" bestFit="1" customWidth="1"/>
    <col min="1821" max="1825" width="7" bestFit="1" customWidth="1"/>
    <col min="1826" max="1827" width="5" bestFit="1" customWidth="1"/>
    <col min="1828" max="1830" width="7" bestFit="1" customWidth="1"/>
    <col min="1831" max="1831" width="5" bestFit="1" customWidth="1"/>
    <col min="1832" max="1832" width="7" bestFit="1" customWidth="1"/>
    <col min="1833" max="1835" width="5" bestFit="1" customWidth="1"/>
    <col min="1836" max="1838" width="7" bestFit="1" customWidth="1"/>
    <col min="1839" max="1839" width="6" bestFit="1" customWidth="1"/>
    <col min="1840" max="1840" width="7" bestFit="1" customWidth="1"/>
    <col min="1841" max="1841" width="6" bestFit="1" customWidth="1"/>
    <col min="1842" max="1842" width="9.44140625" bestFit="1" customWidth="1"/>
    <col min="1843" max="1843" width="7" bestFit="1" customWidth="1"/>
    <col min="1844" max="1845" width="5" bestFit="1" customWidth="1"/>
    <col min="1846" max="1849" width="7" bestFit="1" customWidth="1"/>
    <col min="1850" max="1850" width="5" bestFit="1" customWidth="1"/>
    <col min="1851" max="1853" width="7" bestFit="1" customWidth="1"/>
    <col min="1854" max="1854" width="5" bestFit="1" customWidth="1"/>
    <col min="1855" max="1855" width="7" bestFit="1" customWidth="1"/>
    <col min="1856" max="1856" width="5" bestFit="1" customWidth="1"/>
    <col min="1857" max="1859" width="7" bestFit="1" customWidth="1"/>
    <col min="1860" max="1862" width="5" bestFit="1" customWidth="1"/>
    <col min="1863" max="1866" width="7" bestFit="1" customWidth="1"/>
    <col min="1867" max="1867" width="6" bestFit="1" customWidth="1"/>
    <col min="1868" max="1868" width="7" bestFit="1" customWidth="1"/>
    <col min="1869" max="1869" width="6" bestFit="1" customWidth="1"/>
    <col min="1870" max="1870" width="9.44140625" bestFit="1" customWidth="1"/>
    <col min="1871" max="1871" width="7" bestFit="1" customWidth="1"/>
    <col min="1872" max="1873" width="5" bestFit="1" customWidth="1"/>
    <col min="1874" max="1875" width="4" bestFit="1" customWidth="1"/>
    <col min="1876" max="1876" width="7" bestFit="1" customWidth="1"/>
    <col min="1877" max="1877" width="5" bestFit="1" customWidth="1"/>
    <col min="1878" max="1878" width="7" bestFit="1" customWidth="1"/>
    <col min="1879" max="1879" width="5" bestFit="1" customWidth="1"/>
    <col min="1880" max="1880" width="7" bestFit="1" customWidth="1"/>
    <col min="1881" max="1881" width="5" bestFit="1" customWidth="1"/>
    <col min="1882" max="1882" width="7" bestFit="1" customWidth="1"/>
    <col min="1883" max="1883" width="5" bestFit="1" customWidth="1"/>
    <col min="1884" max="1884" width="4" bestFit="1" customWidth="1"/>
    <col min="1885" max="1885" width="7" bestFit="1" customWidth="1"/>
    <col min="1886" max="1886" width="5" bestFit="1" customWidth="1"/>
    <col min="1887" max="1896" width="7" bestFit="1" customWidth="1"/>
    <col min="1897" max="1897" width="6" bestFit="1" customWidth="1"/>
    <col min="1898" max="1898" width="7" bestFit="1" customWidth="1"/>
    <col min="1899" max="1899" width="9.44140625" bestFit="1" customWidth="1"/>
    <col min="1900" max="1901" width="7" bestFit="1" customWidth="1"/>
    <col min="1902" max="1902" width="4" bestFit="1" customWidth="1"/>
    <col min="1903" max="1905" width="7" bestFit="1" customWidth="1"/>
    <col min="1906" max="1906" width="5" bestFit="1" customWidth="1"/>
    <col min="1907" max="1907" width="7" bestFit="1" customWidth="1"/>
    <col min="1908" max="1909" width="5" bestFit="1" customWidth="1"/>
    <col min="1910" max="1911" width="7" bestFit="1" customWidth="1"/>
    <col min="1912" max="1912" width="5" bestFit="1" customWidth="1"/>
    <col min="1913" max="1914" width="7" bestFit="1" customWidth="1"/>
    <col min="1915" max="1915" width="5" bestFit="1" customWidth="1"/>
    <col min="1916" max="1917" width="7" bestFit="1" customWidth="1"/>
    <col min="1918" max="1920" width="5" bestFit="1" customWidth="1"/>
    <col min="1921" max="1926" width="7" bestFit="1" customWidth="1"/>
    <col min="1927" max="1927" width="6" bestFit="1" customWidth="1"/>
    <col min="1928" max="1928" width="9.44140625" bestFit="1" customWidth="1"/>
    <col min="1929" max="1929" width="6.6640625" bestFit="1" customWidth="1"/>
    <col min="1930" max="1933" width="4" bestFit="1" customWidth="1"/>
    <col min="1934" max="1936" width="5" bestFit="1" customWidth="1"/>
    <col min="1937" max="1941" width="7" bestFit="1" customWidth="1"/>
    <col min="1942" max="1942" width="5" bestFit="1" customWidth="1"/>
    <col min="1943" max="1947" width="7" bestFit="1" customWidth="1"/>
    <col min="1948" max="1948" width="6" bestFit="1" customWidth="1"/>
    <col min="1949" max="1955" width="7" bestFit="1" customWidth="1"/>
    <col min="1956" max="1956" width="9.44140625" bestFit="1" customWidth="1"/>
    <col min="1957" max="1957" width="6.6640625" bestFit="1" customWidth="1"/>
    <col min="1958" max="1958" width="5" bestFit="1" customWidth="1"/>
    <col min="1959" max="1959" width="7" bestFit="1" customWidth="1"/>
    <col min="1960" max="1960" width="5" bestFit="1" customWidth="1"/>
    <col min="1961" max="1962" width="7" bestFit="1" customWidth="1"/>
    <col min="1963" max="1963" width="4" bestFit="1" customWidth="1"/>
    <col min="1964" max="1965" width="7" bestFit="1" customWidth="1"/>
    <col min="1966" max="1967" width="5" bestFit="1" customWidth="1"/>
    <col min="1968" max="1969" width="7" bestFit="1" customWidth="1"/>
    <col min="1970" max="1970" width="5" bestFit="1" customWidth="1"/>
    <col min="1971" max="1971" width="7" bestFit="1" customWidth="1"/>
    <col min="1972" max="1972" width="5" bestFit="1" customWidth="1"/>
    <col min="1973" max="1973" width="7" bestFit="1" customWidth="1"/>
    <col min="1974" max="1974" width="5" bestFit="1" customWidth="1"/>
    <col min="1975" max="1978" width="7" bestFit="1" customWidth="1"/>
    <col min="1979" max="1979" width="6" bestFit="1" customWidth="1"/>
    <col min="1980" max="1984" width="7" bestFit="1" customWidth="1"/>
    <col min="1985" max="1985" width="9.44140625" bestFit="1" customWidth="1"/>
    <col min="1986" max="1986" width="6.6640625" bestFit="1" customWidth="1"/>
    <col min="1987" max="1988" width="7" bestFit="1" customWidth="1"/>
    <col min="1989" max="1990" width="5" bestFit="1" customWidth="1"/>
    <col min="1991" max="1992" width="7" bestFit="1" customWidth="1"/>
    <col min="1993" max="1993" width="5" bestFit="1" customWidth="1"/>
    <col min="1994" max="1998" width="7" bestFit="1" customWidth="1"/>
    <col min="1999" max="1999" width="5" bestFit="1" customWidth="1"/>
    <col min="2000" max="2000" width="7" bestFit="1" customWidth="1"/>
    <col min="2001" max="2001" width="5" bestFit="1" customWidth="1"/>
    <col min="2002" max="2003" width="7" bestFit="1" customWidth="1"/>
    <col min="2004" max="2004" width="5" bestFit="1" customWidth="1"/>
    <col min="2005" max="2007" width="7" bestFit="1" customWidth="1"/>
    <col min="2008" max="2008" width="6" bestFit="1" customWidth="1"/>
    <col min="2009" max="2011" width="7" bestFit="1" customWidth="1"/>
    <col min="2012" max="2012" width="6" bestFit="1" customWidth="1"/>
    <col min="2013" max="2013" width="7" bestFit="1" customWidth="1"/>
    <col min="2014" max="2014" width="9.44140625" bestFit="1" customWidth="1"/>
    <col min="2015" max="2015" width="7" bestFit="1" customWidth="1"/>
    <col min="2016" max="2016" width="4" bestFit="1" customWidth="1"/>
    <col min="2017" max="2019" width="5" bestFit="1" customWidth="1"/>
    <col min="2020" max="2020" width="4" bestFit="1" customWidth="1"/>
    <col min="2021" max="2021" width="5" bestFit="1" customWidth="1"/>
    <col min="2022" max="2028" width="7" bestFit="1" customWidth="1"/>
    <col min="2029" max="2029" width="5" bestFit="1" customWidth="1"/>
    <col min="2030" max="2032" width="7" bestFit="1" customWidth="1"/>
    <col min="2033" max="2033" width="5" bestFit="1" customWidth="1"/>
    <col min="2034" max="2041" width="7" bestFit="1" customWidth="1"/>
    <col min="2042" max="2042" width="6" bestFit="1" customWidth="1"/>
    <col min="2043" max="2043" width="9.44140625" bestFit="1" customWidth="1"/>
    <col min="2044" max="2044" width="6.6640625" bestFit="1" customWidth="1"/>
    <col min="2045" max="2045" width="7" bestFit="1" customWidth="1"/>
    <col min="2046" max="2047" width="4" bestFit="1" customWidth="1"/>
    <col min="2048" max="2048" width="5" bestFit="1" customWidth="1"/>
    <col min="2049" max="2054" width="7" bestFit="1" customWidth="1"/>
    <col min="2055" max="2055" width="5" bestFit="1" customWidth="1"/>
    <col min="2056" max="2058" width="7" bestFit="1" customWidth="1"/>
    <col min="2059" max="2059" width="5" bestFit="1" customWidth="1"/>
    <col min="2060" max="2060" width="7" bestFit="1" customWidth="1"/>
    <col min="2061" max="2063" width="5" bestFit="1" customWidth="1"/>
    <col min="2064" max="2065" width="6" bestFit="1" customWidth="1"/>
    <col min="2066" max="2069" width="7" bestFit="1" customWidth="1"/>
    <col min="2070" max="2070" width="6" bestFit="1" customWidth="1"/>
    <col min="2071" max="2071" width="7" bestFit="1" customWidth="1"/>
    <col min="2072" max="2072" width="9.44140625" bestFit="1" customWidth="1"/>
    <col min="2073" max="2073" width="7" bestFit="1" customWidth="1"/>
    <col min="2074" max="2074" width="5" bestFit="1" customWidth="1"/>
    <col min="2075" max="2076" width="4" bestFit="1" customWidth="1"/>
    <col min="2077" max="2077" width="7" bestFit="1" customWidth="1"/>
    <col min="2078" max="2078" width="4" bestFit="1" customWidth="1"/>
    <col min="2079" max="2081" width="7" bestFit="1" customWidth="1"/>
    <col min="2082" max="2082" width="5" bestFit="1" customWidth="1"/>
    <col min="2083" max="2083" width="7" bestFit="1" customWidth="1"/>
    <col min="2084" max="2084" width="5" bestFit="1" customWidth="1"/>
    <col min="2085" max="2085" width="7" bestFit="1" customWidth="1"/>
    <col min="2086" max="2086" width="5" bestFit="1" customWidth="1"/>
    <col min="2087" max="2088" width="7" bestFit="1" customWidth="1"/>
    <col min="2089" max="2090" width="5" bestFit="1" customWidth="1"/>
    <col min="2091" max="2093" width="7" bestFit="1" customWidth="1"/>
    <col min="2094" max="2095" width="6" bestFit="1" customWidth="1"/>
    <col min="2096" max="2097" width="7" bestFit="1" customWidth="1"/>
    <col min="2098" max="2098" width="6" bestFit="1" customWidth="1"/>
    <col min="2099" max="2100" width="7" bestFit="1" customWidth="1"/>
    <col min="2101" max="2101" width="9.44140625" bestFit="1" customWidth="1"/>
    <col min="2102" max="2102" width="6.6640625" bestFit="1" customWidth="1"/>
    <col min="2103" max="2103" width="5" bestFit="1" customWidth="1"/>
    <col min="2104" max="2104" width="7" bestFit="1" customWidth="1"/>
    <col min="2105" max="2105" width="4" bestFit="1" customWidth="1"/>
    <col min="2106" max="2107" width="7" bestFit="1" customWidth="1"/>
    <col min="2108" max="2109" width="5" bestFit="1" customWidth="1"/>
    <col min="2110" max="2110" width="7" bestFit="1" customWidth="1"/>
    <col min="2111" max="2111" width="4" bestFit="1" customWidth="1"/>
    <col min="2112" max="2118" width="7" bestFit="1" customWidth="1"/>
    <col min="2119" max="2119" width="5" bestFit="1" customWidth="1"/>
    <col min="2120" max="2121" width="7" bestFit="1" customWidth="1"/>
    <col min="2122" max="2122" width="5" bestFit="1" customWidth="1"/>
    <col min="2123" max="2123" width="7" bestFit="1" customWidth="1"/>
    <col min="2124" max="2124" width="6" bestFit="1" customWidth="1"/>
    <col min="2125" max="2128" width="7" bestFit="1" customWidth="1"/>
    <col min="2129" max="2129" width="9.44140625" bestFit="1" customWidth="1"/>
    <col min="2130" max="2135" width="7" bestFit="1" customWidth="1"/>
    <col min="2136" max="2136" width="4" bestFit="1" customWidth="1"/>
    <col min="2137" max="2137" width="5" bestFit="1" customWidth="1"/>
    <col min="2138" max="2141" width="7" bestFit="1" customWidth="1"/>
    <col min="2142" max="2142" width="4" bestFit="1" customWidth="1"/>
    <col min="2143" max="2144" width="7" bestFit="1" customWidth="1"/>
    <col min="2145" max="2146" width="5" bestFit="1" customWidth="1"/>
    <col min="2147" max="2148" width="7" bestFit="1" customWidth="1"/>
    <col min="2149" max="2150" width="5" bestFit="1" customWidth="1"/>
    <col min="2151" max="2153" width="7" bestFit="1" customWidth="1"/>
    <col min="2154" max="2154" width="6" bestFit="1" customWidth="1"/>
    <col min="2155" max="2156" width="7" bestFit="1" customWidth="1"/>
    <col min="2157" max="2157" width="9.44140625" bestFit="1" customWidth="1"/>
    <col min="2158" max="2160" width="7" bestFit="1" customWidth="1"/>
    <col min="2161" max="2161" width="5" bestFit="1" customWidth="1"/>
    <col min="2162" max="2162" width="7" bestFit="1" customWidth="1"/>
    <col min="2163" max="2163" width="4" bestFit="1" customWidth="1"/>
    <col min="2164" max="2164" width="7" bestFit="1" customWidth="1"/>
    <col min="2165" max="2165" width="4" bestFit="1" customWidth="1"/>
    <col min="2166" max="2166" width="7" bestFit="1" customWidth="1"/>
    <col min="2167" max="2167" width="5" bestFit="1" customWidth="1"/>
    <col min="2168" max="2172" width="7" bestFit="1" customWidth="1"/>
    <col min="2173" max="2173" width="5" bestFit="1" customWidth="1"/>
    <col min="2174" max="2175" width="7" bestFit="1" customWidth="1"/>
    <col min="2176" max="2177" width="5" bestFit="1" customWidth="1"/>
    <col min="2178" max="2179" width="7" bestFit="1" customWidth="1"/>
    <col min="2180" max="2181" width="6" bestFit="1" customWidth="1"/>
    <col min="2182" max="2182" width="7" bestFit="1" customWidth="1"/>
    <col min="2183" max="2183" width="6" bestFit="1" customWidth="1"/>
    <col min="2184" max="2184" width="7" bestFit="1" customWidth="1"/>
    <col min="2185" max="2185" width="9.44140625" bestFit="1" customWidth="1"/>
    <col min="2186" max="2186" width="7" bestFit="1" customWidth="1"/>
    <col min="2187" max="2187" width="4" bestFit="1" customWidth="1"/>
    <col min="2188" max="2189" width="7" bestFit="1" customWidth="1"/>
    <col min="2190" max="2190" width="5" bestFit="1" customWidth="1"/>
    <col min="2191" max="2191" width="7" bestFit="1" customWidth="1"/>
    <col min="2192" max="2192" width="5" bestFit="1" customWidth="1"/>
    <col min="2193" max="2194" width="7" bestFit="1" customWidth="1"/>
    <col min="2195" max="2195" width="4" bestFit="1" customWidth="1"/>
    <col min="2196" max="2197" width="7" bestFit="1" customWidth="1"/>
    <col min="2198" max="2198" width="5" bestFit="1" customWidth="1"/>
    <col min="2199" max="2202" width="7" bestFit="1" customWidth="1"/>
    <col min="2203" max="2204" width="5" bestFit="1" customWidth="1"/>
    <col min="2205" max="2207" width="7" bestFit="1" customWidth="1"/>
    <col min="2208" max="2208" width="6" bestFit="1" customWidth="1"/>
    <col min="2209" max="2209" width="7" bestFit="1" customWidth="1"/>
    <col min="2210" max="2210" width="6" bestFit="1" customWidth="1"/>
    <col min="2211" max="2212" width="7" bestFit="1" customWidth="1"/>
    <col min="2213" max="2213" width="9.44140625" bestFit="1" customWidth="1"/>
    <col min="2214" max="2214" width="7" bestFit="1" customWidth="1"/>
    <col min="2215" max="2215" width="5" bestFit="1" customWidth="1"/>
    <col min="2216" max="2219" width="7" bestFit="1" customWidth="1"/>
    <col min="2220" max="2221" width="5" bestFit="1" customWidth="1"/>
    <col min="2222" max="2222" width="7" bestFit="1" customWidth="1"/>
    <col min="2223" max="2223" width="5" bestFit="1" customWidth="1"/>
    <col min="2224" max="2227" width="7" bestFit="1" customWidth="1"/>
    <col min="2228" max="2228" width="4" bestFit="1" customWidth="1"/>
    <col min="2229" max="2229" width="5" bestFit="1" customWidth="1"/>
    <col min="2230" max="2231" width="7" bestFit="1" customWidth="1"/>
    <col min="2232" max="2234" width="5" bestFit="1" customWidth="1"/>
    <col min="2235" max="2235" width="7" bestFit="1" customWidth="1"/>
    <col min="2236" max="2236" width="6" bestFit="1" customWidth="1"/>
    <col min="2237" max="2239" width="7" bestFit="1" customWidth="1"/>
    <col min="2240" max="2240" width="9.44140625" bestFit="1" customWidth="1"/>
    <col min="2241" max="2241" width="6.6640625" bestFit="1" customWidth="1"/>
    <col min="2242" max="2242" width="7" bestFit="1" customWidth="1"/>
    <col min="2243" max="2243" width="5" bestFit="1" customWidth="1"/>
    <col min="2244" max="2244" width="4" bestFit="1" customWidth="1"/>
    <col min="2245" max="2247" width="5" bestFit="1" customWidth="1"/>
    <col min="2248" max="2248" width="7" bestFit="1" customWidth="1"/>
    <col min="2249" max="2249" width="6" bestFit="1" customWidth="1"/>
    <col min="2250" max="2250" width="7" bestFit="1" customWidth="1"/>
    <col min="2251" max="2251" width="9.44140625" bestFit="1" customWidth="1"/>
    <col min="2252" max="2252" width="6.6640625" bestFit="1" customWidth="1"/>
    <col min="2253" max="2254" width="7" bestFit="1" customWidth="1"/>
    <col min="2255" max="2255" width="5" bestFit="1" customWidth="1"/>
    <col min="2256" max="2256" width="4" bestFit="1" customWidth="1"/>
    <col min="2257" max="2257" width="7" bestFit="1" customWidth="1"/>
    <col min="2258" max="2259" width="5" bestFit="1" customWidth="1"/>
    <col min="2260" max="2260" width="7" bestFit="1" customWidth="1"/>
    <col min="2261" max="2261" width="6" bestFit="1" customWidth="1"/>
    <col min="2262" max="2262" width="9.44140625" bestFit="1" customWidth="1"/>
    <col min="2263" max="2263" width="7" bestFit="1" customWidth="1"/>
    <col min="2264" max="2264" width="4" bestFit="1" customWidth="1"/>
    <col min="2265" max="2265" width="7" bestFit="1" customWidth="1"/>
    <col min="2266" max="2267" width="4" bestFit="1" customWidth="1"/>
    <col min="2268" max="2269" width="5" bestFit="1" customWidth="1"/>
    <col min="2270" max="2271" width="7" bestFit="1" customWidth="1"/>
    <col min="2272" max="2272" width="6" bestFit="1" customWidth="1"/>
    <col min="2273" max="2273" width="9.44140625" bestFit="1" customWidth="1"/>
    <col min="2274" max="2274" width="6.6640625" bestFit="1" customWidth="1"/>
    <col min="2275" max="2275" width="7" bestFit="1" customWidth="1"/>
    <col min="2276" max="2276" width="4" bestFit="1" customWidth="1"/>
    <col min="2277" max="2277" width="7" bestFit="1" customWidth="1"/>
    <col min="2278" max="2281" width="5" bestFit="1" customWidth="1"/>
    <col min="2282" max="2282" width="7" bestFit="1" customWidth="1"/>
    <col min="2283" max="2283" width="6" bestFit="1" customWidth="1"/>
    <col min="2284" max="2284" width="9.44140625" bestFit="1" customWidth="1"/>
    <col min="2285" max="2285" width="6.6640625" bestFit="1" customWidth="1"/>
    <col min="2286" max="2287" width="7" bestFit="1" customWidth="1"/>
    <col min="2288" max="2288" width="4" bestFit="1" customWidth="1"/>
    <col min="2289" max="2290" width="5" bestFit="1" customWidth="1"/>
    <col min="2291" max="2292" width="7" bestFit="1" customWidth="1"/>
    <col min="2293" max="2294" width="6" bestFit="1" customWidth="1"/>
    <col min="2295" max="2295" width="9.44140625" bestFit="1" customWidth="1"/>
    <col min="2296" max="2296" width="7.6640625" bestFit="1" customWidth="1"/>
    <col min="2297" max="2297" width="5" bestFit="1" customWidth="1"/>
    <col min="2298" max="2300" width="7" bestFit="1" customWidth="1"/>
    <col min="2301" max="2303" width="5" bestFit="1" customWidth="1"/>
    <col min="2304" max="2305" width="6" bestFit="1" customWidth="1"/>
    <col min="2306" max="2306" width="10.44140625" bestFit="1" customWidth="1"/>
    <col min="2307" max="2307" width="7.6640625" bestFit="1" customWidth="1"/>
    <col min="2308" max="2308" width="7" bestFit="1" customWidth="1"/>
    <col min="2309" max="2309" width="4" bestFit="1" customWidth="1"/>
    <col min="2310" max="2310" width="5" bestFit="1" customWidth="1"/>
    <col min="2311" max="2311" width="7" bestFit="1" customWidth="1"/>
    <col min="2312" max="2314" width="5" bestFit="1" customWidth="1"/>
    <col min="2315" max="2316" width="6" bestFit="1" customWidth="1"/>
    <col min="2317" max="2317" width="10.44140625" bestFit="1" customWidth="1"/>
    <col min="2318" max="2318" width="7.6640625" bestFit="1" customWidth="1"/>
    <col min="2319" max="2319" width="5" bestFit="1" customWidth="1"/>
    <col min="2320" max="2320" width="7" bestFit="1" customWidth="1"/>
    <col min="2321" max="2325" width="5" bestFit="1" customWidth="1"/>
    <col min="2326" max="2326" width="6" bestFit="1" customWidth="1"/>
    <col min="2327" max="2327" width="7" bestFit="1" customWidth="1"/>
    <col min="2328" max="2328" width="10.44140625" bestFit="1" customWidth="1"/>
    <col min="2329" max="2329" width="7.6640625" bestFit="1" customWidth="1"/>
    <col min="2330" max="2330" width="4" bestFit="1" customWidth="1"/>
    <col min="2331" max="2331" width="5" bestFit="1" customWidth="1"/>
    <col min="2332" max="2332" width="4" bestFit="1" customWidth="1"/>
    <col min="2333" max="2333" width="7" bestFit="1" customWidth="1"/>
    <col min="2334" max="2335" width="5" bestFit="1" customWidth="1"/>
    <col min="2336" max="2336" width="7" bestFit="1" customWidth="1"/>
    <col min="2337" max="2337" width="5" bestFit="1" customWidth="1"/>
    <col min="2338" max="2338" width="6" bestFit="1" customWidth="1"/>
    <col min="2339" max="2339" width="10.44140625" bestFit="1" customWidth="1"/>
    <col min="2340" max="2340" width="7.6640625" bestFit="1" customWidth="1"/>
    <col min="2341" max="2341" width="5" bestFit="1" customWidth="1"/>
    <col min="2342" max="2342" width="7" bestFit="1" customWidth="1"/>
    <col min="2343" max="2345" width="5" bestFit="1" customWidth="1"/>
    <col min="2346" max="2346" width="7" bestFit="1" customWidth="1"/>
    <col min="2347" max="2348" width="5" bestFit="1" customWidth="1"/>
    <col min="2349" max="2349" width="6" bestFit="1" customWidth="1"/>
    <col min="2350" max="2350" width="10.44140625" bestFit="1" customWidth="1"/>
    <col min="2351" max="2351" width="7.6640625" bestFit="1" customWidth="1"/>
    <col min="2352" max="2352" width="4" bestFit="1" customWidth="1"/>
    <col min="2353" max="2354" width="7" bestFit="1" customWidth="1"/>
    <col min="2355" max="2356" width="5" bestFit="1" customWidth="1"/>
    <col min="2357" max="2357" width="7" bestFit="1" customWidth="1"/>
    <col min="2358" max="2359" width="5" bestFit="1" customWidth="1"/>
    <col min="2360" max="2360" width="6" bestFit="1" customWidth="1"/>
    <col min="2361" max="2361" width="10.44140625" bestFit="1" customWidth="1"/>
    <col min="2362" max="2362" width="7.6640625" bestFit="1" customWidth="1"/>
    <col min="2363" max="2363" width="7" bestFit="1" customWidth="1"/>
    <col min="2364" max="2365" width="5" bestFit="1" customWidth="1"/>
    <col min="2366" max="2366" width="7" bestFit="1" customWidth="1"/>
    <col min="2367" max="2368" width="5" bestFit="1" customWidth="1"/>
    <col min="2369" max="2370" width="6" bestFit="1" customWidth="1"/>
    <col min="2371" max="2371" width="7" bestFit="1" customWidth="1"/>
    <col min="2372" max="2372" width="10.44140625" bestFit="1" customWidth="1"/>
    <col min="2373" max="2373" width="7.6640625" bestFit="1" customWidth="1"/>
    <col min="2374" max="2374" width="5" bestFit="1" customWidth="1"/>
    <col min="2375" max="2378" width="7" bestFit="1" customWidth="1"/>
    <col min="2379" max="2379" width="6" bestFit="1" customWidth="1"/>
    <col min="2380" max="2381" width="7" bestFit="1" customWidth="1"/>
    <col min="2382" max="2382" width="10.44140625" bestFit="1" customWidth="1"/>
    <col min="2383" max="2383" width="7.6640625" bestFit="1" customWidth="1"/>
    <col min="2384" max="2384" width="7" bestFit="1" customWidth="1"/>
    <col min="2385" max="2386" width="5" bestFit="1" customWidth="1"/>
    <col min="2387" max="2387" width="7" bestFit="1" customWidth="1"/>
    <col min="2388" max="2389" width="5" bestFit="1" customWidth="1"/>
    <col min="2390" max="2392" width="7" bestFit="1" customWidth="1"/>
    <col min="2393" max="2393" width="10.44140625" bestFit="1" customWidth="1"/>
    <col min="2394" max="2394" width="7.6640625" bestFit="1" customWidth="1"/>
    <col min="2395" max="2396" width="5" bestFit="1" customWidth="1"/>
    <col min="2397" max="2397" width="4" bestFit="1" customWidth="1"/>
    <col min="2398" max="2399" width="7" bestFit="1" customWidth="1"/>
    <col min="2400" max="2400" width="5" bestFit="1" customWidth="1"/>
    <col min="2401" max="2401" width="7" bestFit="1" customWidth="1"/>
    <col min="2402" max="2403" width="5" bestFit="1" customWidth="1"/>
    <col min="2404" max="2405" width="7" bestFit="1" customWidth="1"/>
    <col min="2406" max="2406" width="5" bestFit="1" customWidth="1"/>
    <col min="2407" max="2407" width="7" bestFit="1" customWidth="1"/>
    <col min="2408" max="2408" width="6" bestFit="1" customWidth="1"/>
    <col min="2409" max="2410" width="7" bestFit="1" customWidth="1"/>
    <col min="2411" max="2411" width="6" bestFit="1" customWidth="1"/>
    <col min="2412" max="2412" width="10.44140625" bestFit="1" customWidth="1"/>
    <col min="2413" max="2413" width="7.6640625" bestFit="1" customWidth="1"/>
    <col min="2414" max="2414" width="4" bestFit="1" customWidth="1"/>
    <col min="2415" max="2416" width="7" bestFit="1" customWidth="1"/>
    <col min="2417" max="2417" width="4" bestFit="1" customWidth="1"/>
    <col min="2418" max="2418" width="7" bestFit="1" customWidth="1"/>
    <col min="2419" max="2420" width="4" bestFit="1" customWidth="1"/>
    <col min="2421" max="2422" width="7" bestFit="1" customWidth="1"/>
    <col min="2423" max="2424" width="5" bestFit="1" customWidth="1"/>
    <col min="2425" max="2426" width="7" bestFit="1" customWidth="1"/>
    <col min="2427" max="2427" width="6" bestFit="1" customWidth="1"/>
    <col min="2428" max="2429" width="7" bestFit="1" customWidth="1"/>
    <col min="2430" max="2430" width="6" bestFit="1" customWidth="1"/>
    <col min="2431" max="2431" width="10.44140625" bestFit="1" customWidth="1"/>
    <col min="2432" max="2432" width="7.6640625" bestFit="1" customWidth="1"/>
    <col min="2433" max="2433" width="5" bestFit="1" customWidth="1"/>
    <col min="2434" max="2439" width="7" bestFit="1" customWidth="1"/>
    <col min="2440" max="2440" width="6" bestFit="1" customWidth="1"/>
    <col min="2441" max="2441" width="10.44140625" bestFit="1" customWidth="1"/>
    <col min="2442" max="2442" width="7.6640625" bestFit="1" customWidth="1"/>
    <col min="2443" max="2443" width="5" bestFit="1" customWidth="1"/>
    <col min="2444" max="2445" width="7" bestFit="1" customWidth="1"/>
    <col min="2446" max="2447" width="4" bestFit="1" customWidth="1"/>
    <col min="2448" max="2448" width="5" bestFit="1" customWidth="1"/>
    <col min="2449" max="2449" width="7" bestFit="1" customWidth="1"/>
    <col min="2450" max="2451" width="5" bestFit="1" customWidth="1"/>
    <col min="2452" max="2452" width="7" bestFit="1" customWidth="1"/>
    <col min="2453" max="2453" width="5" bestFit="1" customWidth="1"/>
    <col min="2454" max="2458" width="7" bestFit="1" customWidth="1"/>
    <col min="2459" max="2459" width="6" bestFit="1" customWidth="1"/>
    <col min="2460" max="2460" width="10.44140625" bestFit="1" customWidth="1"/>
    <col min="2461" max="2461" width="7.6640625" bestFit="1" customWidth="1"/>
    <col min="2462" max="2465" width="7" bestFit="1" customWidth="1"/>
    <col min="2466" max="2466" width="5" bestFit="1" customWidth="1"/>
    <col min="2467" max="2467" width="7" bestFit="1" customWidth="1"/>
    <col min="2468" max="2470" width="5" bestFit="1" customWidth="1"/>
    <col min="2471" max="2471" width="7" bestFit="1" customWidth="1"/>
    <col min="2472" max="2472" width="5" bestFit="1" customWidth="1"/>
    <col min="2473" max="2474" width="7" bestFit="1" customWidth="1"/>
    <col min="2475" max="2478" width="5" bestFit="1" customWidth="1"/>
    <col min="2479" max="2480" width="7" bestFit="1" customWidth="1"/>
    <col min="2481" max="2481" width="6" bestFit="1" customWidth="1"/>
    <col min="2482" max="2482" width="7" bestFit="1" customWidth="1"/>
    <col min="2483" max="2483" width="6" bestFit="1" customWidth="1"/>
    <col min="2484" max="2485" width="7" bestFit="1" customWidth="1"/>
    <col min="2486" max="2486" width="6" bestFit="1" customWidth="1"/>
    <col min="2487" max="2487" width="10.44140625" bestFit="1" customWidth="1"/>
    <col min="2488" max="2488" width="7.6640625" bestFit="1" customWidth="1"/>
    <col min="2489" max="2489" width="5" bestFit="1" customWidth="1"/>
    <col min="2490" max="2491" width="4" bestFit="1" customWidth="1"/>
    <col min="2492" max="2492" width="7" bestFit="1" customWidth="1"/>
    <col min="2493" max="2493" width="5" bestFit="1" customWidth="1"/>
    <col min="2494" max="2494" width="7" bestFit="1" customWidth="1"/>
    <col min="2495" max="2495" width="5" bestFit="1" customWidth="1"/>
    <col min="2496" max="2499" width="7" bestFit="1" customWidth="1"/>
    <col min="2500" max="2500" width="6" bestFit="1" customWidth="1"/>
    <col min="2501" max="2502" width="7" bestFit="1" customWidth="1"/>
    <col min="2503" max="2504" width="6" bestFit="1" customWidth="1"/>
    <col min="2505" max="2505" width="10.44140625" bestFit="1" customWidth="1"/>
    <col min="2506" max="2506" width="7.6640625" bestFit="1" customWidth="1"/>
    <col min="2507" max="2507" width="7" bestFit="1" customWidth="1"/>
    <col min="2508" max="2509" width="5" bestFit="1" customWidth="1"/>
    <col min="2510" max="2510" width="7" bestFit="1" customWidth="1"/>
    <col min="2511" max="2511" width="4" bestFit="1" customWidth="1"/>
    <col min="2512" max="2512" width="7" bestFit="1" customWidth="1"/>
    <col min="2513" max="2514" width="5" bestFit="1" customWidth="1"/>
    <col min="2515" max="2516" width="7" bestFit="1" customWidth="1"/>
    <col min="2517" max="2518" width="6" bestFit="1" customWidth="1"/>
    <col min="2519" max="2519" width="7" bestFit="1" customWidth="1"/>
    <col min="2520" max="2520" width="6" bestFit="1" customWidth="1"/>
    <col min="2521" max="2522" width="7" bestFit="1" customWidth="1"/>
    <col min="2523" max="2523" width="10.44140625" bestFit="1" customWidth="1"/>
    <col min="2524" max="2524" width="7.6640625" bestFit="1" customWidth="1"/>
    <col min="2525" max="2525" width="7" bestFit="1" customWidth="1"/>
    <col min="2526" max="2526" width="5" bestFit="1" customWidth="1"/>
    <col min="2527" max="2527" width="4" bestFit="1" customWidth="1"/>
    <col min="2528" max="2529" width="5" bestFit="1" customWidth="1"/>
    <col min="2530" max="2530" width="7" bestFit="1" customWidth="1"/>
    <col min="2531" max="2531" width="6" bestFit="1" customWidth="1"/>
    <col min="2532" max="2532" width="7" bestFit="1" customWidth="1"/>
    <col min="2533" max="2533" width="6" bestFit="1" customWidth="1"/>
    <col min="2534" max="2534" width="10.44140625" bestFit="1" customWidth="1"/>
    <col min="2535" max="2535" width="7.6640625" bestFit="1" customWidth="1"/>
    <col min="2536" max="2536" width="7" bestFit="1" customWidth="1"/>
    <col min="2537" max="2537" width="4" bestFit="1" customWidth="1"/>
    <col min="2538" max="2538" width="7" bestFit="1" customWidth="1"/>
    <col min="2539" max="2540" width="5" bestFit="1" customWidth="1"/>
    <col min="2541" max="2541" width="7" bestFit="1" customWidth="1"/>
    <col min="2542" max="2544" width="6" bestFit="1" customWidth="1"/>
    <col min="2545" max="2545" width="10.44140625" bestFit="1" customWidth="1"/>
    <col min="2546" max="2546" width="7.6640625" bestFit="1" customWidth="1"/>
    <col min="2547" max="2547" width="7" bestFit="1" customWidth="1"/>
    <col min="2548" max="2549" width="4" bestFit="1" customWidth="1"/>
    <col min="2550" max="2550" width="5" bestFit="1" customWidth="1"/>
    <col min="2551" max="2551" width="4" bestFit="1" customWidth="1"/>
    <col min="2552" max="2552" width="5" bestFit="1" customWidth="1"/>
    <col min="2553" max="2553" width="7" bestFit="1" customWidth="1"/>
    <col min="2554" max="2554" width="6" bestFit="1" customWidth="1"/>
    <col min="2555" max="2555" width="7" bestFit="1" customWidth="1"/>
    <col min="2556" max="2556" width="10.44140625" bestFit="1" customWidth="1"/>
    <col min="2557" max="2557" width="7.6640625" bestFit="1" customWidth="1"/>
    <col min="2558" max="2558" width="7" bestFit="1" customWidth="1"/>
    <col min="2559" max="2559" width="5" bestFit="1" customWidth="1"/>
    <col min="2560" max="2560" width="4" bestFit="1" customWidth="1"/>
    <col min="2561" max="2561" width="5" bestFit="1" customWidth="1"/>
    <col min="2562" max="2562" width="7" bestFit="1" customWidth="1"/>
    <col min="2563" max="2564" width="6" bestFit="1" customWidth="1"/>
    <col min="2565" max="2565" width="7" bestFit="1" customWidth="1"/>
    <col min="2566" max="2566" width="6" bestFit="1" customWidth="1"/>
    <col min="2567" max="2567" width="10.44140625" bestFit="1" customWidth="1"/>
    <col min="2568" max="2568" width="7.6640625" bestFit="1" customWidth="1"/>
    <col min="2569" max="2569" width="5" bestFit="1" customWidth="1"/>
    <col min="2570" max="2571" width="4" bestFit="1" customWidth="1"/>
    <col min="2572" max="2572" width="5" bestFit="1" customWidth="1"/>
    <col min="2573" max="2573" width="7" bestFit="1" customWidth="1"/>
    <col min="2574" max="2574" width="6" bestFit="1" customWidth="1"/>
    <col min="2575" max="2576" width="7" bestFit="1" customWidth="1"/>
    <col min="2577" max="2577" width="6" bestFit="1" customWidth="1"/>
    <col min="2578" max="2578" width="10.44140625" bestFit="1" customWidth="1"/>
    <col min="2579" max="2579" width="7.6640625" bestFit="1" customWidth="1"/>
    <col min="2580" max="2580" width="7" bestFit="1" customWidth="1"/>
    <col min="2581" max="2582" width="5" bestFit="1" customWidth="1"/>
    <col min="2583" max="2584" width="7" bestFit="1" customWidth="1"/>
    <col min="2585" max="2586" width="6" bestFit="1" customWidth="1"/>
    <col min="2587" max="2588" width="7" bestFit="1" customWidth="1"/>
    <col min="2589" max="2589" width="10.44140625" bestFit="1" customWidth="1"/>
    <col min="2590" max="2590" width="7.6640625" bestFit="1" customWidth="1"/>
    <col min="2591" max="2591" width="7" bestFit="1" customWidth="1"/>
    <col min="2592" max="2593" width="5" bestFit="1" customWidth="1"/>
    <col min="2594" max="2594" width="7" bestFit="1" customWidth="1"/>
    <col min="2595" max="2596" width="6" bestFit="1" customWidth="1"/>
    <col min="2597" max="2598" width="7" bestFit="1" customWidth="1"/>
    <col min="2599" max="2599" width="6" bestFit="1" customWidth="1"/>
    <col min="2600" max="2600" width="10.44140625" bestFit="1" customWidth="1"/>
    <col min="2601" max="2601" width="7.6640625" bestFit="1" customWidth="1"/>
    <col min="2602" max="2603" width="7" bestFit="1" customWidth="1"/>
    <col min="2604" max="2604" width="5" bestFit="1" customWidth="1"/>
    <col min="2605" max="2605" width="7" bestFit="1" customWidth="1"/>
    <col min="2606" max="2606" width="5" bestFit="1" customWidth="1"/>
    <col min="2607" max="2608" width="7" bestFit="1" customWidth="1"/>
    <col min="2609" max="2610" width="6" bestFit="1" customWidth="1"/>
    <col min="2611" max="2611" width="10.44140625" bestFit="1" customWidth="1"/>
    <col min="2612" max="2612" width="7.6640625" bestFit="1" customWidth="1"/>
    <col min="2613" max="2613" width="5" bestFit="1" customWidth="1"/>
    <col min="2614" max="2615" width="7" bestFit="1" customWidth="1"/>
    <col min="2616" max="2617" width="5" bestFit="1" customWidth="1"/>
    <col min="2618" max="2619" width="7" bestFit="1" customWidth="1"/>
    <col min="2620" max="2620" width="6" bestFit="1" customWidth="1"/>
    <col min="2621" max="2621" width="7" bestFit="1" customWidth="1"/>
    <col min="2622" max="2622" width="10.44140625" bestFit="1" customWidth="1"/>
    <col min="2623" max="2623" width="7.6640625" bestFit="1" customWidth="1"/>
    <col min="2624" max="2625" width="7" bestFit="1" customWidth="1"/>
    <col min="2626" max="2628" width="5" bestFit="1" customWidth="1"/>
    <col min="2629" max="2630" width="7" bestFit="1" customWidth="1"/>
    <col min="2631" max="2632" width="6" bestFit="1" customWidth="1"/>
    <col min="2633" max="2633" width="10.44140625" bestFit="1" customWidth="1"/>
    <col min="2634" max="2634" width="7.6640625" bestFit="1" customWidth="1"/>
    <col min="2635" max="2635" width="7" bestFit="1" customWidth="1"/>
    <col min="2636" max="2636" width="4" bestFit="1" customWidth="1"/>
    <col min="2637" max="2638" width="5" bestFit="1" customWidth="1"/>
    <col min="2639" max="2640" width="7" bestFit="1" customWidth="1"/>
    <col min="2641" max="2642" width="6" bestFit="1" customWidth="1"/>
    <col min="2643" max="2643" width="7" bestFit="1" customWidth="1"/>
    <col min="2644" max="2644" width="10.44140625" bestFit="1" customWidth="1"/>
    <col min="2645" max="2645" width="7.6640625" bestFit="1" customWidth="1"/>
    <col min="2646" max="2646" width="7" bestFit="1" customWidth="1"/>
    <col min="2647" max="2650" width="5" bestFit="1" customWidth="1"/>
    <col min="2651" max="2652" width="7" bestFit="1" customWidth="1"/>
    <col min="2653" max="2654" width="6" bestFit="1" customWidth="1"/>
    <col min="2655" max="2655" width="10.44140625" bestFit="1" customWidth="1"/>
    <col min="2656" max="2656" width="7.6640625" bestFit="1" customWidth="1"/>
    <col min="2657" max="2658" width="7" bestFit="1" customWidth="1"/>
    <col min="2659" max="2662" width="5" bestFit="1" customWidth="1"/>
    <col min="2663" max="2663" width="7" bestFit="1" customWidth="1"/>
    <col min="2664" max="2665" width="6" bestFit="1" customWidth="1"/>
    <col min="2666" max="2666" width="10.44140625" bestFit="1" customWidth="1"/>
    <col min="2667" max="2667" width="7.6640625" bestFit="1" customWidth="1"/>
    <col min="2668" max="2668" width="7" bestFit="1" customWidth="1"/>
    <col min="2669" max="2669" width="4" bestFit="1" customWidth="1"/>
    <col min="2670" max="2671" width="5" bestFit="1" customWidth="1"/>
    <col min="2672" max="2674" width="7" bestFit="1" customWidth="1"/>
    <col min="2675" max="2676" width="6" bestFit="1" customWidth="1"/>
    <col min="2677" max="2677" width="10.44140625" bestFit="1" customWidth="1"/>
    <col min="2678" max="2678" width="7.6640625" bestFit="1" customWidth="1"/>
    <col min="2679" max="2679" width="4" bestFit="1" customWidth="1"/>
    <col min="2680" max="2682" width="5" bestFit="1" customWidth="1"/>
    <col min="2683" max="2685" width="7" bestFit="1" customWidth="1"/>
    <col min="2686" max="2686" width="5" bestFit="1" customWidth="1"/>
    <col min="2687" max="2687" width="6" bestFit="1" customWidth="1"/>
    <col min="2688" max="2688" width="10.44140625" bestFit="1" customWidth="1"/>
    <col min="2689" max="2689" width="7.6640625" bestFit="1" customWidth="1"/>
    <col min="2690" max="2690" width="5" bestFit="1" customWidth="1"/>
    <col min="2691" max="2693" width="7" bestFit="1" customWidth="1"/>
    <col min="2694" max="2694" width="4" bestFit="1" customWidth="1"/>
    <col min="2695" max="2696" width="7" bestFit="1" customWidth="1"/>
    <col min="2697" max="2700" width="5" bestFit="1" customWidth="1"/>
    <col min="2701" max="2702" width="7" bestFit="1" customWidth="1"/>
    <col min="2703" max="2704" width="5" bestFit="1" customWidth="1"/>
    <col min="2705" max="2705" width="7" bestFit="1" customWidth="1"/>
    <col min="2706" max="2706" width="5" bestFit="1" customWidth="1"/>
    <col min="2707" max="2708" width="7" bestFit="1" customWidth="1"/>
    <col min="2709" max="2709" width="6" bestFit="1" customWidth="1"/>
    <col min="2710" max="2711" width="7" bestFit="1" customWidth="1"/>
    <col min="2712" max="2712" width="6" bestFit="1" customWidth="1"/>
    <col min="2713" max="2715" width="7" bestFit="1" customWidth="1"/>
    <col min="2716" max="2716" width="10.44140625" bestFit="1" customWidth="1"/>
    <col min="2717" max="2717" width="7.6640625" bestFit="1" customWidth="1"/>
    <col min="2718" max="2718" width="5" bestFit="1" customWidth="1"/>
    <col min="2719" max="2719" width="4" bestFit="1" customWidth="1"/>
    <col min="2720" max="2720" width="7" bestFit="1" customWidth="1"/>
    <col min="2721" max="2722" width="5" bestFit="1" customWidth="1"/>
    <col min="2723" max="2723" width="7" bestFit="1" customWidth="1"/>
    <col min="2724" max="2725" width="6" bestFit="1" customWidth="1"/>
    <col min="2726" max="2726" width="7" bestFit="1" customWidth="1"/>
    <col min="2727" max="2727" width="10.44140625" bestFit="1" customWidth="1"/>
    <col min="2728" max="2728" width="8.6640625" bestFit="1" customWidth="1"/>
    <col min="2729" max="2730" width="5" bestFit="1" customWidth="1"/>
    <col min="2731" max="2731" width="4" bestFit="1" customWidth="1"/>
    <col min="2732" max="2733" width="5" bestFit="1" customWidth="1"/>
    <col min="2734" max="2737" width="7" bestFit="1" customWidth="1"/>
    <col min="2738" max="2738" width="5" bestFit="1" customWidth="1"/>
    <col min="2739" max="2740" width="7" bestFit="1" customWidth="1"/>
    <col min="2741" max="2741" width="6" bestFit="1" customWidth="1"/>
    <col min="2742" max="2743" width="7" bestFit="1" customWidth="1"/>
    <col min="2744" max="2744" width="6" bestFit="1" customWidth="1"/>
    <col min="2745" max="2745" width="7" bestFit="1" customWidth="1"/>
    <col min="2746" max="2746" width="11.44140625" bestFit="1" customWidth="1"/>
    <col min="2747" max="2747" width="8.6640625" bestFit="1" customWidth="1"/>
    <col min="2748" max="2749" width="4" bestFit="1" customWidth="1"/>
    <col min="2750" max="2751" width="7" bestFit="1" customWidth="1"/>
    <col min="2752" max="2753" width="6" bestFit="1" customWidth="1"/>
    <col min="2754" max="2756" width="7" bestFit="1" customWidth="1"/>
    <col min="2757" max="2757" width="11.44140625" bestFit="1" customWidth="1"/>
    <col min="2758" max="2758" width="8.6640625" bestFit="1" customWidth="1"/>
    <col min="2759" max="2760" width="7" bestFit="1" customWidth="1"/>
    <col min="2761" max="2763" width="5" bestFit="1" customWidth="1"/>
    <col min="2764" max="2764" width="7" bestFit="1" customWidth="1"/>
    <col min="2765" max="2767" width="6" bestFit="1" customWidth="1"/>
    <col min="2768" max="2768" width="11.44140625" bestFit="1" customWidth="1"/>
    <col min="2769" max="2769" width="8.6640625" bestFit="1" customWidth="1"/>
    <col min="2770" max="2770" width="7" bestFit="1" customWidth="1"/>
    <col min="2771" max="2772" width="5" bestFit="1" customWidth="1"/>
    <col min="2773" max="2773" width="4" bestFit="1" customWidth="1"/>
    <col min="2774" max="2776" width="5" bestFit="1" customWidth="1"/>
    <col min="2777" max="2777" width="7" bestFit="1" customWidth="1"/>
    <col min="2778" max="2778" width="5" bestFit="1" customWidth="1"/>
    <col min="2779" max="2779" width="7" bestFit="1" customWidth="1"/>
    <col min="2780" max="2780" width="5" bestFit="1" customWidth="1"/>
    <col min="2781" max="2786" width="7" bestFit="1" customWidth="1"/>
    <col min="2787" max="2787" width="11.44140625" bestFit="1" customWidth="1"/>
    <col min="2788" max="2788" width="11.6640625" bestFit="1" customWidth="1"/>
    <col min="2789" max="2789" width="7" bestFit="1" customWidth="1"/>
    <col min="2790" max="2790" width="4" bestFit="1" customWidth="1"/>
    <col min="2791" max="2791" width="5" bestFit="1" customWidth="1"/>
    <col min="2792" max="2792" width="7" bestFit="1" customWidth="1"/>
    <col min="2793" max="2793" width="5" bestFit="1" customWidth="1"/>
    <col min="2794" max="2794" width="7" bestFit="1" customWidth="1"/>
    <col min="2795" max="2797" width="6" bestFit="1" customWidth="1"/>
    <col min="2798" max="2798" width="14.109375" bestFit="1" customWidth="1"/>
    <col min="2799" max="2799" width="11.6640625" bestFit="1" customWidth="1"/>
    <col min="2800" max="2800" width="7" bestFit="1" customWidth="1"/>
    <col min="2801" max="2802" width="5" bestFit="1" customWidth="1"/>
    <col min="2803" max="2803" width="7" bestFit="1" customWidth="1"/>
    <col min="2804" max="2804" width="5" bestFit="1" customWidth="1"/>
    <col min="2805" max="2805" width="7" bestFit="1" customWidth="1"/>
    <col min="2806" max="2806" width="6" bestFit="1" customWidth="1"/>
    <col min="2807" max="2808" width="7" bestFit="1" customWidth="1"/>
    <col min="2809" max="2809" width="14.109375" bestFit="1" customWidth="1"/>
    <col min="2810" max="2810" width="8.6640625" bestFit="1" customWidth="1"/>
    <col min="2811" max="2811" width="4" bestFit="1" customWidth="1"/>
    <col min="2812" max="2812" width="7" bestFit="1" customWidth="1"/>
    <col min="2813" max="2814" width="5" bestFit="1" customWidth="1"/>
    <col min="2815" max="2815" width="7" bestFit="1" customWidth="1"/>
    <col min="2816" max="2817" width="5" bestFit="1" customWidth="1"/>
    <col min="2818" max="2818" width="6" bestFit="1" customWidth="1"/>
    <col min="2819" max="2819" width="7" bestFit="1" customWidth="1"/>
    <col min="2820" max="2820" width="11.44140625" bestFit="1" customWidth="1"/>
    <col min="2821" max="2821" width="8.6640625" bestFit="1" customWidth="1"/>
    <col min="2822" max="2822" width="7" bestFit="1" customWidth="1"/>
    <col min="2823" max="2824" width="5" bestFit="1" customWidth="1"/>
    <col min="2825" max="2825" width="7" bestFit="1" customWidth="1"/>
    <col min="2826" max="2827" width="5" bestFit="1" customWidth="1"/>
    <col min="2828" max="2830" width="6" bestFit="1" customWidth="1"/>
    <col min="2831" max="2831" width="11.44140625" bestFit="1" customWidth="1"/>
    <col min="2832" max="2832" width="8.6640625" bestFit="1" customWidth="1"/>
    <col min="2833" max="2833" width="5" bestFit="1" customWidth="1"/>
    <col min="2834" max="2836" width="7" bestFit="1" customWidth="1"/>
    <col min="2837" max="2838" width="5" bestFit="1" customWidth="1"/>
    <col min="2839" max="2841" width="6" bestFit="1" customWidth="1"/>
    <col min="2842" max="2842" width="11.44140625" bestFit="1" customWidth="1"/>
    <col min="2843" max="2843" width="8.6640625" bestFit="1" customWidth="1"/>
    <col min="2844" max="2844" width="7" bestFit="1" customWidth="1"/>
    <col min="2845" max="2848" width="5" bestFit="1" customWidth="1"/>
    <col min="2849" max="2850" width="7" bestFit="1" customWidth="1"/>
    <col min="2851" max="2852" width="6" bestFit="1" customWidth="1"/>
    <col min="2853" max="2853" width="11.44140625" bestFit="1" customWidth="1"/>
    <col min="2854" max="2854" width="8.6640625" bestFit="1" customWidth="1"/>
    <col min="2855" max="2855" width="4" bestFit="1" customWidth="1"/>
    <col min="2856" max="2856" width="7" bestFit="1" customWidth="1"/>
    <col min="2857" max="2857" width="5" bestFit="1" customWidth="1"/>
    <col min="2858" max="2858" width="7" bestFit="1" customWidth="1"/>
    <col min="2859" max="2861" width="5" bestFit="1" customWidth="1"/>
    <col min="2862" max="2863" width="6" bestFit="1" customWidth="1"/>
    <col min="2864" max="2864" width="11.44140625" bestFit="1" customWidth="1"/>
    <col min="2865" max="2865" width="8.6640625" bestFit="1" customWidth="1"/>
    <col min="2866" max="2866" width="5" bestFit="1" customWidth="1"/>
    <col min="2867" max="2869" width="7" bestFit="1" customWidth="1"/>
    <col min="2870" max="2870" width="5" bestFit="1" customWidth="1"/>
    <col min="2871" max="2873" width="7" bestFit="1" customWidth="1"/>
    <col min="2874" max="2874" width="11.44140625" bestFit="1" customWidth="1"/>
    <col min="2875" max="2875" width="8.6640625" bestFit="1" customWidth="1"/>
    <col min="2876" max="2876" width="5" bestFit="1" customWidth="1"/>
    <col min="2877" max="2877" width="7" bestFit="1" customWidth="1"/>
    <col min="2878" max="2878" width="4" bestFit="1" customWidth="1"/>
    <col min="2879" max="2879" width="7" bestFit="1" customWidth="1"/>
    <col min="2880" max="2880" width="5" bestFit="1" customWidth="1"/>
    <col min="2881" max="2881" width="7" bestFit="1" customWidth="1"/>
    <col min="2882" max="2882" width="5" bestFit="1" customWidth="1"/>
    <col min="2883" max="2885" width="7" bestFit="1" customWidth="1"/>
    <col min="2886" max="2886" width="5" bestFit="1" customWidth="1"/>
    <col min="2887" max="2887" width="6" bestFit="1" customWidth="1"/>
    <col min="2888" max="2888" width="7" bestFit="1" customWidth="1"/>
    <col min="2889" max="2889" width="6" bestFit="1" customWidth="1"/>
    <col min="2890" max="2891" width="7" bestFit="1" customWidth="1"/>
    <col min="2892" max="2892" width="11.44140625" bestFit="1" customWidth="1"/>
    <col min="2893" max="2893" width="8.6640625" bestFit="1" customWidth="1"/>
    <col min="2894" max="2894" width="4" bestFit="1" customWidth="1"/>
    <col min="2895" max="2895" width="7" bestFit="1" customWidth="1"/>
    <col min="2896" max="2897" width="4" bestFit="1" customWidth="1"/>
    <col min="2898" max="2898" width="5" bestFit="1" customWidth="1"/>
    <col min="2899" max="2900" width="7" bestFit="1" customWidth="1"/>
    <col min="2901" max="2901" width="5" bestFit="1" customWidth="1"/>
    <col min="2902" max="2903" width="7" bestFit="1" customWidth="1"/>
    <col min="2904" max="2904" width="5" bestFit="1" customWidth="1"/>
    <col min="2905" max="2905" width="7" bestFit="1" customWidth="1"/>
    <col min="2906" max="2906" width="6" bestFit="1" customWidth="1"/>
    <col min="2907" max="2908" width="7" bestFit="1" customWidth="1"/>
    <col min="2909" max="2909" width="6" bestFit="1" customWidth="1"/>
    <col min="2910" max="2910" width="7" bestFit="1" customWidth="1"/>
    <col min="2911" max="2911" width="11.44140625" bestFit="1" customWidth="1"/>
    <col min="2912" max="2912" width="8.6640625" bestFit="1" customWidth="1"/>
    <col min="2913" max="2917" width="7" bestFit="1" customWidth="1"/>
    <col min="2918" max="2919" width="5" bestFit="1" customWidth="1"/>
    <col min="2920" max="2920" width="4" bestFit="1" customWidth="1"/>
    <col min="2921" max="2922" width="7" bestFit="1" customWidth="1"/>
    <col min="2923" max="2926" width="5" bestFit="1" customWidth="1"/>
    <col min="2927" max="2928" width="7" bestFit="1" customWidth="1"/>
    <col min="2929" max="2930" width="5" bestFit="1" customWidth="1"/>
    <col min="2931" max="2935" width="7" bestFit="1" customWidth="1"/>
    <col min="2936" max="2937" width="6" bestFit="1" customWidth="1"/>
    <col min="2938" max="2938" width="7" bestFit="1" customWidth="1"/>
    <col min="2939" max="2939" width="11.44140625" bestFit="1" customWidth="1"/>
    <col min="2940" max="2940" width="8.6640625" bestFit="1" customWidth="1"/>
    <col min="2941" max="2941" width="5" bestFit="1" customWidth="1"/>
    <col min="2942" max="2942" width="7" bestFit="1" customWidth="1"/>
    <col min="2943" max="2944" width="5" bestFit="1" customWidth="1"/>
    <col min="2945" max="2945" width="7" bestFit="1" customWidth="1"/>
    <col min="2946" max="2947" width="5" bestFit="1" customWidth="1"/>
    <col min="2948" max="2948" width="7" bestFit="1" customWidth="1"/>
    <col min="2949" max="2949" width="6" bestFit="1" customWidth="1"/>
    <col min="2950" max="2950" width="11.44140625" bestFit="1" customWidth="1"/>
    <col min="2951" max="2951" width="8.6640625" bestFit="1" customWidth="1"/>
    <col min="2952" max="2954" width="7" bestFit="1" customWidth="1"/>
    <col min="2955" max="2955" width="5" bestFit="1" customWidth="1"/>
    <col min="2956" max="2958" width="7" bestFit="1" customWidth="1"/>
    <col min="2959" max="2959" width="6" bestFit="1" customWidth="1"/>
    <col min="2960" max="2960" width="11.44140625" bestFit="1" customWidth="1"/>
    <col min="2961" max="2961" width="8.6640625" bestFit="1" customWidth="1"/>
    <col min="2962" max="2962" width="7" bestFit="1" customWidth="1"/>
    <col min="2963" max="2963" width="5" bestFit="1" customWidth="1"/>
    <col min="2964" max="2965" width="7" bestFit="1" customWidth="1"/>
    <col min="2966" max="2966" width="5" bestFit="1" customWidth="1"/>
    <col min="2967" max="2967" width="6" bestFit="1" customWidth="1"/>
    <col min="2968" max="2968" width="7" bestFit="1" customWidth="1"/>
    <col min="2969" max="2969" width="6" bestFit="1" customWidth="1"/>
    <col min="2970" max="2970" width="7" bestFit="1" customWidth="1"/>
    <col min="2971" max="2971" width="11.44140625" bestFit="1" customWidth="1"/>
    <col min="2972" max="2972" width="8.6640625" bestFit="1" customWidth="1"/>
    <col min="2973" max="2973" width="7" bestFit="1" customWidth="1"/>
    <col min="2974" max="2974" width="5" bestFit="1" customWidth="1"/>
    <col min="2975" max="2975" width="4" bestFit="1" customWidth="1"/>
    <col min="2976" max="2976" width="7" bestFit="1" customWidth="1"/>
    <col min="2977" max="2979" width="5" bestFit="1" customWidth="1"/>
    <col min="2980" max="2981" width="7" bestFit="1" customWidth="1"/>
    <col min="2982" max="2982" width="11.44140625" bestFit="1" customWidth="1"/>
    <col min="2983" max="2983" width="8.6640625" bestFit="1" customWidth="1"/>
    <col min="2984" max="2985" width="5" bestFit="1" customWidth="1"/>
    <col min="2986" max="2986" width="7" bestFit="1" customWidth="1"/>
    <col min="2987" max="2988" width="5" bestFit="1" customWidth="1"/>
    <col min="2989" max="2989" width="7" bestFit="1" customWidth="1"/>
    <col min="2990" max="2990" width="6" bestFit="1" customWidth="1"/>
    <col min="2991" max="2992" width="7" bestFit="1" customWidth="1"/>
    <col min="2993" max="2993" width="11.44140625" bestFit="1" customWidth="1"/>
    <col min="2994" max="2994" width="8.6640625" bestFit="1" customWidth="1"/>
    <col min="2995" max="2995" width="5" bestFit="1" customWidth="1"/>
    <col min="2996" max="2996" width="4" bestFit="1" customWidth="1"/>
    <col min="2997" max="2997" width="5" bestFit="1" customWidth="1"/>
    <col min="2998" max="2998" width="7" bestFit="1" customWidth="1"/>
    <col min="2999" max="3000" width="5" bestFit="1" customWidth="1"/>
    <col min="3001" max="3002" width="7" bestFit="1" customWidth="1"/>
    <col min="3003" max="3003" width="6" bestFit="1" customWidth="1"/>
    <col min="3004" max="3004" width="11.44140625" bestFit="1" customWidth="1"/>
    <col min="3005" max="3005" width="8.6640625" bestFit="1" customWidth="1"/>
    <col min="3006" max="3006" width="5" bestFit="1" customWidth="1"/>
    <col min="3007" max="3008" width="4" bestFit="1" customWidth="1"/>
    <col min="3009" max="3009" width="5" bestFit="1" customWidth="1"/>
    <col min="3010" max="3010" width="7" bestFit="1" customWidth="1"/>
    <col min="3011" max="3011" width="5" bestFit="1" customWidth="1"/>
    <col min="3012" max="3012" width="7" bestFit="1" customWidth="1"/>
    <col min="3013" max="3013" width="6" bestFit="1" customWidth="1"/>
    <col min="3014" max="3014" width="7" bestFit="1" customWidth="1"/>
    <col min="3015" max="3015" width="11.44140625" bestFit="1" customWidth="1"/>
    <col min="3016" max="3016" width="8.6640625" bestFit="1" customWidth="1"/>
    <col min="3017" max="3018" width="5" bestFit="1" customWidth="1"/>
    <col min="3019" max="3019" width="7" bestFit="1" customWidth="1"/>
    <col min="3020" max="3020" width="5" bestFit="1" customWidth="1"/>
    <col min="3021" max="3027" width="7" bestFit="1" customWidth="1"/>
    <col min="3028" max="3029" width="5" bestFit="1" customWidth="1"/>
    <col min="3030" max="3034" width="7" bestFit="1" customWidth="1"/>
    <col min="3035" max="3037" width="6" bestFit="1" customWidth="1"/>
    <col min="3038" max="3039" width="7" bestFit="1" customWidth="1"/>
    <col min="3040" max="3040" width="6" bestFit="1" customWidth="1"/>
    <col min="3041" max="3041" width="11.44140625" bestFit="1" customWidth="1"/>
    <col min="3042" max="3042" width="8.6640625" bestFit="1" customWidth="1"/>
    <col min="3043" max="3043" width="5" bestFit="1" customWidth="1"/>
    <col min="3044" max="3044" width="7" bestFit="1" customWidth="1"/>
    <col min="3045" max="3048" width="5" bestFit="1" customWidth="1"/>
    <col min="3049" max="3049" width="7" bestFit="1" customWidth="1"/>
    <col min="3050" max="3050" width="6" bestFit="1" customWidth="1"/>
    <col min="3051" max="3051" width="7" bestFit="1" customWidth="1"/>
    <col min="3052" max="3052" width="11.44140625" bestFit="1" customWidth="1"/>
    <col min="3053" max="3053" width="17.88671875" bestFit="1" customWidth="1"/>
    <col min="3054" max="3054" width="3" bestFit="1" customWidth="1"/>
    <col min="3055" max="3055" width="5" bestFit="1" customWidth="1"/>
    <col min="3056" max="3059" width="4" bestFit="1" customWidth="1"/>
    <col min="3060" max="3070" width="5" bestFit="1" customWidth="1"/>
    <col min="3071" max="3075" width="6" bestFit="1" customWidth="1"/>
    <col min="3076" max="3076" width="7" bestFit="1" customWidth="1"/>
    <col min="3077" max="3078" width="5" bestFit="1" customWidth="1"/>
    <col min="3079" max="3079" width="4" bestFit="1" customWidth="1"/>
    <col min="3080" max="3081" width="3" bestFit="1" customWidth="1"/>
    <col min="3082" max="3082" width="4" bestFit="1" customWidth="1"/>
    <col min="3083" max="3083" width="5" bestFit="1" customWidth="1"/>
    <col min="3084" max="3084" width="4" bestFit="1" customWidth="1"/>
    <col min="3085" max="3085" width="5" bestFit="1" customWidth="1"/>
    <col min="3086" max="3086" width="4" bestFit="1" customWidth="1"/>
    <col min="3087" max="3089" width="5" bestFit="1" customWidth="1"/>
    <col min="3090" max="3095" width="6" bestFit="1" customWidth="1"/>
    <col min="3096" max="3096" width="7" bestFit="1" customWidth="1"/>
    <col min="3097" max="3097" width="3.6640625" bestFit="1" customWidth="1"/>
    <col min="3098" max="3098" width="3" bestFit="1" customWidth="1"/>
    <col min="3099" max="3100" width="4" bestFit="1" customWidth="1"/>
    <col min="3101" max="3101" width="5" bestFit="1" customWidth="1"/>
    <col min="3102" max="3102" width="4" bestFit="1" customWidth="1"/>
    <col min="3103" max="3103" width="5" bestFit="1" customWidth="1"/>
    <col min="3104" max="3104" width="4" bestFit="1" customWidth="1"/>
    <col min="3105" max="3105" width="5" bestFit="1" customWidth="1"/>
    <col min="3106" max="3106" width="4" bestFit="1" customWidth="1"/>
    <col min="3107" max="3115" width="5" bestFit="1" customWidth="1"/>
    <col min="3116" max="3122" width="6" bestFit="1" customWidth="1"/>
    <col min="3123" max="3123" width="7" bestFit="1" customWidth="1"/>
    <col min="3124" max="3124" width="3.6640625" bestFit="1" customWidth="1"/>
    <col min="3125" max="3125" width="5" bestFit="1" customWidth="1"/>
    <col min="3126" max="3126" width="4" bestFit="1" customWidth="1"/>
    <col min="3127" max="3129" width="5" bestFit="1" customWidth="1"/>
    <col min="3130" max="3133" width="6" bestFit="1" customWidth="1"/>
    <col min="3134" max="3134" width="6.44140625" bestFit="1" customWidth="1"/>
    <col min="3135" max="3135" width="3.6640625" bestFit="1" customWidth="1"/>
    <col min="3136" max="3136" width="3" bestFit="1" customWidth="1"/>
    <col min="3137" max="3137" width="4" bestFit="1" customWidth="1"/>
    <col min="3138" max="3138" width="3" bestFit="1" customWidth="1"/>
    <col min="3139" max="3139" width="4" bestFit="1" customWidth="1"/>
    <col min="3140" max="3140" width="3" bestFit="1" customWidth="1"/>
    <col min="3141" max="3141" width="5" bestFit="1" customWidth="1"/>
    <col min="3142" max="3142" width="4" bestFit="1" customWidth="1"/>
    <col min="3143" max="3143" width="5" bestFit="1" customWidth="1"/>
    <col min="3144" max="3145" width="4" bestFit="1" customWidth="1"/>
    <col min="3146" max="3152" width="5" bestFit="1" customWidth="1"/>
    <col min="3153" max="3161" width="6" bestFit="1" customWidth="1"/>
    <col min="3162" max="3162" width="7" bestFit="1" customWidth="1"/>
    <col min="3163" max="3163" width="4.6640625" bestFit="1" customWidth="1"/>
    <col min="3164" max="3169" width="5" bestFit="1" customWidth="1"/>
    <col min="3170" max="3172" width="6" bestFit="1" customWidth="1"/>
    <col min="3173" max="3173" width="7.44140625" bestFit="1" customWidth="1"/>
    <col min="3174" max="3174" width="4.6640625" bestFit="1" customWidth="1"/>
    <col min="3175" max="3175" width="3" bestFit="1" customWidth="1"/>
    <col min="3176" max="3176" width="4" bestFit="1" customWidth="1"/>
    <col min="3177" max="3178" width="3" bestFit="1" customWidth="1"/>
    <col min="3179" max="3180" width="4" bestFit="1" customWidth="1"/>
    <col min="3181" max="3181" width="3" bestFit="1" customWidth="1"/>
    <col min="3182" max="3185" width="4" bestFit="1" customWidth="1"/>
    <col min="3186" max="3194" width="5" bestFit="1" customWidth="1"/>
    <col min="3195" max="3206" width="6" bestFit="1" customWidth="1"/>
    <col min="3207" max="3207" width="7.44140625" bestFit="1" customWidth="1"/>
    <col min="3208" max="3209" width="5" bestFit="1" customWidth="1"/>
    <col min="3210" max="3210" width="4" bestFit="1" customWidth="1"/>
    <col min="3211" max="3211" width="5" bestFit="1" customWidth="1"/>
    <col min="3212" max="3217" width="6" bestFit="1" customWidth="1"/>
    <col min="3218" max="3218" width="7.44140625" bestFit="1" customWidth="1"/>
    <col min="3219" max="3219" width="4.6640625" bestFit="1" customWidth="1"/>
    <col min="3220" max="3222" width="4" bestFit="1" customWidth="1"/>
    <col min="3223" max="3226" width="5" bestFit="1" customWidth="1"/>
    <col min="3227" max="3228" width="6" bestFit="1" customWidth="1"/>
    <col min="3229" max="3229" width="7.44140625" bestFit="1" customWidth="1"/>
    <col min="3230" max="3230" width="5" bestFit="1" customWidth="1"/>
    <col min="3231" max="3232" width="3" bestFit="1" customWidth="1"/>
    <col min="3233" max="3233" width="4" bestFit="1" customWidth="1"/>
    <col min="3234" max="3235" width="5" bestFit="1" customWidth="1"/>
    <col min="3236" max="3237" width="4" bestFit="1" customWidth="1"/>
    <col min="3238" max="3239" width="5" bestFit="1" customWidth="1"/>
    <col min="3240" max="3248" width="6" bestFit="1" customWidth="1"/>
    <col min="3249" max="3249" width="7.44140625" bestFit="1" customWidth="1"/>
    <col min="3250" max="3250" width="4.6640625" bestFit="1" customWidth="1"/>
    <col min="3251" max="3251" width="4" bestFit="1" customWidth="1"/>
    <col min="3252" max="3253" width="5" bestFit="1" customWidth="1"/>
    <col min="3254" max="3258" width="6" bestFit="1" customWidth="1"/>
    <col min="3259" max="3259" width="7.44140625" bestFit="1" customWidth="1"/>
    <col min="3260" max="3260" width="4.6640625" bestFit="1" customWidth="1"/>
    <col min="3261" max="3262" width="4" bestFit="1" customWidth="1"/>
    <col min="3263" max="3264" width="5" bestFit="1" customWidth="1"/>
    <col min="3265" max="3268" width="6" bestFit="1" customWidth="1"/>
    <col min="3269" max="3269" width="7.44140625" bestFit="1" customWidth="1"/>
    <col min="3270" max="3270" width="4.6640625" bestFit="1" customWidth="1"/>
    <col min="3271" max="3273" width="4" bestFit="1" customWidth="1"/>
    <col min="3274" max="3277" width="5" bestFit="1" customWidth="1"/>
    <col min="3278" max="3279" width="6" bestFit="1" customWidth="1"/>
    <col min="3280" max="3280" width="7.44140625" bestFit="1" customWidth="1"/>
    <col min="3281" max="3281" width="4.6640625" bestFit="1" customWidth="1"/>
    <col min="3282" max="3282" width="5" bestFit="1" customWidth="1"/>
    <col min="3283" max="3284" width="4" bestFit="1" customWidth="1"/>
    <col min="3285" max="3287" width="5" bestFit="1" customWidth="1"/>
    <col min="3288" max="3290" width="6" bestFit="1" customWidth="1"/>
    <col min="3291" max="3291" width="7.44140625" bestFit="1" customWidth="1"/>
    <col min="3292" max="3293" width="5" bestFit="1" customWidth="1"/>
    <col min="3294" max="3296" width="4" bestFit="1" customWidth="1"/>
    <col min="3297" max="3303" width="5" bestFit="1" customWidth="1"/>
    <col min="3304" max="3310" width="6" bestFit="1" customWidth="1"/>
    <col min="3311" max="3311" width="7.44140625" bestFit="1" customWidth="1"/>
    <col min="3312" max="3312" width="4.6640625" bestFit="1" customWidth="1"/>
    <col min="3313" max="3313" width="4" bestFit="1" customWidth="1"/>
    <col min="3314" max="3319" width="5" bestFit="1" customWidth="1"/>
    <col min="3320" max="3321" width="6" bestFit="1" customWidth="1"/>
    <col min="3322" max="3322" width="7.44140625" bestFit="1" customWidth="1"/>
    <col min="3323" max="3323" width="4.6640625" bestFit="1" customWidth="1"/>
    <col min="3324" max="3324" width="3" bestFit="1" customWidth="1"/>
    <col min="3325" max="3327" width="4" bestFit="1" customWidth="1"/>
    <col min="3328" max="3330" width="5" bestFit="1" customWidth="1"/>
    <col min="3331" max="3332" width="6" bestFit="1" customWidth="1"/>
    <col min="3333" max="3333" width="7.44140625" bestFit="1" customWidth="1"/>
    <col min="3334" max="3334" width="4.6640625" bestFit="1" customWidth="1"/>
    <col min="3335" max="3335" width="3" bestFit="1" customWidth="1"/>
    <col min="3336" max="3336" width="5" bestFit="1" customWidth="1"/>
    <col min="3337" max="3339" width="4" bestFit="1" customWidth="1"/>
    <col min="3340" max="3340" width="5" bestFit="1" customWidth="1"/>
    <col min="3341" max="3343" width="6" bestFit="1" customWidth="1"/>
    <col min="3344" max="3344" width="7.44140625" bestFit="1" customWidth="1"/>
    <col min="3345" max="3345" width="4.6640625" bestFit="1" customWidth="1"/>
    <col min="3346" max="3350" width="5" bestFit="1" customWidth="1"/>
    <col min="3351" max="3354" width="6" bestFit="1" customWidth="1"/>
    <col min="3355" max="3355" width="7.44140625" bestFit="1" customWidth="1"/>
    <col min="3356" max="3356" width="4.6640625" bestFit="1" customWidth="1"/>
    <col min="3357" max="3359" width="3" bestFit="1" customWidth="1"/>
    <col min="3360" max="3360" width="4" bestFit="1" customWidth="1"/>
    <col min="3361" max="3361" width="5" bestFit="1" customWidth="1"/>
    <col min="3362" max="3363" width="4" bestFit="1" customWidth="1"/>
    <col min="3364" max="3364" width="5" bestFit="1" customWidth="1"/>
    <col min="3365" max="3365" width="6" bestFit="1" customWidth="1"/>
    <col min="3366" max="3371" width="5" bestFit="1" customWidth="1"/>
    <col min="3372" max="3381" width="6" bestFit="1" customWidth="1"/>
    <col min="3382" max="3382" width="7.44140625" bestFit="1" customWidth="1"/>
    <col min="3383" max="3383" width="4.6640625" bestFit="1" customWidth="1"/>
    <col min="3384" max="3384" width="5" bestFit="1" customWidth="1"/>
    <col min="3385" max="3385" width="3" bestFit="1" customWidth="1"/>
    <col min="3386" max="3386" width="4" bestFit="1" customWidth="1"/>
    <col min="3387" max="3387" width="5" bestFit="1" customWidth="1"/>
    <col min="3388" max="3388" width="4" bestFit="1" customWidth="1"/>
    <col min="3389" max="3392" width="6" bestFit="1" customWidth="1"/>
    <col min="3393" max="3393" width="7.44140625" bestFit="1" customWidth="1"/>
    <col min="3394" max="3394" width="4.6640625" bestFit="1" customWidth="1"/>
    <col min="3395" max="3395" width="3" bestFit="1" customWidth="1"/>
    <col min="3396" max="3398" width="4" bestFit="1" customWidth="1"/>
    <col min="3399" max="3401" width="5" bestFit="1" customWidth="1"/>
    <col min="3402" max="3403" width="6" bestFit="1" customWidth="1"/>
    <col min="3404" max="3404" width="7.44140625" bestFit="1" customWidth="1"/>
    <col min="3405" max="3405" width="4.6640625" bestFit="1" customWidth="1"/>
    <col min="3406" max="3407" width="5" bestFit="1" customWidth="1"/>
    <col min="3408" max="3408" width="4" bestFit="1" customWidth="1"/>
    <col min="3409" max="3410" width="5" bestFit="1" customWidth="1"/>
    <col min="3411" max="3413" width="6" bestFit="1" customWidth="1"/>
    <col min="3414" max="3414" width="7.44140625" bestFit="1" customWidth="1"/>
    <col min="3415" max="3415" width="4.6640625" bestFit="1" customWidth="1"/>
    <col min="3416" max="3417" width="4" bestFit="1" customWidth="1"/>
    <col min="3418" max="3419" width="5" bestFit="1" customWidth="1"/>
    <col min="3420" max="3423" width="6" bestFit="1" customWidth="1"/>
    <col min="3424" max="3424" width="7.44140625" bestFit="1" customWidth="1"/>
    <col min="3425" max="3425" width="4.6640625" bestFit="1" customWidth="1"/>
    <col min="3426" max="3427" width="4" bestFit="1" customWidth="1"/>
    <col min="3428" max="3428" width="5" bestFit="1" customWidth="1"/>
    <col min="3429" max="3433" width="6" bestFit="1" customWidth="1"/>
    <col min="3434" max="3434" width="7.44140625" bestFit="1" customWidth="1"/>
    <col min="3435" max="3435" width="4.6640625" bestFit="1" customWidth="1"/>
    <col min="3436" max="3436" width="3" bestFit="1" customWidth="1"/>
    <col min="3437" max="3437" width="5" bestFit="1" customWidth="1"/>
    <col min="3438" max="3439" width="3" bestFit="1" customWidth="1"/>
    <col min="3440" max="3440" width="5" bestFit="1" customWidth="1"/>
    <col min="3441" max="3442" width="3" bestFit="1" customWidth="1"/>
    <col min="3443" max="3443" width="5" bestFit="1" customWidth="1"/>
    <col min="3444" max="3444" width="4" bestFit="1" customWidth="1"/>
    <col min="3445" max="3446" width="3" bestFit="1" customWidth="1"/>
    <col min="3447" max="3452" width="4" bestFit="1" customWidth="1"/>
    <col min="3453" max="3467" width="5" bestFit="1" customWidth="1"/>
    <col min="3468" max="3482" width="6" bestFit="1" customWidth="1"/>
    <col min="3483" max="3483" width="7.44140625" bestFit="1" customWidth="1"/>
    <col min="3484" max="3485" width="5" bestFit="1" customWidth="1"/>
    <col min="3486" max="3487" width="3" bestFit="1" customWidth="1"/>
    <col min="3488" max="3488" width="5" bestFit="1" customWidth="1"/>
    <col min="3489" max="3493" width="6" bestFit="1" customWidth="1"/>
    <col min="3494" max="3494" width="7.44140625" bestFit="1" customWidth="1"/>
    <col min="3495" max="3495" width="4.6640625" bestFit="1" customWidth="1"/>
    <col min="3496" max="3496" width="4" bestFit="1" customWidth="1"/>
    <col min="3497" max="3497" width="5" bestFit="1" customWidth="1"/>
    <col min="3498" max="3499" width="4" bestFit="1" customWidth="1"/>
    <col min="3500" max="3502" width="5" bestFit="1" customWidth="1"/>
    <col min="3503" max="3504" width="6" bestFit="1" customWidth="1"/>
    <col min="3505" max="3505" width="7.44140625" bestFit="1" customWidth="1"/>
    <col min="3506" max="3506" width="5.6640625" bestFit="1" customWidth="1"/>
    <col min="3507" max="3507" width="3" bestFit="1" customWidth="1"/>
    <col min="3508" max="3508" width="5" bestFit="1" customWidth="1"/>
    <col min="3509" max="3511" width="3" bestFit="1" customWidth="1"/>
    <col min="3512" max="3513" width="5" bestFit="1" customWidth="1"/>
    <col min="3514" max="3516" width="4" bestFit="1" customWidth="1"/>
    <col min="3517" max="3517" width="5" bestFit="1" customWidth="1"/>
    <col min="3518" max="3519" width="4" bestFit="1" customWidth="1"/>
    <col min="3520" max="3525" width="5" bestFit="1" customWidth="1"/>
    <col min="3526" max="3532" width="6" bestFit="1" customWidth="1"/>
    <col min="3533" max="3533" width="8.44140625" bestFit="1" customWidth="1"/>
    <col min="3534" max="3534" width="5.6640625" bestFit="1" customWidth="1"/>
    <col min="3535" max="3540" width="4" bestFit="1" customWidth="1"/>
    <col min="3541" max="3550" width="5" bestFit="1" customWidth="1"/>
    <col min="3551" max="3560" width="6" bestFit="1" customWidth="1"/>
    <col min="3561" max="3561" width="8.44140625" bestFit="1" customWidth="1"/>
    <col min="3562" max="3562" width="5.6640625" bestFit="1" customWidth="1"/>
    <col min="3563" max="3563" width="5" bestFit="1" customWidth="1"/>
    <col min="3564" max="3566" width="4" bestFit="1" customWidth="1"/>
    <col min="3567" max="3571" width="6" bestFit="1" customWidth="1"/>
    <col min="3572" max="3572" width="8.44140625" bestFit="1" customWidth="1"/>
    <col min="3573" max="3573" width="5.6640625" bestFit="1" customWidth="1"/>
    <col min="3574" max="3576" width="3" bestFit="1" customWidth="1"/>
    <col min="3577" max="3577" width="5" bestFit="1" customWidth="1"/>
    <col min="3578" max="3578" width="4" bestFit="1" customWidth="1"/>
    <col min="3579" max="3579" width="5" bestFit="1" customWidth="1"/>
    <col min="3580" max="3584" width="4" bestFit="1" customWidth="1"/>
    <col min="3585" max="3594" width="5" bestFit="1" customWidth="1"/>
    <col min="3595" max="3600" width="6" bestFit="1" customWidth="1"/>
    <col min="3601" max="3601" width="8.44140625" bestFit="1" customWidth="1"/>
    <col min="3602" max="3602" width="5.6640625" bestFit="1" customWidth="1"/>
    <col min="3603" max="3606" width="5" bestFit="1" customWidth="1"/>
    <col min="3607" max="3611" width="6" bestFit="1" customWidth="1"/>
    <col min="3612" max="3612" width="8.44140625" bestFit="1" customWidth="1"/>
    <col min="3613" max="3613" width="5.6640625" bestFit="1" customWidth="1"/>
    <col min="3614" max="3614" width="3" bestFit="1" customWidth="1"/>
    <col min="3615" max="3615" width="5" bestFit="1" customWidth="1"/>
    <col min="3616" max="3616" width="4" bestFit="1" customWidth="1"/>
    <col min="3617" max="3617" width="3" bestFit="1" customWidth="1"/>
    <col min="3618" max="3620" width="4" bestFit="1" customWidth="1"/>
    <col min="3621" max="3621" width="5" bestFit="1" customWidth="1"/>
    <col min="3622" max="3625" width="4" bestFit="1" customWidth="1"/>
    <col min="3626" max="3633" width="5" bestFit="1" customWidth="1"/>
    <col min="3634" max="3640" width="6" bestFit="1" customWidth="1"/>
    <col min="3641" max="3641" width="8.44140625" bestFit="1" customWidth="1"/>
    <col min="3642" max="3642" width="5.6640625" bestFit="1" customWidth="1"/>
    <col min="3643" max="3644" width="5" bestFit="1" customWidth="1"/>
    <col min="3645" max="3645" width="3" bestFit="1" customWidth="1"/>
    <col min="3646" max="3646" width="5" bestFit="1" customWidth="1"/>
    <col min="3647" max="3649" width="3" bestFit="1" customWidth="1"/>
    <col min="3650" max="3650" width="4" bestFit="1" customWidth="1"/>
    <col min="3651" max="3651" width="3" bestFit="1" customWidth="1"/>
    <col min="3652" max="3654" width="4" bestFit="1" customWidth="1"/>
    <col min="3655" max="3655" width="5" bestFit="1" customWidth="1"/>
    <col min="3656" max="3660" width="4" bestFit="1" customWidth="1"/>
    <col min="3661" max="3661" width="5" bestFit="1" customWidth="1"/>
    <col min="3662" max="3663" width="4" bestFit="1" customWidth="1"/>
    <col min="3664" max="3679" width="5" bestFit="1" customWidth="1"/>
    <col min="3680" max="3691" width="6" bestFit="1" customWidth="1"/>
    <col min="3692" max="3692" width="8.44140625" bestFit="1" customWidth="1"/>
    <col min="3693" max="3693" width="5.6640625" bestFit="1" customWidth="1"/>
    <col min="3694" max="3694" width="5" bestFit="1" customWidth="1"/>
    <col min="3695" max="3695" width="4" bestFit="1" customWidth="1"/>
    <col min="3696" max="3696" width="3" bestFit="1" customWidth="1"/>
    <col min="3697" max="3699" width="4" bestFit="1" customWidth="1"/>
    <col min="3700" max="3702" width="5" bestFit="1" customWidth="1"/>
    <col min="3703" max="3703" width="8.44140625" bestFit="1" customWidth="1"/>
    <col min="3704" max="3704" width="5.6640625" bestFit="1" customWidth="1"/>
    <col min="3705" max="3706" width="4" bestFit="1" customWidth="1"/>
    <col min="3707" max="3707" width="5" bestFit="1" customWidth="1"/>
    <col min="3708" max="3710" width="4" bestFit="1" customWidth="1"/>
    <col min="3711" max="3713" width="5" bestFit="1" customWidth="1"/>
    <col min="3714" max="3714" width="8.44140625" bestFit="1" customWidth="1"/>
    <col min="3715" max="3715" width="5.6640625" bestFit="1" customWidth="1"/>
    <col min="3716" max="3716" width="4" bestFit="1" customWidth="1"/>
    <col min="3717" max="3717" width="5" bestFit="1" customWidth="1"/>
    <col min="3718" max="3718" width="3" bestFit="1" customWidth="1"/>
    <col min="3719" max="3719" width="4" bestFit="1" customWidth="1"/>
    <col min="3720" max="3724" width="5" bestFit="1" customWidth="1"/>
    <col min="3725" max="3725" width="8.44140625" bestFit="1" customWidth="1"/>
    <col min="3726" max="3726" width="5.6640625" bestFit="1" customWidth="1"/>
    <col min="3727" max="3727" width="5" bestFit="1" customWidth="1"/>
    <col min="3728" max="3732" width="4" bestFit="1" customWidth="1"/>
    <col min="3733" max="3735" width="5" bestFit="1" customWidth="1"/>
    <col min="3736" max="3736" width="8.44140625" bestFit="1" customWidth="1"/>
    <col min="3737" max="3737" width="5.6640625" bestFit="1" customWidth="1"/>
    <col min="3738" max="3739" width="3" bestFit="1" customWidth="1"/>
    <col min="3740" max="3742" width="4" bestFit="1" customWidth="1"/>
    <col min="3743" max="3746" width="5" bestFit="1" customWidth="1"/>
    <col min="3747" max="3747" width="8.44140625" bestFit="1" customWidth="1"/>
    <col min="3748" max="3748" width="5.6640625" bestFit="1" customWidth="1"/>
    <col min="3749" max="3749" width="4" bestFit="1" customWidth="1"/>
    <col min="3750" max="3750" width="3" bestFit="1" customWidth="1"/>
    <col min="3751" max="3753" width="4" bestFit="1" customWidth="1"/>
    <col min="3754" max="3756" width="5" bestFit="1" customWidth="1"/>
    <col min="3757" max="3757" width="6" bestFit="1" customWidth="1"/>
    <col min="3758" max="3758" width="8.44140625" bestFit="1" customWidth="1"/>
    <col min="3759" max="3759" width="5.6640625" bestFit="1" customWidth="1"/>
    <col min="3760" max="3760" width="5" bestFit="1" customWidth="1"/>
    <col min="3761" max="3761" width="4" bestFit="1" customWidth="1"/>
    <col min="3762" max="3764" width="5" bestFit="1" customWidth="1"/>
    <col min="3765" max="3768" width="6" bestFit="1" customWidth="1"/>
    <col min="3769" max="3769" width="8.44140625" bestFit="1" customWidth="1"/>
    <col min="3770" max="3770" width="5.6640625" bestFit="1" customWidth="1"/>
    <col min="3771" max="3771" width="5" bestFit="1" customWidth="1"/>
    <col min="3772" max="3772" width="4" bestFit="1" customWidth="1"/>
    <col min="3773" max="3778" width="5" bestFit="1" customWidth="1"/>
    <col min="3779" max="3779" width="6" bestFit="1" customWidth="1"/>
    <col min="3780" max="3780" width="8.44140625" bestFit="1" customWidth="1"/>
    <col min="3781" max="3781" width="5.6640625" bestFit="1" customWidth="1"/>
    <col min="3782" max="3784" width="4" bestFit="1" customWidth="1"/>
    <col min="3785" max="3790" width="5" bestFit="1" customWidth="1"/>
    <col min="3791" max="3791" width="8.44140625" bestFit="1" customWidth="1"/>
    <col min="3792" max="3792" width="5.6640625" bestFit="1" customWidth="1"/>
    <col min="3793" max="3793" width="3" bestFit="1" customWidth="1"/>
    <col min="3794" max="3798" width="4" bestFit="1" customWidth="1"/>
    <col min="3799" max="3808" width="5" bestFit="1" customWidth="1"/>
    <col min="3809" max="3819" width="6" bestFit="1" customWidth="1"/>
    <col min="3820" max="3820" width="8.44140625" bestFit="1" customWidth="1"/>
    <col min="3821" max="3821" width="5.6640625" bestFit="1" customWidth="1"/>
    <col min="3822" max="3822" width="3" bestFit="1" customWidth="1"/>
    <col min="3823" max="3823" width="5" bestFit="1" customWidth="1"/>
    <col min="3824" max="3824" width="3" bestFit="1" customWidth="1"/>
    <col min="3825" max="3829" width="4" bestFit="1" customWidth="1"/>
    <col min="3830" max="3830" width="5" bestFit="1" customWidth="1"/>
    <col min="3831" max="3831" width="4" bestFit="1" customWidth="1"/>
    <col min="3832" max="3842" width="5" bestFit="1" customWidth="1"/>
    <col min="3843" max="3847" width="6" bestFit="1" customWidth="1"/>
    <col min="3848" max="3848" width="8.44140625" bestFit="1" customWidth="1"/>
    <col min="3849" max="3849" width="5.6640625" bestFit="1" customWidth="1"/>
    <col min="3850" max="3850" width="5" bestFit="1" customWidth="1"/>
    <col min="3851" max="3851" width="4" bestFit="1" customWidth="1"/>
    <col min="3852" max="3854" width="5" bestFit="1" customWidth="1"/>
    <col min="3855" max="3857" width="6" bestFit="1" customWidth="1"/>
    <col min="3858" max="3858" width="8.44140625" bestFit="1" customWidth="1"/>
    <col min="3859" max="3859" width="5.6640625" bestFit="1" customWidth="1"/>
    <col min="3860" max="3861" width="3" bestFit="1" customWidth="1"/>
    <col min="3862" max="3864" width="4" bestFit="1" customWidth="1"/>
    <col min="3865" max="3865" width="5" bestFit="1" customWidth="1"/>
    <col min="3866" max="3866" width="3" bestFit="1" customWidth="1"/>
    <col min="3867" max="3870" width="5" bestFit="1" customWidth="1"/>
    <col min="3871" max="3876" width="4" bestFit="1" customWidth="1"/>
    <col min="3877" max="3880" width="5" bestFit="1" customWidth="1"/>
    <col min="3881" max="3885" width="6" bestFit="1" customWidth="1"/>
    <col min="3886" max="3886" width="8.44140625" bestFit="1" customWidth="1"/>
    <col min="3887" max="3887" width="5.6640625" bestFit="1" customWidth="1"/>
    <col min="3888" max="3888" width="3" bestFit="1" customWidth="1"/>
    <col min="3889" max="3889" width="4" bestFit="1" customWidth="1"/>
    <col min="3890" max="3890" width="3" bestFit="1" customWidth="1"/>
    <col min="3891" max="3891" width="5" bestFit="1" customWidth="1"/>
    <col min="3892" max="3894" width="4" bestFit="1" customWidth="1"/>
    <col min="3895" max="3905" width="5" bestFit="1" customWidth="1"/>
    <col min="3906" max="3911" width="6" bestFit="1" customWidth="1"/>
    <col min="3912" max="3912" width="8.44140625" bestFit="1" customWidth="1"/>
    <col min="3913" max="3913" width="5.6640625" bestFit="1" customWidth="1"/>
    <col min="3914" max="3914" width="3" bestFit="1" customWidth="1"/>
    <col min="3915" max="3915" width="4" bestFit="1" customWidth="1"/>
    <col min="3916" max="3916" width="5" bestFit="1" customWidth="1"/>
    <col min="3917" max="3917" width="4" bestFit="1" customWidth="1"/>
    <col min="3918" max="3918" width="5" bestFit="1" customWidth="1"/>
    <col min="3919" max="3919" width="4" bestFit="1" customWidth="1"/>
    <col min="3920" max="3923" width="5" bestFit="1" customWidth="1"/>
    <col min="3924" max="3929" width="6" bestFit="1" customWidth="1"/>
    <col min="3930" max="3930" width="8.44140625" bestFit="1" customWidth="1"/>
    <col min="3931" max="3931" width="5.6640625" bestFit="1" customWidth="1"/>
    <col min="3932" max="3935" width="3" bestFit="1" customWidth="1"/>
    <col min="3936" max="3937" width="4" bestFit="1" customWidth="1"/>
    <col min="3938" max="3938" width="5" bestFit="1" customWidth="1"/>
    <col min="3939" max="3940" width="4" bestFit="1" customWidth="1"/>
    <col min="3941" max="3943" width="5" bestFit="1" customWidth="1"/>
    <col min="3944" max="3948" width="6" bestFit="1" customWidth="1"/>
    <col min="3949" max="3949" width="8.44140625" bestFit="1" customWidth="1"/>
    <col min="3950" max="3950" width="5.6640625" bestFit="1" customWidth="1"/>
    <col min="3951" max="3952" width="3" bestFit="1" customWidth="1"/>
    <col min="3953" max="3957" width="4" bestFit="1" customWidth="1"/>
    <col min="3958" max="3969" width="5" bestFit="1" customWidth="1"/>
    <col min="3970" max="3974" width="6" bestFit="1" customWidth="1"/>
    <col min="3975" max="3975" width="8.44140625" bestFit="1" customWidth="1"/>
    <col min="3976" max="3976" width="5.6640625" bestFit="1" customWidth="1"/>
    <col min="3977" max="3977" width="3" bestFit="1" customWidth="1"/>
    <col min="3978" max="3980" width="4" bestFit="1" customWidth="1"/>
    <col min="3981" max="3981" width="5" bestFit="1" customWidth="1"/>
    <col min="3982" max="3984" width="4" bestFit="1" customWidth="1"/>
    <col min="3985" max="3995" width="5" bestFit="1" customWidth="1"/>
    <col min="3996" max="4000" width="6" bestFit="1" customWidth="1"/>
    <col min="4001" max="4001" width="8.44140625" bestFit="1" customWidth="1"/>
    <col min="4002" max="4002" width="5.6640625" bestFit="1" customWidth="1"/>
    <col min="4003" max="4003" width="6" bestFit="1" customWidth="1"/>
    <col min="4004" max="4008" width="4" bestFit="1" customWidth="1"/>
    <col min="4009" max="4018" width="5" bestFit="1" customWidth="1"/>
    <col min="4019" max="4028" width="6" bestFit="1" customWidth="1"/>
    <col min="4029" max="4029" width="8.44140625" bestFit="1" customWidth="1"/>
    <col min="4030" max="4030" width="5.6640625" bestFit="1" customWidth="1"/>
    <col min="4031" max="4033" width="4" bestFit="1" customWidth="1"/>
    <col min="4034" max="4034" width="3" bestFit="1" customWidth="1"/>
    <col min="4035" max="4035" width="5" bestFit="1" customWidth="1"/>
    <col min="4036" max="4036" width="4" bestFit="1" customWidth="1"/>
    <col min="4037" max="4037" width="5" bestFit="1" customWidth="1"/>
    <col min="4038" max="4038" width="3" bestFit="1" customWidth="1"/>
    <col min="4039" max="4042" width="4" bestFit="1" customWidth="1"/>
    <col min="4043" max="4049" width="5" bestFit="1" customWidth="1"/>
    <col min="4050" max="4054" width="6" bestFit="1" customWidth="1"/>
    <col min="4055" max="4055" width="8.44140625" bestFit="1" customWidth="1"/>
    <col min="4056" max="4056" width="5.6640625" bestFit="1" customWidth="1"/>
    <col min="4057" max="4057" width="4" bestFit="1" customWidth="1"/>
    <col min="4058" max="4058" width="3" bestFit="1" customWidth="1"/>
    <col min="4059" max="4059" width="4" bestFit="1" customWidth="1"/>
    <col min="4060" max="4063" width="3" bestFit="1" customWidth="1"/>
    <col min="4064" max="4065" width="5" bestFit="1" customWidth="1"/>
    <col min="4066" max="4070" width="4" bestFit="1" customWidth="1"/>
    <col min="4071" max="4076" width="5" bestFit="1" customWidth="1"/>
    <col min="4077" max="4082" width="6" bestFit="1" customWidth="1"/>
    <col min="4083" max="4083" width="8.44140625" bestFit="1" customWidth="1"/>
    <col min="4084" max="4084" width="5.6640625" bestFit="1" customWidth="1"/>
    <col min="4085" max="4085" width="4" bestFit="1" customWidth="1"/>
    <col min="4086" max="4086" width="5" bestFit="1" customWidth="1"/>
    <col min="4087" max="4087" width="3" bestFit="1" customWidth="1"/>
    <col min="4088" max="4088" width="5" bestFit="1" customWidth="1"/>
    <col min="4089" max="4092" width="4" bestFit="1" customWidth="1"/>
    <col min="4093" max="4103" width="5" bestFit="1" customWidth="1"/>
    <col min="4104" max="4108" width="6" bestFit="1" customWidth="1"/>
    <col min="4109" max="4109" width="8.44140625" bestFit="1" customWidth="1"/>
    <col min="4110" max="4110" width="5.6640625" bestFit="1" customWidth="1"/>
    <col min="4111" max="4112" width="3" bestFit="1" customWidth="1"/>
    <col min="4113" max="4113" width="4" bestFit="1" customWidth="1"/>
    <col min="4114" max="4114" width="3" bestFit="1" customWidth="1"/>
    <col min="4115" max="4115" width="4" bestFit="1" customWidth="1"/>
    <col min="4116" max="4117" width="3" bestFit="1" customWidth="1"/>
    <col min="4118" max="4118" width="4" bestFit="1" customWidth="1"/>
    <col min="4119" max="4119" width="3" bestFit="1" customWidth="1"/>
    <col min="4120" max="4121" width="5" bestFit="1" customWidth="1"/>
    <col min="4122" max="4122" width="4" bestFit="1" customWidth="1"/>
    <col min="4123" max="4123" width="5" bestFit="1" customWidth="1"/>
    <col min="4124" max="4124" width="4" bestFit="1" customWidth="1"/>
    <col min="4125" max="4130" width="5" bestFit="1" customWidth="1"/>
    <col min="4131" max="4136" width="6" bestFit="1" customWidth="1"/>
    <col min="4137" max="4137" width="8.44140625" bestFit="1" customWidth="1"/>
    <col min="4138" max="4138" width="5.6640625" bestFit="1" customWidth="1"/>
    <col min="4139" max="4139" width="3" bestFit="1" customWidth="1"/>
    <col min="4140" max="4140" width="4" bestFit="1" customWidth="1"/>
    <col min="4141" max="4141" width="3" bestFit="1" customWidth="1"/>
    <col min="4142" max="4144" width="4" bestFit="1" customWidth="1"/>
    <col min="4145" max="4157" width="5" bestFit="1" customWidth="1"/>
    <col min="4158" max="4162" width="6" bestFit="1" customWidth="1"/>
    <col min="4163" max="4163" width="8.44140625" bestFit="1" customWidth="1"/>
    <col min="4164" max="4164" width="6.6640625" bestFit="1" customWidth="1"/>
    <col min="4165" max="4166" width="3" bestFit="1" customWidth="1"/>
    <col min="4167" max="4171" width="4" bestFit="1" customWidth="1"/>
    <col min="4172" max="4176" width="5" bestFit="1" customWidth="1"/>
    <col min="4177" max="4181" width="6" bestFit="1" customWidth="1"/>
    <col min="4182" max="4182" width="9.44140625" bestFit="1" customWidth="1"/>
    <col min="4183" max="4183" width="6.6640625" bestFit="1" customWidth="1"/>
    <col min="4184" max="4185" width="3" bestFit="1" customWidth="1"/>
    <col min="4186" max="4187" width="4" bestFit="1" customWidth="1"/>
    <col min="4188" max="4189" width="5" bestFit="1" customWidth="1"/>
    <col min="4190" max="4190" width="4" bestFit="1" customWidth="1"/>
    <col min="4191" max="4196" width="5" bestFit="1" customWidth="1"/>
    <col min="4197" max="4200" width="6" bestFit="1" customWidth="1"/>
    <col min="4201" max="4201" width="9.44140625" bestFit="1" customWidth="1"/>
    <col min="4202" max="4202" width="6.6640625" bestFit="1" customWidth="1"/>
    <col min="4203" max="4203" width="3" bestFit="1" customWidth="1"/>
    <col min="4204" max="4204" width="4" bestFit="1" customWidth="1"/>
    <col min="4205" max="4205" width="3" bestFit="1" customWidth="1"/>
    <col min="4206" max="4210" width="4" bestFit="1" customWidth="1"/>
    <col min="4211" max="4221" width="5" bestFit="1" customWidth="1"/>
    <col min="4222" max="4226" width="6" bestFit="1" customWidth="1"/>
    <col min="4227" max="4227" width="9.44140625" bestFit="1" customWidth="1"/>
    <col min="4228" max="4228" width="6.6640625" bestFit="1" customWidth="1"/>
    <col min="4229" max="4229" width="3" bestFit="1" customWidth="1"/>
    <col min="4230" max="4230" width="5" bestFit="1" customWidth="1"/>
    <col min="4231" max="4232" width="3" bestFit="1" customWidth="1"/>
    <col min="4233" max="4234" width="4" bestFit="1" customWidth="1"/>
    <col min="4235" max="4235" width="5" bestFit="1" customWidth="1"/>
    <col min="4236" max="4237" width="4" bestFit="1" customWidth="1"/>
    <col min="4238" max="4247" width="5" bestFit="1" customWidth="1"/>
    <col min="4248" max="4252" width="6" bestFit="1" customWidth="1"/>
    <col min="4253" max="4253" width="9.44140625" bestFit="1" customWidth="1"/>
    <col min="4254" max="4254" width="6.6640625" bestFit="1" customWidth="1"/>
    <col min="4255" max="4255" width="5" bestFit="1" customWidth="1"/>
    <col min="4256" max="4257" width="3" bestFit="1" customWidth="1"/>
    <col min="4258" max="4261" width="4" bestFit="1" customWidth="1"/>
    <col min="4262" max="4271" width="5" bestFit="1" customWidth="1"/>
    <col min="4272" max="4280" width="6" bestFit="1" customWidth="1"/>
    <col min="4281" max="4281" width="9.44140625" bestFit="1" customWidth="1"/>
    <col min="4282" max="4282" width="6.6640625" bestFit="1" customWidth="1"/>
    <col min="4283" max="4283" width="3" bestFit="1" customWidth="1"/>
    <col min="4284" max="4284" width="5" bestFit="1" customWidth="1"/>
    <col min="4285" max="4285" width="4" bestFit="1" customWidth="1"/>
    <col min="4286" max="4286" width="5" bestFit="1" customWidth="1"/>
    <col min="4287" max="4289" width="4" bestFit="1" customWidth="1"/>
    <col min="4290" max="4299" width="5" bestFit="1" customWidth="1"/>
    <col min="4300" max="4308" width="6" bestFit="1" customWidth="1"/>
    <col min="4309" max="4309" width="9.44140625" bestFit="1" customWidth="1"/>
    <col min="4310" max="4310" width="6.6640625" bestFit="1" customWidth="1"/>
    <col min="4311" max="4312" width="3" bestFit="1" customWidth="1"/>
    <col min="4313" max="4313" width="4" bestFit="1" customWidth="1"/>
    <col min="4314" max="4316" width="3" bestFit="1" customWidth="1"/>
    <col min="4317" max="4321" width="4" bestFit="1" customWidth="1"/>
    <col min="4322" max="4322" width="5" bestFit="1" customWidth="1"/>
    <col min="4323" max="4325" width="4" bestFit="1" customWidth="1"/>
    <col min="4326" max="4330" width="5" bestFit="1" customWidth="1"/>
    <col min="4331" max="4336" width="6" bestFit="1" customWidth="1"/>
    <col min="4337" max="4337" width="9.44140625" bestFit="1" customWidth="1"/>
    <col min="4338" max="4338" width="6.6640625" bestFit="1" customWidth="1"/>
    <col min="4339" max="4339" width="3" bestFit="1" customWidth="1"/>
    <col min="4340" max="4340" width="5" bestFit="1" customWidth="1"/>
    <col min="4341" max="4346" width="4" bestFit="1" customWidth="1"/>
    <col min="4347" max="4357" width="5" bestFit="1" customWidth="1"/>
    <col min="4358" max="4364" width="6" bestFit="1" customWidth="1"/>
    <col min="4365" max="4365" width="9.44140625" bestFit="1" customWidth="1"/>
    <col min="4366" max="4366" width="6.6640625" bestFit="1" customWidth="1"/>
    <col min="4367" max="4367" width="5" bestFit="1" customWidth="1"/>
    <col min="4368" max="4368" width="4" bestFit="1" customWidth="1"/>
    <col min="4369" max="4369" width="5" bestFit="1" customWidth="1"/>
    <col min="4370" max="4371" width="4" bestFit="1" customWidth="1"/>
    <col min="4372" max="4381" width="5" bestFit="1" customWidth="1"/>
    <col min="4382" max="4392" width="6" bestFit="1" customWidth="1"/>
    <col min="4393" max="4393" width="9.44140625" bestFit="1" customWidth="1"/>
    <col min="4394" max="4394" width="6.6640625" bestFit="1" customWidth="1"/>
    <col min="4395" max="4395" width="4" bestFit="1" customWidth="1"/>
    <col min="4396" max="4396" width="3" bestFit="1" customWidth="1"/>
    <col min="4397" max="4397" width="4" bestFit="1" customWidth="1"/>
    <col min="4398" max="4398" width="5" bestFit="1" customWidth="1"/>
    <col min="4399" max="4400" width="4" bestFit="1" customWidth="1"/>
    <col min="4401" max="4413" width="5" bestFit="1" customWidth="1"/>
    <col min="4414" max="4420" width="6" bestFit="1" customWidth="1"/>
    <col min="4421" max="4421" width="9.44140625" bestFit="1" customWidth="1"/>
    <col min="4422" max="4422" width="6.6640625" bestFit="1" customWidth="1"/>
    <col min="4423" max="4431" width="4" bestFit="1" customWidth="1"/>
    <col min="4432" max="4440" width="5" bestFit="1" customWidth="1"/>
    <col min="4441" max="4448" width="6" bestFit="1" customWidth="1"/>
    <col min="4449" max="4449" width="9.44140625" bestFit="1" customWidth="1"/>
    <col min="4450" max="4450" width="6.6640625" bestFit="1" customWidth="1"/>
    <col min="4451" max="4451" width="4" bestFit="1" customWidth="1"/>
    <col min="4452" max="4452" width="5" bestFit="1" customWidth="1"/>
    <col min="4453" max="4454" width="4" bestFit="1" customWidth="1"/>
    <col min="4455" max="4464" width="5" bestFit="1" customWidth="1"/>
    <col min="4465" max="4476" width="6" bestFit="1" customWidth="1"/>
    <col min="4477" max="4477" width="9.44140625" bestFit="1" customWidth="1"/>
    <col min="4478" max="4478" width="6.6640625" bestFit="1" customWidth="1"/>
    <col min="4479" max="4479" width="4" bestFit="1" customWidth="1"/>
    <col min="4480" max="4480" width="3" bestFit="1" customWidth="1"/>
    <col min="4481" max="4482" width="4" bestFit="1" customWidth="1"/>
    <col min="4483" max="4483" width="5" bestFit="1" customWidth="1"/>
    <col min="4484" max="4485" width="4" bestFit="1" customWidth="1"/>
    <col min="4486" max="4491" width="5" bestFit="1" customWidth="1"/>
    <col min="4492" max="4495" width="6" bestFit="1" customWidth="1"/>
    <col min="4496" max="4496" width="9.44140625" bestFit="1" customWidth="1"/>
    <col min="4497" max="4497" width="6.6640625" bestFit="1" customWidth="1"/>
    <col min="4498" max="4498" width="4" bestFit="1" customWidth="1"/>
    <col min="4499" max="4499" width="3" bestFit="1" customWidth="1"/>
    <col min="4500" max="4501" width="4" bestFit="1" customWidth="1"/>
    <col min="4502" max="4502" width="5" bestFit="1" customWidth="1"/>
    <col min="4503" max="4503" width="4" bestFit="1" customWidth="1"/>
    <col min="4504" max="4513" width="5" bestFit="1" customWidth="1"/>
    <col min="4514" max="4523" width="6" bestFit="1" customWidth="1"/>
    <col min="4524" max="4524" width="9.44140625" bestFit="1" customWidth="1"/>
    <col min="4525" max="4525" width="6.6640625" bestFit="1" customWidth="1"/>
    <col min="4526" max="4526" width="4" bestFit="1" customWidth="1"/>
    <col min="4527" max="4527" width="3" bestFit="1" customWidth="1"/>
    <col min="4528" max="4531" width="4" bestFit="1" customWidth="1"/>
    <col min="4532" max="4532" width="6" bestFit="1" customWidth="1"/>
    <col min="4533" max="4544" width="5" bestFit="1" customWidth="1"/>
    <col min="4545" max="4549" width="6" bestFit="1" customWidth="1"/>
    <col min="4550" max="4550" width="9.44140625" bestFit="1" customWidth="1"/>
    <col min="4551" max="4551" width="6.6640625" bestFit="1" customWidth="1"/>
    <col min="4552" max="4555" width="4" bestFit="1" customWidth="1"/>
    <col min="4556" max="4566" width="5" bestFit="1" customWidth="1"/>
    <col min="4567" max="4577" width="6" bestFit="1" customWidth="1"/>
    <col min="4578" max="4578" width="9.44140625" bestFit="1" customWidth="1"/>
    <col min="4579" max="4579" width="6.6640625" bestFit="1" customWidth="1"/>
    <col min="4580" max="4580" width="5" bestFit="1" customWidth="1"/>
    <col min="4581" max="4581" width="4" bestFit="1" customWidth="1"/>
    <col min="4582" max="4582" width="5" bestFit="1" customWidth="1"/>
    <col min="4583" max="4585" width="4" bestFit="1" customWidth="1"/>
    <col min="4586" max="4594" width="5" bestFit="1" customWidth="1"/>
    <col min="4595" max="4604" width="6" bestFit="1" customWidth="1"/>
    <col min="4605" max="4605" width="9.44140625" bestFit="1" customWidth="1"/>
    <col min="4606" max="4606" width="6.6640625" bestFit="1" customWidth="1"/>
    <col min="4607" max="4607" width="5" bestFit="1" customWidth="1"/>
    <col min="4608" max="4608" width="4" bestFit="1" customWidth="1"/>
    <col min="4609" max="4609" width="5" bestFit="1" customWidth="1"/>
    <col min="4610" max="4614" width="4" bestFit="1" customWidth="1"/>
    <col min="4615" max="4623" width="5" bestFit="1" customWidth="1"/>
    <col min="4624" max="4633" width="6" bestFit="1" customWidth="1"/>
    <col min="4634" max="4634" width="9.44140625" bestFit="1" customWidth="1"/>
    <col min="4635" max="4635" width="6.6640625" bestFit="1" customWidth="1"/>
    <col min="4636" max="4636" width="4" bestFit="1" customWidth="1"/>
    <col min="4637" max="4640" width="3" bestFit="1" customWidth="1"/>
    <col min="4641" max="4645" width="4" bestFit="1" customWidth="1"/>
    <col min="4646" max="4654" width="5" bestFit="1" customWidth="1"/>
    <col min="4655" max="4661" width="6" bestFit="1" customWidth="1"/>
    <col min="4662" max="4662" width="9.44140625" bestFit="1" customWidth="1"/>
    <col min="4663" max="4663" width="6.6640625" bestFit="1" customWidth="1"/>
    <col min="4664" max="4664" width="4" bestFit="1" customWidth="1"/>
    <col min="4665" max="4665" width="5" bestFit="1" customWidth="1"/>
    <col min="4666" max="4669" width="3" bestFit="1" customWidth="1"/>
    <col min="4670" max="4670" width="5" bestFit="1" customWidth="1"/>
    <col min="4671" max="4674" width="4" bestFit="1" customWidth="1"/>
    <col min="4675" max="4681" width="5" bestFit="1" customWidth="1"/>
    <col min="4682" max="4690" width="6" bestFit="1" customWidth="1"/>
    <col min="4691" max="4691" width="9.44140625" bestFit="1" customWidth="1"/>
    <col min="4692" max="4692" width="6.6640625" bestFit="1" customWidth="1"/>
    <col min="4693" max="4696" width="4" bestFit="1" customWidth="1"/>
    <col min="4697" max="4707" width="5" bestFit="1" customWidth="1"/>
    <col min="4708" max="4718" width="6" bestFit="1" customWidth="1"/>
    <col min="4719" max="4719" width="9.44140625" bestFit="1" customWidth="1"/>
    <col min="4720" max="4720" width="6.6640625" bestFit="1" customWidth="1"/>
    <col min="4721" max="4723" width="3" bestFit="1" customWidth="1"/>
    <col min="4724" max="4724" width="4" bestFit="1" customWidth="1"/>
    <col min="4725" max="4727" width="3" bestFit="1" customWidth="1"/>
    <col min="4728" max="4732" width="4" bestFit="1" customWidth="1"/>
    <col min="4733" max="4739" width="5" bestFit="1" customWidth="1"/>
    <col min="4740" max="4747" width="6" bestFit="1" customWidth="1"/>
    <col min="4748" max="4748" width="9.44140625" bestFit="1" customWidth="1"/>
    <col min="4749" max="4749" width="6.6640625" bestFit="1" customWidth="1"/>
    <col min="4750" max="4750" width="3" bestFit="1" customWidth="1"/>
    <col min="4751" max="4751" width="5" bestFit="1" customWidth="1"/>
    <col min="4752" max="4752" width="4" bestFit="1" customWidth="1"/>
    <col min="4753" max="4753" width="5" bestFit="1" customWidth="1"/>
    <col min="4754" max="4754" width="4" bestFit="1" customWidth="1"/>
    <col min="4755" max="4755" width="5" bestFit="1" customWidth="1"/>
    <col min="4756" max="4760" width="4" bestFit="1" customWidth="1"/>
    <col min="4761" max="4768" width="5" bestFit="1" customWidth="1"/>
    <col min="4769" max="4775" width="6" bestFit="1" customWidth="1"/>
    <col min="4776" max="4776" width="9.44140625" bestFit="1" customWidth="1"/>
    <col min="4777" max="4777" width="6.6640625" bestFit="1" customWidth="1"/>
    <col min="4778" max="4784" width="4" bestFit="1" customWidth="1"/>
    <col min="4785" max="4796" width="5" bestFit="1" customWidth="1"/>
    <col min="4797" max="4803" width="6" bestFit="1" customWidth="1"/>
    <col min="4804" max="4804" width="9.44140625" bestFit="1" customWidth="1"/>
    <col min="4805" max="4805" width="6.6640625" bestFit="1" customWidth="1"/>
    <col min="4806" max="4806" width="4" bestFit="1" customWidth="1"/>
    <col min="4807" max="4807" width="5" bestFit="1" customWidth="1"/>
    <col min="4808" max="4808" width="3" bestFit="1" customWidth="1"/>
    <col min="4809" max="4810" width="4" bestFit="1" customWidth="1"/>
    <col min="4811" max="4821" width="5" bestFit="1" customWidth="1"/>
    <col min="4822" max="4832" width="6" bestFit="1" customWidth="1"/>
    <col min="4833" max="4833" width="9.44140625" bestFit="1" customWidth="1"/>
    <col min="4834" max="4834" width="6.6640625" bestFit="1" customWidth="1"/>
    <col min="4835" max="4842" width="4" bestFit="1" customWidth="1"/>
    <col min="4843" max="4852" width="5" bestFit="1" customWidth="1"/>
    <col min="4853" max="4860" width="6" bestFit="1" customWidth="1"/>
    <col min="4861" max="4861" width="9.44140625" bestFit="1" customWidth="1"/>
    <col min="4862" max="4862" width="6.6640625" bestFit="1" customWidth="1"/>
    <col min="4863" max="4863" width="3" bestFit="1" customWidth="1"/>
    <col min="4864" max="4866" width="4" bestFit="1" customWidth="1"/>
    <col min="4867" max="4867" width="5" bestFit="1" customWidth="1"/>
    <col min="4868" max="4868" width="4" bestFit="1" customWidth="1"/>
    <col min="4869" max="4869" width="5" bestFit="1" customWidth="1"/>
    <col min="4870" max="4871" width="4" bestFit="1" customWidth="1"/>
    <col min="4872" max="4872" width="5" bestFit="1" customWidth="1"/>
    <col min="4873" max="4873" width="4" bestFit="1" customWidth="1"/>
    <col min="4874" max="4882" width="5" bestFit="1" customWidth="1"/>
    <col min="4883" max="4888" width="6" bestFit="1" customWidth="1"/>
    <col min="4889" max="4889" width="9.44140625" bestFit="1" customWidth="1"/>
    <col min="4890" max="4890" width="6.6640625" bestFit="1" customWidth="1"/>
    <col min="4891" max="4891" width="5" bestFit="1" customWidth="1"/>
    <col min="4892" max="4894" width="3" bestFit="1" customWidth="1"/>
    <col min="4895" max="4895" width="4" bestFit="1" customWidth="1"/>
    <col min="4896" max="4896" width="5" bestFit="1" customWidth="1"/>
    <col min="4897" max="4897" width="4" bestFit="1" customWidth="1"/>
    <col min="4898" max="4898" width="3" bestFit="1" customWidth="1"/>
    <col min="4899" max="4902" width="4" bestFit="1" customWidth="1"/>
    <col min="4903" max="4910" width="5" bestFit="1" customWidth="1"/>
    <col min="4911" max="4916" width="6" bestFit="1" customWidth="1"/>
    <col min="4917" max="4917" width="9.44140625" bestFit="1" customWidth="1"/>
    <col min="4918" max="4918" width="6.6640625" bestFit="1" customWidth="1"/>
    <col min="4919" max="4920" width="4" bestFit="1" customWidth="1"/>
    <col min="4921" max="4924" width="3" bestFit="1" customWidth="1"/>
    <col min="4925" max="4928" width="4" bestFit="1" customWidth="1"/>
    <col min="4929" max="4929" width="5" bestFit="1" customWidth="1"/>
    <col min="4930" max="4930" width="4" bestFit="1" customWidth="1"/>
    <col min="4931" max="4937" width="5" bestFit="1" customWidth="1"/>
    <col min="4938" max="4945" width="6" bestFit="1" customWidth="1"/>
    <col min="4946" max="4946" width="9.44140625" bestFit="1" customWidth="1"/>
    <col min="4947" max="4947" width="6.6640625" bestFit="1" customWidth="1"/>
    <col min="4948" max="4948" width="3" bestFit="1" customWidth="1"/>
    <col min="4949" max="4949" width="5" bestFit="1" customWidth="1"/>
    <col min="4950" max="4950" width="3" bestFit="1" customWidth="1"/>
    <col min="4951" max="4951" width="5" bestFit="1" customWidth="1"/>
    <col min="4952" max="4953" width="3" bestFit="1" customWidth="1"/>
    <col min="4954" max="4956" width="4" bestFit="1" customWidth="1"/>
    <col min="4957" max="4957" width="5" bestFit="1" customWidth="1"/>
    <col min="4958" max="4958" width="4" bestFit="1" customWidth="1"/>
    <col min="4959" max="4967" width="5" bestFit="1" customWidth="1"/>
    <col min="4968" max="4974" width="6" bestFit="1" customWidth="1"/>
    <col min="4975" max="4975" width="9.44140625" bestFit="1" customWidth="1"/>
    <col min="4976" max="4976" width="6.6640625" bestFit="1" customWidth="1"/>
    <col min="4977" max="4977" width="4" bestFit="1" customWidth="1"/>
    <col min="4978" max="4978" width="3" bestFit="1" customWidth="1"/>
    <col min="4979" max="4979" width="5" bestFit="1" customWidth="1"/>
    <col min="4980" max="4980" width="4" bestFit="1" customWidth="1"/>
    <col min="4981" max="4981" width="3" bestFit="1" customWidth="1"/>
    <col min="4982" max="4984" width="4" bestFit="1" customWidth="1"/>
    <col min="4985" max="4985" width="5" bestFit="1" customWidth="1"/>
    <col min="4986" max="4987" width="4" bestFit="1" customWidth="1"/>
    <col min="4988" max="4994" width="5" bestFit="1" customWidth="1"/>
    <col min="4995" max="5002" width="6" bestFit="1" customWidth="1"/>
    <col min="5003" max="5003" width="9.44140625" bestFit="1" customWidth="1"/>
    <col min="5004" max="5004" width="6.6640625" bestFit="1" customWidth="1"/>
    <col min="5005" max="5006" width="3" bestFit="1" customWidth="1"/>
    <col min="5007" max="5008" width="5" bestFit="1" customWidth="1"/>
    <col min="5009" max="5009" width="3" bestFit="1" customWidth="1"/>
    <col min="5010" max="5010" width="4" bestFit="1" customWidth="1"/>
    <col min="5011" max="5011" width="3" bestFit="1" customWidth="1"/>
    <col min="5012" max="5014" width="5" bestFit="1" customWidth="1"/>
    <col min="5015" max="5016" width="4" bestFit="1" customWidth="1"/>
    <col min="5017" max="5023" width="5" bestFit="1" customWidth="1"/>
    <col min="5024" max="5031" width="6" bestFit="1" customWidth="1"/>
    <col min="5032" max="5032" width="9.44140625" bestFit="1" customWidth="1"/>
    <col min="5033" max="5033" width="6.6640625" bestFit="1" customWidth="1"/>
    <col min="5034" max="5034" width="5" bestFit="1" customWidth="1"/>
    <col min="5035" max="5038" width="3" bestFit="1" customWidth="1"/>
    <col min="5039" max="5039" width="5" bestFit="1" customWidth="1"/>
    <col min="5040" max="5043" width="4" bestFit="1" customWidth="1"/>
    <col min="5044" max="5044" width="5" bestFit="1" customWidth="1"/>
    <col min="5045" max="5045" width="4" bestFit="1" customWidth="1"/>
    <col min="5046" max="5052" width="5" bestFit="1" customWidth="1"/>
    <col min="5053" max="5060" width="6" bestFit="1" customWidth="1"/>
    <col min="5061" max="5061" width="9.44140625" bestFit="1" customWidth="1"/>
    <col min="5062" max="5062" width="6.6640625" bestFit="1" customWidth="1"/>
    <col min="5063" max="5063" width="4" bestFit="1" customWidth="1"/>
    <col min="5064" max="5065" width="3" bestFit="1" customWidth="1"/>
    <col min="5066" max="5066" width="5" bestFit="1" customWidth="1"/>
    <col min="5067" max="5067" width="4" bestFit="1" customWidth="1"/>
    <col min="5068" max="5068" width="3" bestFit="1" customWidth="1"/>
    <col min="5069" max="5069" width="5" bestFit="1" customWidth="1"/>
    <col min="5070" max="5071" width="4" bestFit="1" customWidth="1"/>
    <col min="5072" max="5072" width="5" bestFit="1" customWidth="1"/>
    <col min="5073" max="5075" width="4" bestFit="1" customWidth="1"/>
    <col min="5076" max="5081" width="5" bestFit="1" customWidth="1"/>
    <col min="5082" max="5089" width="6" bestFit="1" customWidth="1"/>
    <col min="5090" max="5090" width="9.44140625" bestFit="1" customWidth="1"/>
    <col min="5091" max="5091" width="6.6640625" bestFit="1" customWidth="1"/>
    <col min="5092" max="5092" width="3" bestFit="1" customWidth="1"/>
    <col min="5093" max="5094" width="4" bestFit="1" customWidth="1"/>
    <col min="5095" max="5095" width="5" bestFit="1" customWidth="1"/>
    <col min="5096" max="5096" width="4" bestFit="1" customWidth="1"/>
    <col min="5097" max="5097" width="5" bestFit="1" customWidth="1"/>
    <col min="5098" max="5098" width="4" bestFit="1" customWidth="1"/>
    <col min="5099" max="5100" width="5" bestFit="1" customWidth="1"/>
    <col min="5101" max="5101" width="4" bestFit="1" customWidth="1"/>
    <col min="5102" max="5110" width="5" bestFit="1" customWidth="1"/>
    <col min="5111" max="5118" width="6" bestFit="1" customWidth="1"/>
    <col min="5119" max="5119" width="9.44140625" bestFit="1" customWidth="1"/>
    <col min="5120" max="5120" width="6.6640625" bestFit="1" customWidth="1"/>
    <col min="5121" max="5121" width="5" bestFit="1" customWidth="1"/>
    <col min="5122" max="5123" width="4" bestFit="1" customWidth="1"/>
    <col min="5124" max="5124" width="5" bestFit="1" customWidth="1"/>
    <col min="5125" max="5127" width="4" bestFit="1" customWidth="1"/>
    <col min="5128" max="5128" width="5" bestFit="1" customWidth="1"/>
    <col min="5129" max="5129" width="4" bestFit="1" customWidth="1"/>
    <col min="5130" max="5139" width="5" bestFit="1" customWidth="1"/>
    <col min="5140" max="5147" width="6" bestFit="1" customWidth="1"/>
    <col min="5148" max="5148" width="9.44140625" bestFit="1" customWidth="1"/>
    <col min="5149" max="5149" width="6.6640625" bestFit="1" customWidth="1"/>
    <col min="5150" max="5152" width="3" bestFit="1" customWidth="1"/>
    <col min="5153" max="5153" width="5" bestFit="1" customWidth="1"/>
    <col min="5154" max="5154" width="3" bestFit="1" customWidth="1"/>
    <col min="5155" max="5155" width="4" bestFit="1" customWidth="1"/>
    <col min="5156" max="5156" width="3" bestFit="1" customWidth="1"/>
    <col min="5157" max="5157" width="5" bestFit="1" customWidth="1"/>
    <col min="5158" max="5164" width="4" bestFit="1" customWidth="1"/>
    <col min="5165" max="5170" width="5" bestFit="1" customWidth="1"/>
    <col min="5171" max="5175" width="6" bestFit="1" customWidth="1"/>
    <col min="5176" max="5176" width="9.44140625" bestFit="1" customWidth="1"/>
    <col min="5177" max="5177" width="6.6640625" bestFit="1" customWidth="1"/>
    <col min="5178" max="5178" width="4" bestFit="1" customWidth="1"/>
    <col min="5179" max="5183" width="3" bestFit="1" customWidth="1"/>
    <col min="5184" max="5184" width="4" bestFit="1" customWidth="1"/>
    <col min="5185" max="5185" width="3" bestFit="1" customWidth="1"/>
    <col min="5186" max="5186" width="5" bestFit="1" customWidth="1"/>
    <col min="5187" max="5189" width="4" bestFit="1" customWidth="1"/>
    <col min="5190" max="5198" width="5" bestFit="1" customWidth="1"/>
    <col min="5199" max="5203" width="6" bestFit="1" customWidth="1"/>
    <col min="5204" max="5204" width="9.44140625" bestFit="1" customWidth="1"/>
    <col min="5205" max="5205" width="6.6640625" bestFit="1" customWidth="1"/>
    <col min="5206" max="5210" width="3" bestFit="1" customWidth="1"/>
    <col min="5211" max="5212" width="5" bestFit="1" customWidth="1"/>
    <col min="5213" max="5213" width="4" bestFit="1" customWidth="1"/>
    <col min="5214" max="5214" width="5" bestFit="1" customWidth="1"/>
    <col min="5215" max="5217" width="4" bestFit="1" customWidth="1"/>
    <col min="5218" max="5218" width="5" bestFit="1" customWidth="1"/>
    <col min="5219" max="5219" width="4" bestFit="1" customWidth="1"/>
    <col min="5220" max="5226" width="5" bestFit="1" customWidth="1"/>
    <col min="5227" max="5231" width="6" bestFit="1" customWidth="1"/>
    <col min="5232" max="5232" width="9.44140625" bestFit="1" customWidth="1"/>
    <col min="5233" max="5233" width="6.6640625" bestFit="1" customWidth="1"/>
    <col min="5234" max="5238" width="3" bestFit="1" customWidth="1"/>
    <col min="5239" max="5239" width="4" bestFit="1" customWidth="1"/>
    <col min="5240" max="5240" width="5" bestFit="1" customWidth="1"/>
    <col min="5241" max="5242" width="4" bestFit="1" customWidth="1"/>
    <col min="5243" max="5244" width="5" bestFit="1" customWidth="1"/>
    <col min="5245" max="5247" width="4" bestFit="1" customWidth="1"/>
    <col min="5248" max="5253" width="5" bestFit="1" customWidth="1"/>
    <col min="5254" max="5259" width="6" bestFit="1" customWidth="1"/>
    <col min="5260" max="5260" width="9.44140625" bestFit="1" customWidth="1"/>
    <col min="5261" max="5261" width="6.6640625" bestFit="1" customWidth="1"/>
    <col min="5262" max="5264" width="3" bestFit="1" customWidth="1"/>
    <col min="5265" max="5265" width="5" bestFit="1" customWidth="1"/>
    <col min="5266" max="5266" width="3" bestFit="1" customWidth="1"/>
    <col min="5267" max="5267" width="4" bestFit="1" customWidth="1"/>
    <col min="5268" max="5268" width="3" bestFit="1" customWidth="1"/>
    <col min="5269" max="5269" width="5" bestFit="1" customWidth="1"/>
    <col min="5270" max="5271" width="4" bestFit="1" customWidth="1"/>
    <col min="5272" max="5272" width="5" bestFit="1" customWidth="1"/>
    <col min="5273" max="5275" width="4" bestFit="1" customWidth="1"/>
    <col min="5276" max="5282" width="5" bestFit="1" customWidth="1"/>
    <col min="5283" max="5286" width="6" bestFit="1" customWidth="1"/>
    <col min="5287" max="5287" width="9.44140625" bestFit="1" customWidth="1"/>
    <col min="5288" max="5288" width="6.6640625" bestFit="1" customWidth="1"/>
    <col min="5289" max="5289" width="4" bestFit="1" customWidth="1"/>
    <col min="5290" max="5290" width="3" bestFit="1" customWidth="1"/>
    <col min="5291" max="5295" width="5" bestFit="1" customWidth="1"/>
    <col min="5296" max="5297" width="6" bestFit="1" customWidth="1"/>
    <col min="5298" max="5298" width="9.44140625" bestFit="1" customWidth="1"/>
    <col min="5299" max="5299" width="6.6640625" bestFit="1" customWidth="1"/>
    <col min="5300" max="5300" width="3" bestFit="1" customWidth="1"/>
    <col min="5301" max="5304" width="4" bestFit="1" customWidth="1"/>
    <col min="5305" max="5307" width="5" bestFit="1" customWidth="1"/>
    <col min="5308" max="5308" width="6" bestFit="1" customWidth="1"/>
    <col min="5309" max="5309" width="9.44140625" bestFit="1" customWidth="1"/>
    <col min="5310" max="5310" width="6.6640625" bestFit="1" customWidth="1"/>
    <col min="5311" max="5311" width="3" bestFit="1" customWidth="1"/>
    <col min="5312" max="5313" width="4" bestFit="1" customWidth="1"/>
    <col min="5314" max="5317" width="5" bestFit="1" customWidth="1"/>
    <col min="5318" max="5319" width="6" bestFit="1" customWidth="1"/>
    <col min="5320" max="5320" width="9.44140625" bestFit="1" customWidth="1"/>
    <col min="5321" max="5321" width="6.6640625" bestFit="1" customWidth="1"/>
    <col min="5322" max="5323" width="3" bestFit="1" customWidth="1"/>
    <col min="5324" max="5326" width="4" bestFit="1" customWidth="1"/>
    <col min="5327" max="5329" width="5" bestFit="1" customWidth="1"/>
    <col min="5330" max="5330" width="6" bestFit="1" customWidth="1"/>
    <col min="5331" max="5331" width="9.44140625" bestFit="1" customWidth="1"/>
    <col min="5332" max="5332" width="6.6640625" bestFit="1" customWidth="1"/>
    <col min="5333" max="5334" width="3" bestFit="1" customWidth="1"/>
    <col min="5335" max="5338" width="5" bestFit="1" customWidth="1"/>
    <col min="5339" max="5341" width="6" bestFit="1" customWidth="1"/>
    <col min="5342" max="5342" width="9.44140625" bestFit="1" customWidth="1"/>
    <col min="5343" max="5343" width="7.6640625" bestFit="1" customWidth="1"/>
    <col min="5344" max="5346" width="4" bestFit="1" customWidth="1"/>
    <col min="5347" max="5350" width="5" bestFit="1" customWidth="1"/>
    <col min="5351" max="5352" width="6" bestFit="1" customWidth="1"/>
    <col min="5353" max="5353" width="10.44140625" bestFit="1" customWidth="1"/>
    <col min="5354" max="5354" width="7.6640625" bestFit="1" customWidth="1"/>
    <col min="5355" max="5355" width="5" bestFit="1" customWidth="1"/>
    <col min="5356" max="5356" width="4" bestFit="1" customWidth="1"/>
    <col min="5357" max="5357" width="3" bestFit="1" customWidth="1"/>
    <col min="5358" max="5361" width="5" bestFit="1" customWidth="1"/>
    <col min="5362" max="5363" width="6" bestFit="1" customWidth="1"/>
    <col min="5364" max="5364" width="10.44140625" bestFit="1" customWidth="1"/>
    <col min="5365" max="5365" width="7.6640625" bestFit="1" customWidth="1"/>
    <col min="5366" max="5367" width="4" bestFit="1" customWidth="1"/>
    <col min="5368" max="5372" width="5" bestFit="1" customWidth="1"/>
    <col min="5373" max="5374" width="6" bestFit="1" customWidth="1"/>
    <col min="5375" max="5375" width="10.44140625" bestFit="1" customWidth="1"/>
    <col min="5376" max="5376" width="7.6640625" bestFit="1" customWidth="1"/>
    <col min="5377" max="5378" width="4" bestFit="1" customWidth="1"/>
    <col min="5379" max="5379" width="5" bestFit="1" customWidth="1"/>
    <col min="5380" max="5380" width="4" bestFit="1" customWidth="1"/>
    <col min="5381" max="5384" width="5" bestFit="1" customWidth="1"/>
    <col min="5385" max="5385" width="6" bestFit="1" customWidth="1"/>
    <col min="5386" max="5386" width="10.44140625" bestFit="1" customWidth="1"/>
    <col min="5387" max="5387" width="7.6640625" bestFit="1" customWidth="1"/>
    <col min="5388" max="5388" width="3" bestFit="1" customWidth="1"/>
    <col min="5389" max="5389" width="4" bestFit="1" customWidth="1"/>
    <col min="5390" max="5395" width="5" bestFit="1" customWidth="1"/>
    <col min="5396" max="5396" width="6" bestFit="1" customWidth="1"/>
    <col min="5397" max="5397" width="10.44140625" bestFit="1" customWidth="1"/>
    <col min="5398" max="5398" width="7.6640625" bestFit="1" customWidth="1"/>
    <col min="5399" max="5399" width="4" bestFit="1" customWidth="1"/>
    <col min="5400" max="5406" width="5" bestFit="1" customWidth="1"/>
    <col min="5407" max="5407" width="6" bestFit="1" customWidth="1"/>
    <col min="5408" max="5408" width="10.44140625" bestFit="1" customWidth="1"/>
    <col min="5409" max="5409" width="7.6640625" bestFit="1" customWidth="1"/>
    <col min="5410" max="5410" width="3" bestFit="1" customWidth="1"/>
    <col min="5411" max="5415" width="5" bestFit="1" customWidth="1"/>
    <col min="5416" max="5418" width="6" bestFit="1" customWidth="1"/>
    <col min="5419" max="5419" width="10.44140625" bestFit="1" customWidth="1"/>
    <col min="5420" max="5420" width="7.6640625" bestFit="1" customWidth="1"/>
    <col min="5421" max="5422" width="4" bestFit="1" customWidth="1"/>
    <col min="5423" max="5425" width="5" bestFit="1" customWidth="1"/>
    <col min="5426" max="5428" width="6" bestFit="1" customWidth="1"/>
    <col min="5429" max="5429" width="10.44140625" bestFit="1" customWidth="1"/>
    <col min="5430" max="5430" width="7.6640625" bestFit="1" customWidth="1"/>
    <col min="5431" max="5431" width="4" bestFit="1" customWidth="1"/>
    <col min="5432" max="5436" width="5" bestFit="1" customWidth="1"/>
    <col min="5437" max="5439" width="6" bestFit="1" customWidth="1"/>
    <col min="5440" max="5440" width="10.44140625" bestFit="1" customWidth="1"/>
    <col min="5441" max="5441" width="7.6640625" bestFit="1" customWidth="1"/>
    <col min="5442" max="5444" width="3" bestFit="1" customWidth="1"/>
    <col min="5445" max="5448" width="4" bestFit="1" customWidth="1"/>
    <col min="5449" max="5453" width="5" bestFit="1" customWidth="1"/>
    <col min="5454" max="5458" width="6" bestFit="1" customWidth="1"/>
    <col min="5459" max="5459" width="10.44140625" bestFit="1" customWidth="1"/>
    <col min="5460" max="5460" width="7.6640625" bestFit="1" customWidth="1"/>
    <col min="5461" max="5463" width="3" bestFit="1" customWidth="1"/>
    <col min="5464" max="5466" width="4" bestFit="1" customWidth="1"/>
    <col min="5467" max="5471" width="5" bestFit="1" customWidth="1"/>
    <col min="5472" max="5477" width="6" bestFit="1" customWidth="1"/>
    <col min="5478" max="5478" width="10.44140625" bestFit="1" customWidth="1"/>
    <col min="5479" max="5479" width="7.6640625" bestFit="1" customWidth="1"/>
    <col min="5480" max="5480" width="4" bestFit="1" customWidth="1"/>
    <col min="5481" max="5484" width="5" bestFit="1" customWidth="1"/>
    <col min="5485" max="5487" width="6" bestFit="1" customWidth="1"/>
    <col min="5488" max="5488" width="10.44140625" bestFit="1" customWidth="1"/>
    <col min="5489" max="5489" width="7.6640625" bestFit="1" customWidth="1"/>
    <col min="5490" max="5490" width="3" bestFit="1" customWidth="1"/>
    <col min="5491" max="5491" width="4" bestFit="1" customWidth="1"/>
    <col min="5492" max="5493" width="3" bestFit="1" customWidth="1"/>
    <col min="5494" max="5496" width="4" bestFit="1" customWidth="1"/>
    <col min="5497" max="5501" width="5" bestFit="1" customWidth="1"/>
    <col min="5502" max="5506" width="6" bestFit="1" customWidth="1"/>
    <col min="5507" max="5507" width="10.44140625" bestFit="1" customWidth="1"/>
    <col min="5508" max="5508" width="7.6640625" bestFit="1" customWidth="1"/>
    <col min="5509" max="5509" width="3" bestFit="1" customWidth="1"/>
    <col min="5510" max="5510" width="4" bestFit="1" customWidth="1"/>
    <col min="5511" max="5512" width="3" bestFit="1" customWidth="1"/>
    <col min="5513" max="5513" width="4" bestFit="1" customWidth="1"/>
    <col min="5514" max="5514" width="5" bestFit="1" customWidth="1"/>
    <col min="5515" max="5517" width="4" bestFit="1" customWidth="1"/>
    <col min="5518" max="5525" width="5" bestFit="1" customWidth="1"/>
    <col min="5526" max="5533" width="6" bestFit="1" customWidth="1"/>
    <col min="5534" max="5534" width="10.44140625" bestFit="1" customWidth="1"/>
    <col min="5535" max="5535" width="7.6640625" bestFit="1" customWidth="1"/>
    <col min="5536" max="5538" width="3" bestFit="1" customWidth="1"/>
    <col min="5539" max="5543" width="4" bestFit="1" customWidth="1"/>
    <col min="5544" max="5545" width="5" bestFit="1" customWidth="1"/>
    <col min="5546" max="5551" width="6" bestFit="1" customWidth="1"/>
    <col min="5552" max="5552" width="10.44140625" bestFit="1" customWidth="1"/>
    <col min="5553" max="5553" width="7.6640625" bestFit="1" customWidth="1"/>
    <col min="5554" max="5558" width="4" bestFit="1" customWidth="1"/>
    <col min="5559" max="5563" width="5" bestFit="1" customWidth="1"/>
    <col min="5564" max="5569" width="6" bestFit="1" customWidth="1"/>
    <col min="5570" max="5570" width="10.44140625" bestFit="1" customWidth="1"/>
    <col min="5571" max="5571" width="7.6640625" bestFit="1" customWidth="1"/>
    <col min="5572" max="5572" width="3" bestFit="1" customWidth="1"/>
    <col min="5573" max="5573" width="4" bestFit="1" customWidth="1"/>
    <col min="5574" max="5577" width="5" bestFit="1" customWidth="1"/>
    <col min="5578" max="5580" width="6" bestFit="1" customWidth="1"/>
    <col min="5581" max="5581" width="10.44140625" bestFit="1" customWidth="1"/>
    <col min="5582" max="5582" width="7.6640625" bestFit="1" customWidth="1"/>
    <col min="5583" max="5583" width="3" bestFit="1" customWidth="1"/>
    <col min="5584" max="5584" width="4" bestFit="1" customWidth="1"/>
    <col min="5585" max="5585" width="3" bestFit="1" customWidth="1"/>
    <col min="5586" max="5588" width="5" bestFit="1" customWidth="1"/>
    <col min="5589" max="5591" width="6" bestFit="1" customWidth="1"/>
    <col min="5592" max="5592" width="10.44140625" bestFit="1" customWidth="1"/>
    <col min="5593" max="5593" width="7.6640625" bestFit="1" customWidth="1"/>
    <col min="5594" max="5594" width="3" bestFit="1" customWidth="1"/>
    <col min="5595" max="5596" width="4" bestFit="1" customWidth="1"/>
    <col min="5597" max="5597" width="5" bestFit="1" customWidth="1"/>
    <col min="5598" max="5598" width="4" bestFit="1" customWidth="1"/>
    <col min="5599" max="5600" width="5" bestFit="1" customWidth="1"/>
    <col min="5601" max="5602" width="6" bestFit="1" customWidth="1"/>
    <col min="5603" max="5603" width="10.44140625" bestFit="1" customWidth="1"/>
    <col min="5604" max="5604" width="7.6640625" bestFit="1" customWidth="1"/>
    <col min="5605" max="5606" width="3" bestFit="1" customWidth="1"/>
    <col min="5607" max="5607" width="4" bestFit="1" customWidth="1"/>
    <col min="5608" max="5609" width="5" bestFit="1" customWidth="1"/>
    <col min="5610" max="5613" width="6" bestFit="1" customWidth="1"/>
    <col min="5614" max="5614" width="10.44140625" bestFit="1" customWidth="1"/>
    <col min="5615" max="5615" width="7.6640625" bestFit="1" customWidth="1"/>
    <col min="5616" max="5616" width="3" bestFit="1" customWidth="1"/>
    <col min="5617" max="5618" width="4" bestFit="1" customWidth="1"/>
    <col min="5619" max="5620" width="5" bestFit="1" customWidth="1"/>
    <col min="5621" max="5624" width="6" bestFit="1" customWidth="1"/>
    <col min="5625" max="5625" width="10.44140625" bestFit="1" customWidth="1"/>
    <col min="5626" max="5626" width="7.6640625" bestFit="1" customWidth="1"/>
    <col min="5627" max="5627" width="5" bestFit="1" customWidth="1"/>
    <col min="5628" max="5628" width="4" bestFit="1" customWidth="1"/>
    <col min="5629" max="5630" width="5" bestFit="1" customWidth="1"/>
    <col min="5631" max="5635" width="6" bestFit="1" customWidth="1"/>
    <col min="5636" max="5636" width="10.44140625" bestFit="1" customWidth="1"/>
    <col min="5637" max="5637" width="7.6640625" bestFit="1" customWidth="1"/>
    <col min="5638" max="5639" width="4" bestFit="1" customWidth="1"/>
    <col min="5640" max="5641" width="5" bestFit="1" customWidth="1"/>
    <col min="5642" max="5646" width="6" bestFit="1" customWidth="1"/>
    <col min="5647" max="5647" width="10.44140625" bestFit="1" customWidth="1"/>
    <col min="5648" max="5648" width="7.6640625" bestFit="1" customWidth="1"/>
    <col min="5649" max="5655" width="5" bestFit="1" customWidth="1"/>
    <col min="5656" max="5657" width="6" bestFit="1" customWidth="1"/>
    <col min="5658" max="5658" width="10.44140625" bestFit="1" customWidth="1"/>
    <col min="5659" max="5659" width="7.6640625" bestFit="1" customWidth="1"/>
    <col min="5660" max="5660" width="4" bestFit="1" customWidth="1"/>
    <col min="5661" max="5666" width="5" bestFit="1" customWidth="1"/>
    <col min="5667" max="5668" width="6" bestFit="1" customWidth="1"/>
    <col min="5669" max="5669" width="10.44140625" bestFit="1" customWidth="1"/>
    <col min="5670" max="5670" width="7.6640625" bestFit="1" customWidth="1"/>
    <col min="5671" max="5671" width="4" bestFit="1" customWidth="1"/>
    <col min="5672" max="5677" width="5" bestFit="1" customWidth="1"/>
    <col min="5678" max="5679" width="6" bestFit="1" customWidth="1"/>
    <col min="5680" max="5680" width="10.44140625" bestFit="1" customWidth="1"/>
    <col min="5681" max="5681" width="7.6640625" bestFit="1" customWidth="1"/>
    <col min="5682" max="5684" width="4" bestFit="1" customWidth="1"/>
    <col min="5685" max="5686" width="5" bestFit="1" customWidth="1"/>
    <col min="5687" max="5690" width="6" bestFit="1" customWidth="1"/>
    <col min="5691" max="5691" width="10.44140625" bestFit="1" customWidth="1"/>
    <col min="5692" max="5692" width="7.6640625" bestFit="1" customWidth="1"/>
    <col min="5693" max="5693" width="5" bestFit="1" customWidth="1"/>
    <col min="5694" max="5694" width="4" bestFit="1" customWidth="1"/>
    <col min="5695" max="5699" width="5" bestFit="1" customWidth="1"/>
    <col min="5700" max="5701" width="6" bestFit="1" customWidth="1"/>
    <col min="5702" max="5702" width="10.44140625" bestFit="1" customWidth="1"/>
    <col min="5703" max="5703" width="7.6640625" bestFit="1" customWidth="1"/>
    <col min="5704" max="5704" width="5" bestFit="1" customWidth="1"/>
    <col min="5705" max="5705" width="3" bestFit="1" customWidth="1"/>
    <col min="5706" max="5710" width="5" bestFit="1" customWidth="1"/>
    <col min="5711" max="5712" width="6" bestFit="1" customWidth="1"/>
    <col min="5713" max="5713" width="10.44140625" bestFit="1" customWidth="1"/>
    <col min="5714" max="5714" width="7.6640625" bestFit="1" customWidth="1"/>
    <col min="5715" max="5715" width="5" bestFit="1" customWidth="1"/>
    <col min="5716" max="5716" width="4" bestFit="1" customWidth="1"/>
    <col min="5717" max="5721" width="5" bestFit="1" customWidth="1"/>
    <col min="5722" max="5723" width="6" bestFit="1" customWidth="1"/>
    <col min="5724" max="5724" width="10.44140625" bestFit="1" customWidth="1"/>
    <col min="5725" max="5725" width="7.6640625" bestFit="1" customWidth="1"/>
    <col min="5726" max="5726" width="4" bestFit="1" customWidth="1"/>
    <col min="5727" max="5733" width="5" bestFit="1" customWidth="1"/>
    <col min="5734" max="5734" width="6" bestFit="1" customWidth="1"/>
    <col min="5735" max="5735" width="10.44140625" bestFit="1" customWidth="1"/>
    <col min="5736" max="5736" width="7.6640625" bestFit="1" customWidth="1"/>
    <col min="5737" max="5737" width="3" bestFit="1" customWidth="1"/>
    <col min="5738" max="5738" width="4" bestFit="1" customWidth="1"/>
    <col min="5739" max="5740" width="3" bestFit="1" customWidth="1"/>
    <col min="5741" max="5741" width="5" bestFit="1" customWidth="1"/>
    <col min="5742" max="5744" width="4" bestFit="1" customWidth="1"/>
    <col min="5745" max="5745" width="5" bestFit="1" customWidth="1"/>
    <col min="5746" max="5747" width="4" bestFit="1" customWidth="1"/>
    <col min="5748" max="5754" width="5" bestFit="1" customWidth="1"/>
    <col min="5755" max="5762" width="6" bestFit="1" customWidth="1"/>
    <col min="5763" max="5763" width="10.44140625" bestFit="1" customWidth="1"/>
    <col min="5764" max="5764" width="7.6640625" bestFit="1" customWidth="1"/>
    <col min="5765" max="5766" width="3" bestFit="1" customWidth="1"/>
    <col min="5767" max="5768" width="4" bestFit="1" customWidth="1"/>
    <col min="5769" max="5770" width="5" bestFit="1" customWidth="1"/>
    <col min="5771" max="5773" width="6" bestFit="1" customWidth="1"/>
    <col min="5774" max="5774" width="10.44140625" bestFit="1" customWidth="1"/>
    <col min="5775" max="5775" width="8.6640625" bestFit="1" customWidth="1"/>
    <col min="5776" max="5777" width="3" bestFit="1" customWidth="1"/>
    <col min="5778" max="5778" width="4" bestFit="1" customWidth="1"/>
    <col min="5779" max="5786" width="5" bestFit="1" customWidth="1"/>
    <col min="5787" max="5792" width="6" bestFit="1" customWidth="1"/>
    <col min="5793" max="5793" width="11.44140625" bestFit="1" customWidth="1"/>
    <col min="5794" max="5794" width="8.6640625" bestFit="1" customWidth="1"/>
    <col min="5795" max="5795" width="4" bestFit="1" customWidth="1"/>
    <col min="5796" max="5798" width="5" bestFit="1" customWidth="1"/>
    <col min="5799" max="5803" width="6" bestFit="1" customWidth="1"/>
    <col min="5804" max="5804" width="11.44140625" bestFit="1" customWidth="1"/>
    <col min="5805" max="5805" width="8.6640625" bestFit="1" customWidth="1"/>
    <col min="5806" max="5807" width="4" bestFit="1" customWidth="1"/>
    <col min="5808" max="5811" width="5" bestFit="1" customWidth="1"/>
    <col min="5812" max="5814" width="6" bestFit="1" customWidth="1"/>
    <col min="5815" max="5815" width="11.44140625" bestFit="1" customWidth="1"/>
    <col min="5816" max="5816" width="8.6640625" bestFit="1" customWidth="1"/>
    <col min="5817" max="5817" width="4" bestFit="1" customWidth="1"/>
    <col min="5818" max="5819" width="3" bestFit="1" customWidth="1"/>
    <col min="5820" max="5820" width="4" bestFit="1" customWidth="1"/>
    <col min="5821" max="5827" width="5" bestFit="1" customWidth="1"/>
    <col min="5828" max="5833" width="6" bestFit="1" customWidth="1"/>
    <col min="5834" max="5834" width="11.44140625" bestFit="1" customWidth="1"/>
    <col min="5835" max="5835" width="11.6640625" bestFit="1" customWidth="1"/>
    <col min="5836" max="5836" width="3" bestFit="1" customWidth="1"/>
    <col min="5837" max="5837" width="4" bestFit="1" customWidth="1"/>
    <col min="5838" max="5840" width="5" bestFit="1" customWidth="1"/>
    <col min="5841" max="5844" width="6" bestFit="1" customWidth="1"/>
    <col min="5845" max="5845" width="14.109375" bestFit="1" customWidth="1"/>
    <col min="5846" max="5846" width="11.6640625" bestFit="1" customWidth="1"/>
    <col min="5847" max="5847" width="4" bestFit="1" customWidth="1"/>
    <col min="5848" max="5851" width="5" bestFit="1" customWidth="1"/>
    <col min="5852" max="5855" width="6" bestFit="1" customWidth="1"/>
    <col min="5856" max="5856" width="14.109375" bestFit="1" customWidth="1"/>
    <col min="5857" max="5857" width="8.6640625" bestFit="1" customWidth="1"/>
    <col min="5858" max="5858" width="4" bestFit="1" customWidth="1"/>
    <col min="5859" max="5864" width="5" bestFit="1" customWidth="1"/>
    <col min="5865" max="5866" width="6" bestFit="1" customWidth="1"/>
    <col min="5867" max="5867" width="11.44140625" bestFit="1" customWidth="1"/>
    <col min="5868" max="5868" width="8.6640625" bestFit="1" customWidth="1"/>
    <col min="5869" max="5869" width="5" bestFit="1" customWidth="1"/>
    <col min="5870" max="5870" width="4" bestFit="1" customWidth="1"/>
    <col min="5871" max="5871" width="3" bestFit="1" customWidth="1"/>
    <col min="5872" max="5874" width="5" bestFit="1" customWidth="1"/>
    <col min="5875" max="5877" width="6" bestFit="1" customWidth="1"/>
    <col min="5878" max="5878" width="11.44140625" bestFit="1" customWidth="1"/>
    <col min="5879" max="5879" width="8.6640625" bestFit="1" customWidth="1"/>
    <col min="5880" max="5880" width="4" bestFit="1" customWidth="1"/>
    <col min="5881" max="5881" width="5" bestFit="1" customWidth="1"/>
    <col min="5882" max="5882" width="4" bestFit="1" customWidth="1"/>
    <col min="5883" max="5885" width="5" bestFit="1" customWidth="1"/>
    <col min="5886" max="5888" width="6" bestFit="1" customWidth="1"/>
    <col min="5889" max="5889" width="11.44140625" bestFit="1" customWidth="1"/>
    <col min="5890" max="5890" width="8.6640625" bestFit="1" customWidth="1"/>
    <col min="5891" max="5891" width="4" bestFit="1" customWidth="1"/>
    <col min="5892" max="5892" width="5" bestFit="1" customWidth="1"/>
    <col min="5893" max="5893" width="4" bestFit="1" customWidth="1"/>
    <col min="5894" max="5897" width="5" bestFit="1" customWidth="1"/>
    <col min="5898" max="5899" width="6" bestFit="1" customWidth="1"/>
    <col min="5900" max="5900" width="11.44140625" bestFit="1" customWidth="1"/>
    <col min="5901" max="5901" width="8.6640625" bestFit="1" customWidth="1"/>
    <col min="5902" max="5908" width="5" bestFit="1" customWidth="1"/>
    <col min="5909" max="5910" width="6" bestFit="1" customWidth="1"/>
    <col min="5911" max="5911" width="11.44140625" bestFit="1" customWidth="1"/>
    <col min="5912" max="5912" width="8.6640625" bestFit="1" customWidth="1"/>
    <col min="5913" max="5917" width="5" bestFit="1" customWidth="1"/>
    <col min="5918" max="5920" width="6" bestFit="1" customWidth="1"/>
    <col min="5921" max="5921" width="11.44140625" bestFit="1" customWidth="1"/>
    <col min="5922" max="5922" width="8.6640625" bestFit="1" customWidth="1"/>
    <col min="5923" max="5923" width="3" bestFit="1" customWidth="1"/>
    <col min="5924" max="5924" width="4" bestFit="1" customWidth="1"/>
    <col min="5925" max="5925" width="3" bestFit="1" customWidth="1"/>
    <col min="5926" max="5927" width="4" bestFit="1" customWidth="1"/>
    <col min="5928" max="5933" width="5" bestFit="1" customWidth="1"/>
    <col min="5934" max="5938" width="6" bestFit="1" customWidth="1"/>
    <col min="5939" max="5939" width="11.44140625" bestFit="1" customWidth="1"/>
    <col min="5940" max="5940" width="8.6640625" bestFit="1" customWidth="1"/>
    <col min="5941" max="5942" width="3" bestFit="1" customWidth="1"/>
    <col min="5943" max="5945" width="4" bestFit="1" customWidth="1"/>
    <col min="5946" max="5951" width="5" bestFit="1" customWidth="1"/>
    <col min="5952" max="5957" width="6" bestFit="1" customWidth="1"/>
    <col min="5958" max="5958" width="11.44140625" bestFit="1" customWidth="1"/>
    <col min="5959" max="5959" width="8.6640625" bestFit="1" customWidth="1"/>
    <col min="5960" max="5961" width="3" bestFit="1" customWidth="1"/>
    <col min="5962" max="5970" width="4" bestFit="1" customWidth="1"/>
    <col min="5971" max="5978" width="5" bestFit="1" customWidth="1"/>
    <col min="5979" max="5985" width="6" bestFit="1" customWidth="1"/>
    <col min="5986" max="5986" width="11.44140625" bestFit="1" customWidth="1"/>
    <col min="5987" max="5987" width="8.6640625" bestFit="1" customWidth="1"/>
    <col min="5988" max="5994" width="5" bestFit="1" customWidth="1"/>
    <col min="5995" max="5996" width="6" bestFit="1" customWidth="1"/>
    <col min="5997" max="5997" width="11.44140625" bestFit="1" customWidth="1"/>
    <col min="5998" max="5998" width="8.6640625" bestFit="1" customWidth="1"/>
    <col min="5999" max="6002" width="5" bestFit="1" customWidth="1"/>
    <col min="6003" max="6006" width="6" bestFit="1" customWidth="1"/>
    <col min="6007" max="6007" width="11.44140625" bestFit="1" customWidth="1"/>
    <col min="6008" max="6008" width="8.6640625" bestFit="1" customWidth="1"/>
    <col min="6009" max="6013" width="5" bestFit="1" customWidth="1"/>
    <col min="6014" max="6017" width="6" bestFit="1" customWidth="1"/>
    <col min="6018" max="6018" width="11.44140625" bestFit="1" customWidth="1"/>
    <col min="6019" max="6019" width="8.6640625" bestFit="1" customWidth="1"/>
    <col min="6020" max="6020" width="3" bestFit="1" customWidth="1"/>
    <col min="6021" max="6026" width="5" bestFit="1" customWidth="1"/>
    <col min="6027" max="6028" width="6" bestFit="1" customWidth="1"/>
    <col min="6029" max="6029" width="11.44140625" bestFit="1" customWidth="1"/>
    <col min="6030" max="6030" width="8.6640625" bestFit="1" customWidth="1"/>
    <col min="6031" max="6031" width="3" bestFit="1" customWidth="1"/>
    <col min="6032" max="6036" width="5" bestFit="1" customWidth="1"/>
    <col min="6037" max="6039" width="6" bestFit="1" customWidth="1"/>
    <col min="6040" max="6040" width="11.44140625" bestFit="1" customWidth="1"/>
    <col min="6041" max="6041" width="8.6640625" bestFit="1" customWidth="1"/>
    <col min="6042" max="6042" width="3" bestFit="1" customWidth="1"/>
    <col min="6043" max="6043" width="5" bestFit="1" customWidth="1"/>
    <col min="6044" max="6044" width="4" bestFit="1" customWidth="1"/>
    <col min="6045" max="6048" width="5" bestFit="1" customWidth="1"/>
    <col min="6049" max="6050" width="6" bestFit="1" customWidth="1"/>
    <col min="6051" max="6051" width="11.44140625" bestFit="1" customWidth="1"/>
    <col min="6052" max="6052" width="8.6640625" bestFit="1" customWidth="1"/>
    <col min="6053" max="6053" width="3" bestFit="1" customWidth="1"/>
    <col min="6054" max="6059" width="5" bestFit="1" customWidth="1"/>
    <col min="6060" max="6061" width="6" bestFit="1" customWidth="1"/>
    <col min="6062" max="6062" width="11.44140625" bestFit="1" customWidth="1"/>
    <col min="6063" max="6063" width="8.6640625" bestFit="1" customWidth="1"/>
    <col min="6064" max="6064" width="4" bestFit="1" customWidth="1"/>
    <col min="6065" max="6065" width="5" bestFit="1" customWidth="1"/>
    <col min="6066" max="6066" width="4" bestFit="1" customWidth="1"/>
    <col min="6067" max="6067" width="3" bestFit="1" customWidth="1"/>
    <col min="6068" max="6068" width="5" bestFit="1" customWidth="1"/>
    <col min="6069" max="6074" width="4" bestFit="1" customWidth="1"/>
    <col min="6075" max="6081" width="5" bestFit="1" customWidth="1"/>
    <col min="6082" max="6087" width="6" bestFit="1" customWidth="1"/>
    <col min="6088" max="6088" width="11.44140625" bestFit="1" customWidth="1"/>
    <col min="6089" max="6089" width="8.6640625" bestFit="1" customWidth="1"/>
    <col min="6090" max="6090" width="3" bestFit="1" customWidth="1"/>
    <col min="6091" max="6091" width="5" bestFit="1" customWidth="1"/>
    <col min="6092" max="6092" width="4" bestFit="1" customWidth="1"/>
    <col min="6093" max="6096" width="5" bestFit="1" customWidth="1"/>
    <col min="6097" max="6098" width="6" bestFit="1" customWidth="1"/>
    <col min="6099" max="6099" width="11.44140625" bestFit="1" customWidth="1"/>
    <col min="6100" max="6100" width="14.88671875" bestFit="1" customWidth="1"/>
    <col min="6101" max="6101" width="6" bestFit="1" customWidth="1"/>
    <col min="6102" max="6102" width="3" bestFit="1" customWidth="1"/>
    <col min="6103" max="6103" width="6" bestFit="1" customWidth="1"/>
    <col min="6104" max="6104" width="5" bestFit="1" customWidth="1"/>
    <col min="6105" max="6105" width="6" bestFit="1" customWidth="1"/>
    <col min="6106" max="6108" width="5" bestFit="1" customWidth="1"/>
    <col min="6109" max="6109" width="6" bestFit="1" customWidth="1"/>
    <col min="6110" max="6112" width="5" bestFit="1" customWidth="1"/>
    <col min="6113" max="6114" width="6" bestFit="1" customWidth="1"/>
    <col min="6115" max="6117" width="5" bestFit="1" customWidth="1"/>
    <col min="6118" max="6122" width="6" bestFit="1" customWidth="1"/>
    <col min="6123" max="6123" width="7" bestFit="1" customWidth="1"/>
    <col min="6124" max="6124" width="4" bestFit="1" customWidth="1"/>
    <col min="6125" max="6128" width="3" bestFit="1" customWidth="1"/>
    <col min="6129" max="6133" width="4" bestFit="1" customWidth="1"/>
    <col min="6134" max="6136" width="5" bestFit="1" customWidth="1"/>
    <col min="6137" max="6142" width="6" bestFit="1" customWidth="1"/>
    <col min="6143" max="6143" width="6.44140625" bestFit="1" customWidth="1"/>
    <col min="6144" max="6144" width="4" bestFit="1" customWidth="1"/>
    <col min="6145" max="6145" width="3" bestFit="1" customWidth="1"/>
    <col min="6146" max="6146" width="6" bestFit="1" customWidth="1"/>
    <col min="6147" max="6148" width="3" bestFit="1" customWidth="1"/>
    <col min="6149" max="6154" width="4" bestFit="1" customWidth="1"/>
    <col min="6155" max="6162" width="5" bestFit="1" customWidth="1"/>
    <col min="6163" max="6169" width="6" bestFit="1" customWidth="1"/>
    <col min="6170" max="6170" width="6.44140625" bestFit="1" customWidth="1"/>
    <col min="6171" max="6171" width="3.6640625" bestFit="1" customWidth="1"/>
    <col min="6172" max="6172" width="3" bestFit="1" customWidth="1"/>
    <col min="6173" max="6173" width="4" bestFit="1" customWidth="1"/>
    <col min="6174" max="6176" width="5" bestFit="1" customWidth="1"/>
    <col min="6177" max="6180" width="6" bestFit="1" customWidth="1"/>
    <col min="6181" max="6181" width="6.44140625" bestFit="1" customWidth="1"/>
    <col min="6182" max="6182" width="3.6640625" bestFit="1" customWidth="1"/>
    <col min="6183" max="6183" width="4" bestFit="1" customWidth="1"/>
    <col min="6184" max="6184" width="5" bestFit="1" customWidth="1"/>
    <col min="6185" max="6188" width="3" bestFit="1" customWidth="1"/>
    <col min="6189" max="6192" width="4" bestFit="1" customWidth="1"/>
    <col min="6193" max="6199" width="5" bestFit="1" customWidth="1"/>
    <col min="6200" max="6208" width="6" bestFit="1" customWidth="1"/>
    <col min="6209" max="6209" width="7" bestFit="1" customWidth="1"/>
    <col min="6210" max="6210" width="4.6640625" bestFit="1" customWidth="1"/>
    <col min="6211" max="6211" width="3" bestFit="1" customWidth="1"/>
    <col min="6212" max="6216" width="5" bestFit="1" customWidth="1"/>
    <col min="6217" max="6219" width="6" bestFit="1" customWidth="1"/>
    <col min="6220" max="6220" width="7.44140625" bestFit="1" customWidth="1"/>
    <col min="6221" max="6221" width="4.6640625" bestFit="1" customWidth="1"/>
    <col min="6222" max="6222" width="3" bestFit="1" customWidth="1"/>
    <col min="6223" max="6223" width="5" bestFit="1" customWidth="1"/>
    <col min="6224" max="6224" width="3" bestFit="1" customWidth="1"/>
    <col min="6225" max="6225" width="4" bestFit="1" customWidth="1"/>
    <col min="6226" max="6226" width="3" bestFit="1" customWidth="1"/>
    <col min="6227" max="6227" width="6" bestFit="1" customWidth="1"/>
    <col min="6228" max="6229" width="3" bestFit="1" customWidth="1"/>
    <col min="6230" max="6230" width="5" bestFit="1" customWidth="1"/>
    <col min="6231" max="6231" width="4" bestFit="1" customWidth="1"/>
    <col min="6232" max="6241" width="5" bestFit="1" customWidth="1"/>
    <col min="6242" max="6253" width="6" bestFit="1" customWidth="1"/>
    <col min="6254" max="6254" width="7.44140625" bestFit="1" customWidth="1"/>
    <col min="6255" max="6255" width="4.6640625" bestFit="1" customWidth="1"/>
    <col min="6256" max="6256" width="5" bestFit="1" customWidth="1"/>
    <col min="6257" max="6257" width="4" bestFit="1" customWidth="1"/>
    <col min="6258" max="6258" width="5" bestFit="1" customWidth="1"/>
    <col min="6259" max="6264" width="6" bestFit="1" customWidth="1"/>
    <col min="6265" max="6265" width="7.44140625" bestFit="1" customWidth="1"/>
    <col min="6266" max="6266" width="4.6640625" bestFit="1" customWidth="1"/>
    <col min="6267" max="6269" width="4" bestFit="1" customWidth="1"/>
    <col min="6270" max="6273" width="5" bestFit="1" customWidth="1"/>
    <col min="6274" max="6275" width="6" bestFit="1" customWidth="1"/>
    <col min="6276" max="6276" width="7.44140625" bestFit="1" customWidth="1"/>
    <col min="6277" max="6277" width="4.6640625" bestFit="1" customWidth="1"/>
    <col min="6278" max="6279" width="3" bestFit="1" customWidth="1"/>
    <col min="6280" max="6280" width="5" bestFit="1" customWidth="1"/>
    <col min="6281" max="6283" width="4" bestFit="1" customWidth="1"/>
    <col min="6284" max="6286" width="5" bestFit="1" customWidth="1"/>
    <col min="6287" max="6295" width="6" bestFit="1" customWidth="1"/>
    <col min="6296" max="6296" width="7.44140625" bestFit="1" customWidth="1"/>
    <col min="6297" max="6297" width="4.6640625" bestFit="1" customWidth="1"/>
    <col min="6298" max="6298" width="4" bestFit="1" customWidth="1"/>
    <col min="6299" max="6300" width="5" bestFit="1" customWidth="1"/>
    <col min="6301" max="6305" width="6" bestFit="1" customWidth="1"/>
    <col min="6306" max="6306" width="7.44140625" bestFit="1" customWidth="1"/>
    <col min="6307" max="6307" width="4.6640625" bestFit="1" customWidth="1"/>
    <col min="6308" max="6309" width="4" bestFit="1" customWidth="1"/>
    <col min="6310" max="6311" width="5" bestFit="1" customWidth="1"/>
    <col min="6312" max="6315" width="6" bestFit="1" customWidth="1"/>
    <col min="6316" max="6316" width="7.44140625" bestFit="1" customWidth="1"/>
    <col min="6317" max="6317" width="4.6640625" bestFit="1" customWidth="1"/>
    <col min="6318" max="6320" width="4" bestFit="1" customWidth="1"/>
    <col min="6321" max="6324" width="5" bestFit="1" customWidth="1"/>
    <col min="6325" max="6326" width="6" bestFit="1" customWidth="1"/>
    <col min="6327" max="6327" width="7.44140625" bestFit="1" customWidth="1"/>
    <col min="6328" max="6328" width="4.6640625" bestFit="1" customWidth="1"/>
    <col min="6329" max="6329" width="3" bestFit="1" customWidth="1"/>
    <col min="6330" max="6330" width="4" bestFit="1" customWidth="1"/>
    <col min="6331" max="6334" width="5" bestFit="1" customWidth="1"/>
    <col min="6335" max="6337" width="6" bestFit="1" customWidth="1"/>
    <col min="6338" max="6338" width="7.44140625" bestFit="1" customWidth="1"/>
    <col min="6339" max="6339" width="4.6640625" bestFit="1" customWidth="1"/>
    <col min="6340" max="6340" width="3" bestFit="1" customWidth="1"/>
    <col min="6341" max="6342" width="4" bestFit="1" customWidth="1"/>
    <col min="6343" max="6343" width="5" bestFit="1" customWidth="1"/>
    <col min="6344" max="6344" width="4" bestFit="1" customWidth="1"/>
    <col min="6345" max="6345" width="6" bestFit="1" customWidth="1"/>
    <col min="6346" max="6350" width="5" bestFit="1" customWidth="1"/>
    <col min="6351" max="6357" width="6" bestFit="1" customWidth="1"/>
    <col min="6358" max="6358" width="7.44140625" bestFit="1" customWidth="1"/>
    <col min="6359" max="6359" width="4.6640625" bestFit="1" customWidth="1"/>
    <col min="6360" max="6360" width="4" bestFit="1" customWidth="1"/>
    <col min="6361" max="6366" width="5" bestFit="1" customWidth="1"/>
    <col min="6367" max="6368" width="6" bestFit="1" customWidth="1"/>
    <col min="6369" max="6369" width="7.44140625" bestFit="1" customWidth="1"/>
    <col min="6370" max="6370" width="4.6640625" bestFit="1" customWidth="1"/>
    <col min="6371" max="6372" width="3" bestFit="1" customWidth="1"/>
    <col min="6373" max="6374" width="4" bestFit="1" customWidth="1"/>
    <col min="6375" max="6377" width="5" bestFit="1" customWidth="1"/>
    <col min="6378" max="6379" width="6" bestFit="1" customWidth="1"/>
    <col min="6380" max="6380" width="7.44140625" bestFit="1" customWidth="1"/>
    <col min="6381" max="6381" width="4.6640625" bestFit="1" customWidth="1"/>
    <col min="6382" max="6383" width="3" bestFit="1" customWidth="1"/>
    <col min="6384" max="6384" width="5" bestFit="1" customWidth="1"/>
    <col min="6385" max="6386" width="4" bestFit="1" customWidth="1"/>
    <col min="6387" max="6387" width="5" bestFit="1" customWidth="1"/>
    <col min="6388" max="6390" width="6" bestFit="1" customWidth="1"/>
    <col min="6391" max="6391" width="7.44140625" bestFit="1" customWidth="1"/>
    <col min="6392" max="6392" width="4.6640625" bestFit="1" customWidth="1"/>
    <col min="6393" max="6393" width="4" bestFit="1" customWidth="1"/>
    <col min="6394" max="6397" width="5" bestFit="1" customWidth="1"/>
    <col min="6398" max="6401" width="6" bestFit="1" customWidth="1"/>
    <col min="6402" max="6402" width="7.44140625" bestFit="1" customWidth="1"/>
    <col min="6403" max="6403" width="6" bestFit="1" customWidth="1"/>
    <col min="6404" max="6406" width="3" bestFit="1" customWidth="1"/>
    <col min="6407" max="6411" width="4" bestFit="1" customWidth="1"/>
    <col min="6412" max="6412" width="6" bestFit="1" customWidth="1"/>
    <col min="6413" max="6416" width="5" bestFit="1" customWidth="1"/>
    <col min="6417" max="6417" width="6" bestFit="1" customWidth="1"/>
    <col min="6418" max="6418" width="5" bestFit="1" customWidth="1"/>
    <col min="6419" max="6428" width="6" bestFit="1" customWidth="1"/>
    <col min="6429" max="6429" width="7.44140625" bestFit="1" customWidth="1"/>
    <col min="6430" max="6430" width="4.6640625" bestFit="1" customWidth="1"/>
    <col min="6431" max="6432" width="3" bestFit="1" customWidth="1"/>
    <col min="6433" max="6433" width="5" bestFit="1" customWidth="1"/>
    <col min="6434" max="6435" width="4" bestFit="1" customWidth="1"/>
    <col min="6436" max="6439" width="6" bestFit="1" customWidth="1"/>
    <col min="6440" max="6440" width="7.44140625" bestFit="1" customWidth="1"/>
    <col min="6441" max="6441" width="4.6640625" bestFit="1" customWidth="1"/>
    <col min="6442" max="6442" width="3" bestFit="1" customWidth="1"/>
    <col min="6443" max="6445" width="4" bestFit="1" customWidth="1"/>
    <col min="6446" max="6448" width="5" bestFit="1" customWidth="1"/>
    <col min="6449" max="6450" width="6" bestFit="1" customWidth="1"/>
    <col min="6451" max="6451" width="7.44140625" bestFit="1" customWidth="1"/>
    <col min="6452" max="6452" width="4.6640625" bestFit="1" customWidth="1"/>
    <col min="6453" max="6454" width="4" bestFit="1" customWidth="1"/>
    <col min="6455" max="6455" width="5" bestFit="1" customWidth="1"/>
    <col min="6456" max="6456" width="6" bestFit="1" customWidth="1"/>
    <col min="6457" max="6457" width="5" bestFit="1" customWidth="1"/>
    <col min="6458" max="6460" width="6" bestFit="1" customWidth="1"/>
    <col min="6461" max="6461" width="7.44140625" bestFit="1" customWidth="1"/>
    <col min="6462" max="6462" width="4.6640625" bestFit="1" customWidth="1"/>
    <col min="6463" max="6464" width="4" bestFit="1" customWidth="1"/>
    <col min="6465" max="6466" width="5" bestFit="1" customWidth="1"/>
    <col min="6467" max="6470" width="6" bestFit="1" customWidth="1"/>
    <col min="6471" max="6471" width="7.44140625" bestFit="1" customWidth="1"/>
    <col min="6472" max="6472" width="5" bestFit="1" customWidth="1"/>
    <col min="6473" max="6474" width="4" bestFit="1" customWidth="1"/>
    <col min="6475" max="6475" width="5" bestFit="1" customWidth="1"/>
    <col min="6476" max="6480" width="6" bestFit="1" customWidth="1"/>
    <col min="6481" max="6481" width="7.44140625" bestFit="1" customWidth="1"/>
    <col min="6482" max="6482" width="4.6640625" bestFit="1" customWidth="1"/>
    <col min="6483" max="6483" width="5" bestFit="1" customWidth="1"/>
    <col min="6484" max="6485" width="3" bestFit="1" customWidth="1"/>
    <col min="6486" max="6486" width="5" bestFit="1" customWidth="1"/>
    <col min="6487" max="6488" width="3" bestFit="1" customWidth="1"/>
    <col min="6489" max="6489" width="4" bestFit="1" customWidth="1"/>
    <col min="6490" max="6490" width="3" bestFit="1" customWidth="1"/>
    <col min="6491" max="6491" width="6" bestFit="1" customWidth="1"/>
    <col min="6492" max="6493" width="3" bestFit="1" customWidth="1"/>
    <col min="6494" max="6497" width="4" bestFit="1" customWidth="1"/>
    <col min="6498" max="6498" width="5" bestFit="1" customWidth="1"/>
    <col min="6499" max="6499" width="4" bestFit="1" customWidth="1"/>
    <col min="6500" max="6505" width="5" bestFit="1" customWidth="1"/>
    <col min="6506" max="6506" width="6" bestFit="1" customWidth="1"/>
    <col min="6507" max="6510" width="5" bestFit="1" customWidth="1"/>
    <col min="6511" max="6512" width="6" bestFit="1" customWidth="1"/>
    <col min="6513" max="6514" width="5" bestFit="1" customWidth="1"/>
    <col min="6515" max="6529" width="6" bestFit="1" customWidth="1"/>
    <col min="6530" max="6530" width="7.44140625" bestFit="1" customWidth="1"/>
    <col min="6531" max="6531" width="4.6640625" bestFit="1" customWidth="1"/>
    <col min="6532" max="6533" width="5" bestFit="1" customWidth="1"/>
    <col min="6534" max="6534" width="3" bestFit="1" customWidth="1"/>
    <col min="6535" max="6535" width="5" bestFit="1" customWidth="1"/>
    <col min="6536" max="6540" width="6" bestFit="1" customWidth="1"/>
    <col min="6541" max="6541" width="7.44140625" bestFit="1" customWidth="1"/>
    <col min="6542" max="6542" width="4.6640625" bestFit="1" customWidth="1"/>
    <col min="6543" max="6546" width="4" bestFit="1" customWidth="1"/>
    <col min="6547" max="6549" width="5" bestFit="1" customWidth="1"/>
    <col min="6550" max="6551" width="6" bestFit="1" customWidth="1"/>
    <col min="6552" max="6552" width="7.44140625" bestFit="1" customWidth="1"/>
    <col min="6553" max="6553" width="5.6640625" bestFit="1" customWidth="1"/>
    <col min="6554" max="6557" width="3" bestFit="1" customWidth="1"/>
    <col min="6558" max="6558" width="6" bestFit="1" customWidth="1"/>
    <col min="6559" max="6560" width="3" bestFit="1" customWidth="1"/>
    <col min="6561" max="6566" width="4" bestFit="1" customWidth="1"/>
    <col min="6567" max="6569" width="5" bestFit="1" customWidth="1"/>
    <col min="6570" max="6570" width="6" bestFit="1" customWidth="1"/>
    <col min="6571" max="6572" width="5" bestFit="1" customWidth="1"/>
    <col min="6573" max="6579" width="6" bestFit="1" customWidth="1"/>
    <col min="6580" max="6580" width="8.44140625" bestFit="1" customWidth="1"/>
    <col min="6581" max="6581" width="6" bestFit="1" customWidth="1"/>
    <col min="6582" max="6582" width="5" bestFit="1" customWidth="1"/>
    <col min="6583" max="6585" width="4" bestFit="1" customWidth="1"/>
    <col min="6586" max="6591" width="5" bestFit="1" customWidth="1"/>
    <col min="6592" max="6592" width="6" bestFit="1" customWidth="1"/>
    <col min="6593" max="6597" width="5" bestFit="1" customWidth="1"/>
    <col min="6598" max="6607" width="6" bestFit="1" customWidth="1"/>
    <col min="6608" max="6608" width="8.44140625" bestFit="1" customWidth="1"/>
    <col min="6609" max="6609" width="5.6640625" bestFit="1" customWidth="1"/>
    <col min="6610" max="6610" width="3" bestFit="1" customWidth="1"/>
    <col min="6611" max="6611" width="4" bestFit="1" customWidth="1"/>
    <col min="6612" max="6612" width="5" bestFit="1" customWidth="1"/>
    <col min="6613" max="6613" width="4" bestFit="1" customWidth="1"/>
    <col min="6614" max="6618" width="6" bestFit="1" customWidth="1"/>
    <col min="6619" max="6619" width="8.44140625" bestFit="1" customWidth="1"/>
    <col min="6620" max="6620" width="5.6640625" bestFit="1" customWidth="1"/>
    <col min="6621" max="6625" width="3" bestFit="1" customWidth="1"/>
    <col min="6626" max="6631" width="4" bestFit="1" customWidth="1"/>
    <col min="6632" max="6633" width="5" bestFit="1" customWidth="1"/>
    <col min="6634" max="6635" width="6" bestFit="1" customWidth="1"/>
    <col min="6636" max="6641" width="5" bestFit="1" customWidth="1"/>
    <col min="6642" max="6647" width="6" bestFit="1" customWidth="1"/>
    <col min="6648" max="6648" width="8.44140625" bestFit="1" customWidth="1"/>
    <col min="6649" max="6649" width="5.6640625" bestFit="1" customWidth="1"/>
    <col min="6650" max="6653" width="5" bestFit="1" customWidth="1"/>
    <col min="6654" max="6658" width="6" bestFit="1" customWidth="1"/>
    <col min="6659" max="6659" width="8.44140625" bestFit="1" customWidth="1"/>
    <col min="6660" max="6660" width="5.6640625" bestFit="1" customWidth="1"/>
    <col min="6661" max="6661" width="5" bestFit="1" customWidth="1"/>
    <col min="6662" max="6662" width="3" bestFit="1" customWidth="1"/>
    <col min="6663" max="6663" width="6" bestFit="1" customWidth="1"/>
    <col min="6664" max="6664" width="5" bestFit="1" customWidth="1"/>
    <col min="6665" max="6665" width="4" bestFit="1" customWidth="1"/>
    <col min="6666" max="6666" width="5" bestFit="1" customWidth="1"/>
    <col min="6667" max="6667" width="4" bestFit="1" customWidth="1"/>
    <col min="6668" max="6668" width="5" bestFit="1" customWidth="1"/>
    <col min="6669" max="6669" width="4" bestFit="1" customWidth="1"/>
    <col min="6670" max="6670" width="5" bestFit="1" customWidth="1"/>
    <col min="6671" max="6671" width="4" bestFit="1" customWidth="1"/>
    <col min="6672" max="6680" width="5" bestFit="1" customWidth="1"/>
    <col min="6681" max="6687" width="6" bestFit="1" customWidth="1"/>
    <col min="6688" max="6688" width="8.44140625" bestFit="1" customWidth="1"/>
    <col min="6689" max="6689" width="5.6640625" bestFit="1" customWidth="1"/>
    <col min="6690" max="6690" width="4" bestFit="1" customWidth="1"/>
    <col min="6691" max="6691" width="3" bestFit="1" customWidth="1"/>
    <col min="6692" max="6693" width="4" bestFit="1" customWidth="1"/>
    <col min="6694" max="6695" width="5" bestFit="1" customWidth="1"/>
    <col min="6696" max="6698" width="3" bestFit="1" customWidth="1"/>
    <col min="6699" max="6702" width="4" bestFit="1" customWidth="1"/>
    <col min="6703" max="6703" width="5" bestFit="1" customWidth="1"/>
    <col min="6704" max="6708" width="4" bestFit="1" customWidth="1"/>
    <col min="6709" max="6709" width="5" bestFit="1" customWidth="1"/>
    <col min="6710" max="6710" width="4" bestFit="1" customWidth="1"/>
    <col min="6711" max="6711" width="5" bestFit="1" customWidth="1"/>
    <col min="6712" max="6712" width="6" bestFit="1" customWidth="1"/>
    <col min="6713" max="6717" width="5" bestFit="1" customWidth="1"/>
    <col min="6718" max="6719" width="6" bestFit="1" customWidth="1"/>
    <col min="6720" max="6726" width="5" bestFit="1" customWidth="1"/>
    <col min="6727" max="6738" width="6" bestFit="1" customWidth="1"/>
    <col min="6739" max="6739" width="8.44140625" bestFit="1" customWidth="1"/>
    <col min="6740" max="6740" width="5.6640625" bestFit="1" customWidth="1"/>
    <col min="6741" max="6743" width="3" bestFit="1" customWidth="1"/>
    <col min="6744" max="6745" width="4" bestFit="1" customWidth="1"/>
    <col min="6746" max="6749" width="5" bestFit="1" customWidth="1"/>
    <col min="6750" max="6750" width="8.44140625" bestFit="1" customWidth="1"/>
    <col min="6751" max="6751" width="5.6640625" bestFit="1" customWidth="1"/>
    <col min="6752" max="6752" width="3" bestFit="1" customWidth="1"/>
    <col min="6753" max="6753" width="5" bestFit="1" customWidth="1"/>
    <col min="6754" max="6754" width="3" bestFit="1" customWidth="1"/>
    <col min="6755" max="6757" width="4" bestFit="1" customWidth="1"/>
    <col min="6758" max="6760" width="5" bestFit="1" customWidth="1"/>
    <col min="6761" max="6761" width="8.44140625" bestFit="1" customWidth="1"/>
    <col min="6762" max="6762" width="5.6640625" bestFit="1" customWidth="1"/>
    <col min="6763" max="6765" width="3" bestFit="1" customWidth="1"/>
    <col min="6766" max="6766" width="4" bestFit="1" customWidth="1"/>
    <col min="6767" max="6771" width="5" bestFit="1" customWidth="1"/>
    <col min="6772" max="6772" width="8.44140625" bestFit="1" customWidth="1"/>
    <col min="6773" max="6773" width="5.6640625" bestFit="1" customWidth="1"/>
    <col min="6774" max="6774" width="3" bestFit="1" customWidth="1"/>
    <col min="6775" max="6775" width="5" bestFit="1" customWidth="1"/>
    <col min="6776" max="6778" width="4" bestFit="1" customWidth="1"/>
    <col min="6779" max="6782" width="5" bestFit="1" customWidth="1"/>
    <col min="6783" max="6783" width="8.44140625" bestFit="1" customWidth="1"/>
    <col min="6784" max="6784" width="5.6640625" bestFit="1" customWidth="1"/>
    <col min="6785" max="6786" width="3" bestFit="1" customWidth="1"/>
    <col min="6787" max="6788" width="5" bestFit="1" customWidth="1"/>
    <col min="6789" max="6789" width="4" bestFit="1" customWidth="1"/>
    <col min="6790" max="6793" width="5" bestFit="1" customWidth="1"/>
    <col min="6794" max="6794" width="8.44140625" bestFit="1" customWidth="1"/>
    <col min="6795" max="6795" width="5.6640625" bestFit="1" customWidth="1"/>
    <col min="6796" max="6796" width="3" bestFit="1" customWidth="1"/>
    <col min="6797" max="6797" width="5" bestFit="1" customWidth="1"/>
    <col min="6798" max="6798" width="4" bestFit="1" customWidth="1"/>
    <col min="6799" max="6803" width="5" bestFit="1" customWidth="1"/>
    <col min="6804" max="6804" width="6" bestFit="1" customWidth="1"/>
    <col min="6805" max="6805" width="8.44140625" bestFit="1" customWidth="1"/>
    <col min="6806" max="6806" width="5.6640625" bestFit="1" customWidth="1"/>
    <col min="6807" max="6808" width="4" bestFit="1" customWidth="1"/>
    <col min="6809" max="6811" width="5" bestFit="1" customWidth="1"/>
    <col min="6812" max="6815" width="6" bestFit="1" customWidth="1"/>
    <col min="6816" max="6816" width="8.44140625" bestFit="1" customWidth="1"/>
    <col min="6817" max="6817" width="5.6640625" bestFit="1" customWidth="1"/>
    <col min="6818" max="6818" width="5" bestFit="1" customWidth="1"/>
    <col min="6819" max="6819" width="4" bestFit="1" customWidth="1"/>
    <col min="6820" max="6825" width="5" bestFit="1" customWidth="1"/>
    <col min="6826" max="6826" width="6" bestFit="1" customWidth="1"/>
    <col min="6827" max="6827" width="8.44140625" bestFit="1" customWidth="1"/>
    <col min="6828" max="6828" width="5.6640625" bestFit="1" customWidth="1"/>
    <col min="6829" max="6829" width="3" bestFit="1" customWidth="1"/>
    <col min="6830" max="6832" width="4" bestFit="1" customWidth="1"/>
    <col min="6833" max="6837" width="5" bestFit="1" customWidth="1"/>
    <col min="6838" max="6838" width="8.44140625" bestFit="1" customWidth="1"/>
    <col min="6839" max="6839" width="5.6640625" bestFit="1" customWidth="1"/>
    <col min="6840" max="6840" width="3" bestFit="1" customWidth="1"/>
    <col min="6841" max="6844" width="4" bestFit="1" customWidth="1"/>
    <col min="6845" max="6855" width="5" bestFit="1" customWidth="1"/>
    <col min="6856" max="6866" width="6" bestFit="1" customWidth="1"/>
    <col min="6867" max="6867" width="8.44140625" bestFit="1" customWidth="1"/>
    <col min="6868" max="6868" width="5.6640625" bestFit="1" customWidth="1"/>
    <col min="6869" max="6869" width="5" bestFit="1" customWidth="1"/>
    <col min="6870" max="6870" width="3" bestFit="1" customWidth="1"/>
    <col min="6871" max="6871" width="5" bestFit="1" customWidth="1"/>
    <col min="6872" max="6873" width="4" bestFit="1" customWidth="1"/>
    <col min="6874" max="6874" width="5" bestFit="1" customWidth="1"/>
    <col min="6875" max="6878" width="4" bestFit="1" customWidth="1"/>
    <col min="6879" max="6879" width="5" bestFit="1" customWidth="1"/>
    <col min="6880" max="6880" width="6" bestFit="1" customWidth="1"/>
    <col min="6881" max="6889" width="5" bestFit="1" customWidth="1"/>
    <col min="6890" max="6894" width="6" bestFit="1" customWidth="1"/>
    <col min="6895" max="6895" width="8.44140625" bestFit="1" customWidth="1"/>
    <col min="6896" max="6896" width="5.6640625" bestFit="1" customWidth="1"/>
    <col min="6897" max="6898" width="4" bestFit="1" customWidth="1"/>
    <col min="6899" max="6901" width="5" bestFit="1" customWidth="1"/>
    <col min="6902" max="6904" width="6" bestFit="1" customWidth="1"/>
    <col min="6905" max="6905" width="8.44140625" bestFit="1" customWidth="1"/>
    <col min="6906" max="6906" width="5.6640625" bestFit="1" customWidth="1"/>
    <col min="6907" max="6907" width="3" bestFit="1" customWidth="1"/>
    <col min="6908" max="6908" width="4" bestFit="1" customWidth="1"/>
    <col min="6909" max="6915" width="3" bestFit="1" customWidth="1"/>
    <col min="6916" max="6917" width="4" bestFit="1" customWidth="1"/>
    <col min="6918" max="6918" width="6" bestFit="1" customWidth="1"/>
    <col min="6919" max="6919" width="4" bestFit="1" customWidth="1"/>
    <col min="6920" max="6920" width="5" bestFit="1" customWidth="1"/>
    <col min="6921" max="6921" width="4" bestFit="1" customWidth="1"/>
    <col min="6922" max="6922" width="5" bestFit="1" customWidth="1"/>
    <col min="6923" max="6923" width="4" bestFit="1" customWidth="1"/>
    <col min="6924" max="6925" width="5" bestFit="1" customWidth="1"/>
    <col min="6926" max="6926" width="6" bestFit="1" customWidth="1"/>
    <col min="6927" max="6927" width="5" bestFit="1" customWidth="1"/>
    <col min="6928" max="6932" width="6" bestFit="1" customWidth="1"/>
    <col min="6933" max="6933" width="8.44140625" bestFit="1" customWidth="1"/>
    <col min="6934" max="6934" width="6" bestFit="1" customWidth="1"/>
    <col min="6935" max="6937" width="3" bestFit="1" customWidth="1"/>
    <col min="6938" max="6939" width="5" bestFit="1" customWidth="1"/>
    <col min="6940" max="6943" width="4" bestFit="1" customWidth="1"/>
    <col min="6944" max="6945" width="5" bestFit="1" customWidth="1"/>
    <col min="6946" max="6948" width="6" bestFit="1" customWidth="1"/>
    <col min="6949" max="6952" width="5" bestFit="1" customWidth="1"/>
    <col min="6953" max="6958" width="6" bestFit="1" customWidth="1"/>
    <col min="6959" max="6959" width="8.44140625" bestFit="1" customWidth="1"/>
    <col min="6960" max="6960" width="5.6640625" bestFit="1" customWidth="1"/>
    <col min="6961" max="6961" width="3" bestFit="1" customWidth="1"/>
    <col min="6962" max="6962" width="5" bestFit="1" customWidth="1"/>
    <col min="6963" max="6963" width="6" bestFit="1" customWidth="1"/>
    <col min="6964" max="6966" width="4" bestFit="1" customWidth="1"/>
    <col min="6967" max="6970" width="5" bestFit="1" customWidth="1"/>
    <col min="6971" max="6976" width="6" bestFit="1" customWidth="1"/>
    <col min="6977" max="6977" width="8.44140625" bestFit="1" customWidth="1"/>
    <col min="6978" max="6978" width="5.6640625" bestFit="1" customWidth="1"/>
    <col min="6979" max="6981" width="3" bestFit="1" customWidth="1"/>
    <col min="6982" max="6982" width="5" bestFit="1" customWidth="1"/>
    <col min="6983" max="6987" width="4" bestFit="1" customWidth="1"/>
    <col min="6988" max="6990" width="5" bestFit="1" customWidth="1"/>
    <col min="6991" max="6995" width="6" bestFit="1" customWidth="1"/>
    <col min="6996" max="6996" width="8.44140625" bestFit="1" customWidth="1"/>
    <col min="6997" max="6997" width="5.6640625" bestFit="1" customWidth="1"/>
    <col min="6998" max="6998" width="3" bestFit="1" customWidth="1"/>
    <col min="6999" max="6999" width="5" bestFit="1" customWidth="1"/>
    <col min="7000" max="7001" width="4" bestFit="1" customWidth="1"/>
    <col min="7002" max="7002" width="5" bestFit="1" customWidth="1"/>
    <col min="7003" max="7004" width="4" bestFit="1" customWidth="1"/>
    <col min="7005" max="7006" width="5" bestFit="1" customWidth="1"/>
    <col min="7007" max="7007" width="6" bestFit="1" customWidth="1"/>
    <col min="7008" max="7011" width="5" bestFit="1" customWidth="1"/>
    <col min="7012" max="7012" width="6" bestFit="1" customWidth="1"/>
    <col min="7013" max="7016" width="5" bestFit="1" customWidth="1"/>
    <col min="7017" max="7021" width="6" bestFit="1" customWidth="1"/>
    <col min="7022" max="7022" width="8.44140625" bestFit="1" customWidth="1"/>
    <col min="7023" max="7023" width="5.6640625" bestFit="1" customWidth="1"/>
    <col min="7024" max="7025" width="5" bestFit="1" customWidth="1"/>
    <col min="7026" max="7026" width="3" bestFit="1" customWidth="1"/>
    <col min="7027" max="7027" width="6" bestFit="1" customWidth="1"/>
    <col min="7028" max="7028" width="5" bestFit="1" customWidth="1"/>
    <col min="7029" max="7030" width="4" bestFit="1" customWidth="1"/>
    <col min="7031" max="7042" width="5" bestFit="1" customWidth="1"/>
    <col min="7043" max="7047" width="6" bestFit="1" customWidth="1"/>
    <col min="7048" max="7048" width="8.44140625" bestFit="1" customWidth="1"/>
    <col min="7049" max="7049" width="5.6640625" bestFit="1" customWidth="1"/>
    <col min="7050" max="7050" width="6" bestFit="1" customWidth="1"/>
    <col min="7051" max="7052" width="3" bestFit="1" customWidth="1"/>
    <col min="7053" max="7053" width="4" bestFit="1" customWidth="1"/>
    <col min="7054" max="7054" width="5" bestFit="1" customWidth="1"/>
    <col min="7055" max="7055" width="4" bestFit="1" customWidth="1"/>
    <col min="7056" max="7065" width="5" bestFit="1" customWidth="1"/>
    <col min="7066" max="7075" width="6" bestFit="1" customWidth="1"/>
    <col min="7076" max="7076" width="8.44140625" bestFit="1" customWidth="1"/>
    <col min="7077" max="7077" width="5.6640625" bestFit="1" customWidth="1"/>
    <col min="7078" max="7078" width="4" bestFit="1" customWidth="1"/>
    <col min="7079" max="7079" width="3" bestFit="1" customWidth="1"/>
    <col min="7080" max="7080" width="6" bestFit="1" customWidth="1"/>
    <col min="7081" max="7081" width="3" bestFit="1" customWidth="1"/>
    <col min="7082" max="7083" width="5" bestFit="1" customWidth="1"/>
    <col min="7084" max="7085" width="3" bestFit="1" customWidth="1"/>
    <col min="7086" max="7089" width="4" bestFit="1" customWidth="1"/>
    <col min="7090" max="7096" width="5" bestFit="1" customWidth="1"/>
    <col min="7097" max="7101" width="6" bestFit="1" customWidth="1"/>
    <col min="7102" max="7102" width="8.44140625" bestFit="1" customWidth="1"/>
    <col min="7103" max="7103" width="5.6640625" bestFit="1" customWidth="1"/>
    <col min="7104" max="7108" width="3" bestFit="1" customWidth="1"/>
    <col min="7109" max="7109" width="4" bestFit="1" customWidth="1"/>
    <col min="7110" max="7111" width="3" bestFit="1" customWidth="1"/>
    <col min="7112" max="7113" width="4" bestFit="1" customWidth="1"/>
    <col min="7114" max="7114" width="5" bestFit="1" customWidth="1"/>
    <col min="7115" max="7116" width="4" bestFit="1" customWidth="1"/>
    <col min="7117" max="7123" width="5" bestFit="1" customWidth="1"/>
    <col min="7124" max="7129" width="6" bestFit="1" customWidth="1"/>
    <col min="7130" max="7130" width="8.44140625" bestFit="1" customWidth="1"/>
    <col min="7131" max="7131" width="5.6640625" bestFit="1" customWidth="1"/>
    <col min="7132" max="7134" width="3" bestFit="1" customWidth="1"/>
    <col min="7135" max="7135" width="5" bestFit="1" customWidth="1"/>
    <col min="7136" max="7136" width="4" bestFit="1" customWidth="1"/>
    <col min="7137" max="7137" width="6" bestFit="1" customWidth="1"/>
    <col min="7138" max="7138" width="5" bestFit="1" customWidth="1"/>
    <col min="7139" max="7139" width="4" bestFit="1" customWidth="1"/>
    <col min="7140" max="7144" width="5" bestFit="1" customWidth="1"/>
    <col min="7145" max="7145" width="6" bestFit="1" customWidth="1"/>
    <col min="7146" max="7146" width="5" bestFit="1" customWidth="1"/>
    <col min="7147" max="7147" width="6" bestFit="1" customWidth="1"/>
    <col min="7148" max="7150" width="5" bestFit="1" customWidth="1"/>
    <col min="7151" max="7155" width="6" bestFit="1" customWidth="1"/>
    <col min="7156" max="7156" width="8.44140625" bestFit="1" customWidth="1"/>
    <col min="7157" max="7157" width="6" bestFit="1" customWidth="1"/>
    <col min="7158" max="7161" width="3" bestFit="1" customWidth="1"/>
    <col min="7162" max="7162" width="5" bestFit="1" customWidth="1"/>
    <col min="7163" max="7166" width="3" bestFit="1" customWidth="1"/>
    <col min="7167" max="7167" width="4" bestFit="1" customWidth="1"/>
    <col min="7168" max="7168" width="5" bestFit="1" customWidth="1"/>
    <col min="7169" max="7171" width="4" bestFit="1" customWidth="1"/>
    <col min="7172" max="7176" width="5" bestFit="1" customWidth="1"/>
    <col min="7177" max="7183" width="6" bestFit="1" customWidth="1"/>
    <col min="7184" max="7184" width="8.44140625" bestFit="1" customWidth="1"/>
    <col min="7185" max="7185" width="5.6640625" bestFit="1" customWidth="1"/>
    <col min="7186" max="7188" width="3" bestFit="1" customWidth="1"/>
    <col min="7189" max="7189" width="6" bestFit="1" customWidth="1"/>
    <col min="7190" max="7190" width="4" bestFit="1" customWidth="1"/>
    <col min="7191" max="7191" width="5" bestFit="1" customWidth="1"/>
    <col min="7192" max="7192" width="4" bestFit="1" customWidth="1"/>
    <col min="7193" max="7194" width="5" bestFit="1" customWidth="1"/>
    <col min="7195" max="7195" width="6" bestFit="1" customWidth="1"/>
    <col min="7196" max="7200" width="5" bestFit="1" customWidth="1"/>
    <col min="7201" max="7202" width="6" bestFit="1" customWidth="1"/>
    <col min="7203" max="7204" width="5" bestFit="1" customWidth="1"/>
    <col min="7205" max="7209" width="6" bestFit="1" customWidth="1"/>
    <col min="7210" max="7210" width="8.44140625" bestFit="1" customWidth="1"/>
    <col min="7211" max="7211" width="6.6640625" bestFit="1" customWidth="1"/>
    <col min="7212" max="7212" width="3" bestFit="1" customWidth="1"/>
    <col min="7213" max="7214" width="5" bestFit="1" customWidth="1"/>
    <col min="7215" max="7220" width="4" bestFit="1" customWidth="1"/>
    <col min="7221" max="7223" width="5" bestFit="1" customWidth="1"/>
    <col min="7224" max="7228" width="6" bestFit="1" customWidth="1"/>
    <col min="7229" max="7229" width="9.44140625" bestFit="1" customWidth="1"/>
    <col min="7230" max="7230" width="6.6640625" bestFit="1" customWidth="1"/>
    <col min="7231" max="7231" width="3" bestFit="1" customWidth="1"/>
    <col min="7232" max="7232" width="5" bestFit="1" customWidth="1"/>
    <col min="7233" max="7233" width="3" bestFit="1" customWidth="1"/>
    <col min="7234" max="7239" width="4" bestFit="1" customWidth="1"/>
    <col min="7240" max="7243" width="5" bestFit="1" customWidth="1"/>
    <col min="7244" max="7247" width="6" bestFit="1" customWidth="1"/>
    <col min="7248" max="7248" width="9.44140625" bestFit="1" customWidth="1"/>
    <col min="7249" max="7249" width="6.6640625" bestFit="1" customWidth="1"/>
    <col min="7250" max="7251" width="5" bestFit="1" customWidth="1"/>
    <col min="7252" max="7252" width="3" bestFit="1" customWidth="1"/>
    <col min="7253" max="7255" width="4" bestFit="1" customWidth="1"/>
    <col min="7256" max="7256" width="6" bestFit="1" customWidth="1"/>
    <col min="7257" max="7267" width="5" bestFit="1" customWidth="1"/>
    <col min="7268" max="7273" width="6" bestFit="1" customWidth="1"/>
    <col min="7274" max="7274" width="9.44140625" bestFit="1" customWidth="1"/>
    <col min="7275" max="7275" width="6.6640625" bestFit="1" customWidth="1"/>
    <col min="7276" max="7276" width="3" bestFit="1" customWidth="1"/>
    <col min="7277" max="7277" width="5" bestFit="1" customWidth="1"/>
    <col min="7278" max="7278" width="3" bestFit="1" customWidth="1"/>
    <col min="7279" max="7280" width="5" bestFit="1" customWidth="1"/>
    <col min="7281" max="7281" width="6" bestFit="1" customWidth="1"/>
    <col min="7282" max="7282" width="4" bestFit="1" customWidth="1"/>
    <col min="7283" max="7283" width="5" bestFit="1" customWidth="1"/>
    <col min="7284" max="7284" width="4" bestFit="1" customWidth="1"/>
    <col min="7285" max="7287" width="5" bestFit="1" customWidth="1"/>
    <col min="7288" max="7288" width="6" bestFit="1" customWidth="1"/>
    <col min="7289" max="7290" width="5" bestFit="1" customWidth="1"/>
    <col min="7291" max="7291" width="6" bestFit="1" customWidth="1"/>
    <col min="7292" max="7294" width="5" bestFit="1" customWidth="1"/>
    <col min="7295" max="7299" width="6" bestFit="1" customWidth="1"/>
    <col min="7300" max="7300" width="9.44140625" bestFit="1" customWidth="1"/>
    <col min="7301" max="7301" width="6.6640625" bestFit="1" customWidth="1"/>
    <col min="7302" max="7304" width="5" bestFit="1" customWidth="1"/>
    <col min="7305" max="7307" width="4" bestFit="1" customWidth="1"/>
    <col min="7308" max="7315" width="5" bestFit="1" customWidth="1"/>
    <col min="7316" max="7316" width="6" bestFit="1" customWidth="1"/>
    <col min="7317" max="7318" width="5" bestFit="1" customWidth="1"/>
    <col min="7319" max="7327" width="6" bestFit="1" customWidth="1"/>
    <col min="7328" max="7328" width="9.44140625" bestFit="1" customWidth="1"/>
    <col min="7329" max="7329" width="6.6640625" bestFit="1" customWidth="1"/>
    <col min="7330" max="7332" width="3" bestFit="1" customWidth="1"/>
    <col min="7333" max="7334" width="4" bestFit="1" customWidth="1"/>
    <col min="7335" max="7335" width="5" bestFit="1" customWidth="1"/>
    <col min="7336" max="7336" width="4" bestFit="1" customWidth="1"/>
    <col min="7337" max="7346" width="5" bestFit="1" customWidth="1"/>
    <col min="7347" max="7355" width="6" bestFit="1" customWidth="1"/>
    <col min="7356" max="7356" width="9.44140625" bestFit="1" customWidth="1"/>
    <col min="7357" max="7357" width="6.6640625" bestFit="1" customWidth="1"/>
    <col min="7358" max="7360" width="3" bestFit="1" customWidth="1"/>
    <col min="7361" max="7361" width="6" bestFit="1" customWidth="1"/>
    <col min="7362" max="7362" width="5" bestFit="1" customWidth="1"/>
    <col min="7363" max="7363" width="3" bestFit="1" customWidth="1"/>
    <col min="7364" max="7364" width="4" bestFit="1" customWidth="1"/>
    <col min="7365" max="7365" width="6" bestFit="1" customWidth="1"/>
    <col min="7366" max="7366" width="4" bestFit="1" customWidth="1"/>
    <col min="7367" max="7367" width="5" bestFit="1" customWidth="1"/>
    <col min="7368" max="7368" width="4" bestFit="1" customWidth="1"/>
    <col min="7369" max="7369" width="5" bestFit="1" customWidth="1"/>
    <col min="7370" max="7372" width="4" bestFit="1" customWidth="1"/>
    <col min="7373" max="7377" width="5" bestFit="1" customWidth="1"/>
    <col min="7378" max="7383" width="6" bestFit="1" customWidth="1"/>
    <col min="7384" max="7384" width="9.44140625" bestFit="1" customWidth="1"/>
    <col min="7385" max="7385" width="6.6640625" bestFit="1" customWidth="1"/>
    <col min="7386" max="7387" width="3" bestFit="1" customWidth="1"/>
    <col min="7388" max="7388" width="6" bestFit="1" customWidth="1"/>
    <col min="7389" max="7389" width="5" bestFit="1" customWidth="1"/>
    <col min="7390" max="7391" width="4" bestFit="1" customWidth="1"/>
    <col min="7392" max="7404" width="5" bestFit="1" customWidth="1"/>
    <col min="7405" max="7411" width="6" bestFit="1" customWidth="1"/>
    <col min="7412" max="7412" width="9.44140625" bestFit="1" customWidth="1"/>
    <col min="7413" max="7413" width="6.6640625" bestFit="1" customWidth="1"/>
    <col min="7414" max="7414" width="5" bestFit="1" customWidth="1"/>
    <col min="7415" max="7415" width="3" bestFit="1" customWidth="1"/>
    <col min="7416" max="7424" width="5" bestFit="1" customWidth="1"/>
    <col min="7425" max="7425" width="6" bestFit="1" customWidth="1"/>
    <col min="7426" max="7428" width="5" bestFit="1" customWidth="1"/>
    <col min="7429" max="7439" width="6" bestFit="1" customWidth="1"/>
    <col min="7440" max="7440" width="9.44140625" bestFit="1" customWidth="1"/>
    <col min="7441" max="7441" width="6.6640625" bestFit="1" customWidth="1"/>
    <col min="7442" max="7442" width="5" bestFit="1" customWidth="1"/>
    <col min="7443" max="7445" width="4" bestFit="1" customWidth="1"/>
    <col min="7446" max="7446" width="5" bestFit="1" customWidth="1"/>
    <col min="7447" max="7449" width="4" bestFit="1" customWidth="1"/>
    <col min="7450" max="7460" width="5" bestFit="1" customWidth="1"/>
    <col min="7461" max="7467" width="6" bestFit="1" customWidth="1"/>
    <col min="7468" max="7468" width="9.44140625" bestFit="1" customWidth="1"/>
    <col min="7469" max="7469" width="6.6640625" bestFit="1" customWidth="1"/>
    <col min="7470" max="7471" width="3" bestFit="1" customWidth="1"/>
    <col min="7472" max="7474" width="5" bestFit="1" customWidth="1"/>
    <col min="7475" max="7475" width="6" bestFit="1" customWidth="1"/>
    <col min="7476" max="7476" width="5" bestFit="1" customWidth="1"/>
    <col min="7477" max="7477" width="4" bestFit="1" customWidth="1"/>
    <col min="7478" max="7487" width="5" bestFit="1" customWidth="1"/>
    <col min="7488" max="7495" width="6" bestFit="1" customWidth="1"/>
    <col min="7496" max="7496" width="9.44140625" bestFit="1" customWidth="1"/>
    <col min="7497" max="7497" width="6.6640625" bestFit="1" customWidth="1"/>
    <col min="7498" max="7500" width="5" bestFit="1" customWidth="1"/>
    <col min="7501" max="7501" width="4" bestFit="1" customWidth="1"/>
    <col min="7502" max="7505" width="5" bestFit="1" customWidth="1"/>
    <col min="7506" max="7506" width="6" bestFit="1" customWidth="1"/>
    <col min="7507" max="7511" width="5" bestFit="1" customWidth="1"/>
    <col min="7512" max="7523" width="6" bestFit="1" customWidth="1"/>
    <col min="7524" max="7524" width="9.44140625" bestFit="1" customWidth="1"/>
    <col min="7525" max="7525" width="6.6640625" bestFit="1" customWidth="1"/>
    <col min="7526" max="7527" width="3" bestFit="1" customWidth="1"/>
    <col min="7528" max="7528" width="5" bestFit="1" customWidth="1"/>
    <col min="7529" max="7532" width="4" bestFit="1" customWidth="1"/>
    <col min="7533" max="7538" width="5" bestFit="1" customWidth="1"/>
    <col min="7539" max="7542" width="6" bestFit="1" customWidth="1"/>
    <col min="7543" max="7543" width="9.44140625" bestFit="1" customWidth="1"/>
    <col min="7544" max="7544" width="6.6640625" bestFit="1" customWidth="1"/>
    <col min="7545" max="7547" width="3" bestFit="1" customWidth="1"/>
    <col min="7548" max="7548" width="4" bestFit="1" customWidth="1"/>
    <col min="7549" max="7555" width="5" bestFit="1" customWidth="1"/>
    <col min="7556" max="7556" width="6" bestFit="1" customWidth="1"/>
    <col min="7557" max="7560" width="5" bestFit="1" customWidth="1"/>
    <col min="7561" max="7570" width="6" bestFit="1" customWidth="1"/>
    <col min="7571" max="7571" width="9.44140625" bestFit="1" customWidth="1"/>
    <col min="7572" max="7572" width="6.6640625" bestFit="1" customWidth="1"/>
    <col min="7573" max="7574" width="5" bestFit="1" customWidth="1"/>
    <col min="7575" max="7575" width="6" bestFit="1" customWidth="1"/>
    <col min="7576" max="7576" width="4" bestFit="1" customWidth="1"/>
    <col min="7577" max="7577" width="5" bestFit="1" customWidth="1"/>
    <col min="7578" max="7580" width="4" bestFit="1" customWidth="1"/>
    <col min="7581" max="7587" width="5" bestFit="1" customWidth="1"/>
    <col min="7588" max="7588" width="6" bestFit="1" customWidth="1"/>
    <col min="7589" max="7591" width="5" bestFit="1" customWidth="1"/>
    <col min="7592" max="7596" width="6" bestFit="1" customWidth="1"/>
    <col min="7597" max="7597" width="9.44140625" bestFit="1" customWidth="1"/>
    <col min="7598" max="7598" width="6.6640625" bestFit="1" customWidth="1"/>
    <col min="7599" max="7599" width="3" bestFit="1" customWidth="1"/>
    <col min="7600" max="7601" width="5" bestFit="1" customWidth="1"/>
    <col min="7602" max="7602" width="4" bestFit="1" customWidth="1"/>
    <col min="7603" max="7613" width="5" bestFit="1" customWidth="1"/>
    <col min="7614" max="7624" width="6" bestFit="1" customWidth="1"/>
    <col min="7625" max="7625" width="9.44140625" bestFit="1" customWidth="1"/>
    <col min="7626" max="7626" width="6.6640625" bestFit="1" customWidth="1"/>
    <col min="7627" max="7627" width="3" bestFit="1" customWidth="1"/>
    <col min="7628" max="7628" width="5" bestFit="1" customWidth="1"/>
    <col min="7629" max="7630" width="4" bestFit="1" customWidth="1"/>
    <col min="7631" max="7641" width="5" bestFit="1" customWidth="1"/>
    <col min="7642" max="7651" width="6" bestFit="1" customWidth="1"/>
    <col min="7652" max="7652" width="9.44140625" bestFit="1" customWidth="1"/>
    <col min="7653" max="7653" width="6.6640625" bestFit="1" customWidth="1"/>
    <col min="7654" max="7654" width="3" bestFit="1" customWidth="1"/>
    <col min="7655" max="7655" width="5" bestFit="1" customWidth="1"/>
    <col min="7656" max="7657" width="4" bestFit="1" customWidth="1"/>
    <col min="7658" max="7658" width="5" bestFit="1" customWidth="1"/>
    <col min="7659" max="7660" width="4" bestFit="1" customWidth="1"/>
    <col min="7661" max="7670" width="5" bestFit="1" customWidth="1"/>
    <col min="7671" max="7680" width="6" bestFit="1" customWidth="1"/>
    <col min="7681" max="7681" width="9.44140625" bestFit="1" customWidth="1"/>
    <col min="7682" max="7682" width="6.6640625" bestFit="1" customWidth="1"/>
    <col min="7683" max="7687" width="3" bestFit="1" customWidth="1"/>
    <col min="7688" max="7692" width="4" bestFit="1" customWidth="1"/>
    <col min="7693" max="7701" width="5" bestFit="1" customWidth="1"/>
    <col min="7702" max="7708" width="6" bestFit="1" customWidth="1"/>
    <col min="7709" max="7709" width="9.44140625" bestFit="1" customWidth="1"/>
    <col min="7710" max="7710" width="6.6640625" bestFit="1" customWidth="1"/>
    <col min="7711" max="7712" width="3" bestFit="1" customWidth="1"/>
    <col min="7713" max="7713" width="5" bestFit="1" customWidth="1"/>
    <col min="7714" max="7717" width="3" bestFit="1" customWidth="1"/>
    <col min="7718" max="7721" width="4" bestFit="1" customWidth="1"/>
    <col min="7722" max="7723" width="5" bestFit="1" customWidth="1"/>
    <col min="7724" max="7724" width="6" bestFit="1" customWidth="1"/>
    <col min="7725" max="7728" width="5" bestFit="1" customWidth="1"/>
    <col min="7729" max="7737" width="6" bestFit="1" customWidth="1"/>
    <col min="7738" max="7738" width="9.44140625" bestFit="1" customWidth="1"/>
    <col min="7739" max="7739" width="6.6640625" bestFit="1" customWidth="1"/>
    <col min="7740" max="7740" width="5" bestFit="1" customWidth="1"/>
    <col min="7741" max="7741" width="3" bestFit="1" customWidth="1"/>
    <col min="7742" max="7742" width="4" bestFit="1" customWidth="1"/>
    <col min="7743" max="7747" width="5" bestFit="1" customWidth="1"/>
    <col min="7748" max="7748" width="6" bestFit="1" customWidth="1"/>
    <col min="7749" max="7754" width="5" bestFit="1" customWidth="1"/>
    <col min="7755" max="7765" width="6" bestFit="1" customWidth="1"/>
    <col min="7766" max="7766" width="9.44140625" bestFit="1" customWidth="1"/>
    <col min="7767" max="7767" width="6.6640625" bestFit="1" customWidth="1"/>
    <col min="7768" max="7768" width="5" bestFit="1" customWidth="1"/>
    <col min="7769" max="7771" width="3" bestFit="1" customWidth="1"/>
    <col min="7772" max="7772" width="4" bestFit="1" customWidth="1"/>
    <col min="7773" max="7774" width="3" bestFit="1" customWidth="1"/>
    <col min="7775" max="7775" width="5" bestFit="1" customWidth="1"/>
    <col min="7776" max="7777" width="4" bestFit="1" customWidth="1"/>
    <col min="7778" max="7778" width="5" bestFit="1" customWidth="1"/>
    <col min="7779" max="7779" width="4" bestFit="1" customWidth="1"/>
    <col min="7780" max="7786" width="5" bestFit="1" customWidth="1"/>
    <col min="7787" max="7794" width="6" bestFit="1" customWidth="1"/>
    <col min="7795" max="7795" width="9.44140625" bestFit="1" customWidth="1"/>
    <col min="7796" max="7796" width="6.6640625" bestFit="1" customWidth="1"/>
    <col min="7797" max="7797" width="5" bestFit="1" customWidth="1"/>
    <col min="7798" max="7798" width="4" bestFit="1" customWidth="1"/>
    <col min="7799" max="7799" width="5" bestFit="1" customWidth="1"/>
    <col min="7800" max="7801" width="3" bestFit="1" customWidth="1"/>
    <col min="7802" max="7805" width="4" bestFit="1" customWidth="1"/>
    <col min="7806" max="7806" width="6" bestFit="1" customWidth="1"/>
    <col min="7807" max="7807" width="4" bestFit="1" customWidth="1"/>
    <col min="7808" max="7815" width="5" bestFit="1" customWidth="1"/>
    <col min="7816" max="7822" width="6" bestFit="1" customWidth="1"/>
    <col min="7823" max="7823" width="9.44140625" bestFit="1" customWidth="1"/>
    <col min="7824" max="7824" width="6.6640625" bestFit="1" customWidth="1"/>
    <col min="7825" max="7825" width="3" bestFit="1" customWidth="1"/>
    <col min="7826" max="7828" width="4" bestFit="1" customWidth="1"/>
    <col min="7829" max="7829" width="5" bestFit="1" customWidth="1"/>
    <col min="7830" max="7830" width="4" bestFit="1" customWidth="1"/>
    <col min="7831" max="7835" width="5" bestFit="1" customWidth="1"/>
    <col min="7836" max="7836" width="6" bestFit="1" customWidth="1"/>
    <col min="7837" max="7843" width="5" bestFit="1" customWidth="1"/>
    <col min="7844" max="7850" width="6" bestFit="1" customWidth="1"/>
    <col min="7851" max="7851" width="9.44140625" bestFit="1" customWidth="1"/>
    <col min="7852" max="7852" width="6.6640625" bestFit="1" customWidth="1"/>
    <col min="7853" max="7855" width="3" bestFit="1" customWidth="1"/>
    <col min="7856" max="7857" width="4" bestFit="1" customWidth="1"/>
    <col min="7858" max="7868" width="5" bestFit="1" customWidth="1"/>
    <col min="7869" max="7879" width="6" bestFit="1" customWidth="1"/>
    <col min="7880" max="7880" width="9.44140625" bestFit="1" customWidth="1"/>
    <col min="7881" max="7881" width="6.6640625" bestFit="1" customWidth="1"/>
    <col min="7882" max="7882" width="3" bestFit="1" customWidth="1"/>
    <col min="7883" max="7883" width="5" bestFit="1" customWidth="1"/>
    <col min="7884" max="7884" width="4" bestFit="1" customWidth="1"/>
    <col min="7885" max="7885" width="6" bestFit="1" customWidth="1"/>
    <col min="7886" max="7889" width="4" bestFit="1" customWidth="1"/>
    <col min="7890" max="7893" width="5" bestFit="1" customWidth="1"/>
    <col min="7894" max="7894" width="6" bestFit="1" customWidth="1"/>
    <col min="7895" max="7899" width="5" bestFit="1" customWidth="1"/>
    <col min="7900" max="7907" width="6" bestFit="1" customWidth="1"/>
    <col min="7908" max="7908" width="9.44140625" bestFit="1" customWidth="1"/>
    <col min="7909" max="7909" width="6.6640625" bestFit="1" customWidth="1"/>
    <col min="7910" max="7910" width="3" bestFit="1" customWidth="1"/>
    <col min="7911" max="7911" width="4" bestFit="1" customWidth="1"/>
    <col min="7912" max="7913" width="3" bestFit="1" customWidth="1"/>
    <col min="7914" max="7914" width="4" bestFit="1" customWidth="1"/>
    <col min="7915" max="7915" width="5" bestFit="1" customWidth="1"/>
    <col min="7916" max="7916" width="4" bestFit="1" customWidth="1"/>
    <col min="7917" max="7917" width="5" bestFit="1" customWidth="1"/>
    <col min="7918" max="7920" width="4" bestFit="1" customWidth="1"/>
    <col min="7921" max="7929" width="5" bestFit="1" customWidth="1"/>
    <col min="7930" max="7935" width="6" bestFit="1" customWidth="1"/>
    <col min="7936" max="7936" width="9.44140625" bestFit="1" customWidth="1"/>
    <col min="7937" max="7937" width="6.6640625" bestFit="1" customWidth="1"/>
    <col min="7938" max="7938" width="5" bestFit="1" customWidth="1"/>
    <col min="7939" max="7939" width="3" bestFit="1" customWidth="1"/>
    <col min="7940" max="7940" width="4" bestFit="1" customWidth="1"/>
    <col min="7941" max="7946" width="3" bestFit="1" customWidth="1"/>
    <col min="7947" max="7949" width="4" bestFit="1" customWidth="1"/>
    <col min="7950" max="7956" width="5" bestFit="1" customWidth="1"/>
    <col min="7957" max="7963" width="6" bestFit="1" customWidth="1"/>
    <col min="7964" max="7964" width="9.44140625" bestFit="1" customWidth="1"/>
    <col min="7965" max="7965" width="6.6640625" bestFit="1" customWidth="1"/>
    <col min="7966" max="7967" width="3" bestFit="1" customWidth="1"/>
    <col min="7968" max="7968" width="5" bestFit="1" customWidth="1"/>
    <col min="7969" max="7971" width="3" bestFit="1" customWidth="1"/>
    <col min="7972" max="7977" width="4" bestFit="1" customWidth="1"/>
    <col min="7978" max="7978" width="5" bestFit="1" customWidth="1"/>
    <col min="7979" max="7979" width="6" bestFit="1" customWidth="1"/>
    <col min="7980" max="7984" width="5" bestFit="1" customWidth="1"/>
    <col min="7985" max="7992" width="6" bestFit="1" customWidth="1"/>
    <col min="7993" max="7993" width="9.44140625" bestFit="1" customWidth="1"/>
    <col min="7994" max="7994" width="6.6640625" bestFit="1" customWidth="1"/>
    <col min="7995" max="7997" width="3" bestFit="1" customWidth="1"/>
    <col min="7998" max="7998" width="5" bestFit="1" customWidth="1"/>
    <col min="7999" max="8000" width="3" bestFit="1" customWidth="1"/>
    <col min="8001" max="8002" width="4" bestFit="1" customWidth="1"/>
    <col min="8003" max="8003" width="5" bestFit="1" customWidth="1"/>
    <col min="8004" max="8004" width="4" bestFit="1" customWidth="1"/>
    <col min="8005" max="8009" width="5" bestFit="1" customWidth="1"/>
    <col min="8010" max="8010" width="6" bestFit="1" customWidth="1"/>
    <col min="8011" max="8014" width="5" bestFit="1" customWidth="1"/>
    <col min="8015" max="8021" width="6" bestFit="1" customWidth="1"/>
    <col min="8022" max="8022" width="9.44140625" bestFit="1" customWidth="1"/>
    <col min="8023" max="8023" width="6.6640625" bestFit="1" customWidth="1"/>
    <col min="8024" max="8028" width="3" bestFit="1" customWidth="1"/>
    <col min="8029" max="8032" width="4" bestFit="1" customWidth="1"/>
    <col min="8033" max="8033" width="5" bestFit="1" customWidth="1"/>
    <col min="8034" max="8034" width="4" bestFit="1" customWidth="1"/>
    <col min="8035" max="8035" width="6" bestFit="1" customWidth="1"/>
    <col min="8036" max="8041" width="5" bestFit="1" customWidth="1"/>
    <col min="8042" max="8049" width="6" bestFit="1" customWidth="1"/>
    <col min="8050" max="8050" width="9.44140625" bestFit="1" customWidth="1"/>
    <col min="8051" max="8051" width="6.6640625" bestFit="1" customWidth="1"/>
    <col min="8052" max="8052" width="3" bestFit="1" customWidth="1"/>
    <col min="8053" max="8053" width="5" bestFit="1" customWidth="1"/>
    <col min="8054" max="8054" width="3" bestFit="1" customWidth="1"/>
    <col min="8055" max="8055" width="5" bestFit="1" customWidth="1"/>
    <col min="8056" max="8058" width="3" bestFit="1" customWidth="1"/>
    <col min="8059" max="8063" width="4" bestFit="1" customWidth="1"/>
    <col min="8064" max="8070" width="5" bestFit="1" customWidth="1"/>
    <col min="8071" max="8078" width="6" bestFit="1" customWidth="1"/>
    <col min="8079" max="8079" width="9.44140625" bestFit="1" customWidth="1"/>
    <col min="8080" max="8080" width="6.6640625" bestFit="1" customWidth="1"/>
    <col min="8081" max="8086" width="3" bestFit="1" customWidth="1"/>
    <col min="8087" max="8089" width="4" bestFit="1" customWidth="1"/>
    <col min="8090" max="8090" width="5" bestFit="1" customWidth="1"/>
    <col min="8091" max="8091" width="6" bestFit="1" customWidth="1"/>
    <col min="8092" max="8095" width="5" bestFit="1" customWidth="1"/>
    <col min="8096" max="8096" width="6" bestFit="1" customWidth="1"/>
    <col min="8097" max="8099" width="5" bestFit="1" customWidth="1"/>
    <col min="8100" max="8107" width="6" bestFit="1" customWidth="1"/>
    <col min="8108" max="8108" width="9.44140625" bestFit="1" customWidth="1"/>
    <col min="8109" max="8109" width="6.6640625" bestFit="1" customWidth="1"/>
    <col min="8110" max="8115" width="3" bestFit="1" customWidth="1"/>
    <col min="8116" max="8116" width="4" bestFit="1" customWidth="1"/>
    <col min="8117" max="8118" width="5" bestFit="1" customWidth="1"/>
    <col min="8119" max="8122" width="4" bestFit="1" customWidth="1"/>
    <col min="8123" max="8128" width="5" bestFit="1" customWidth="1"/>
    <col min="8129" max="8136" width="6" bestFit="1" customWidth="1"/>
    <col min="8137" max="8137" width="9.44140625" bestFit="1" customWidth="1"/>
    <col min="8138" max="8138" width="6.6640625" bestFit="1" customWidth="1"/>
    <col min="8139" max="8140" width="5" bestFit="1" customWidth="1"/>
    <col min="8141" max="8141" width="3" bestFit="1" customWidth="1"/>
    <col min="8142" max="8143" width="4" bestFit="1" customWidth="1"/>
    <col min="8144" max="8144" width="5" bestFit="1" customWidth="1"/>
    <col min="8145" max="8145" width="6" bestFit="1" customWidth="1"/>
    <col min="8146" max="8146" width="4" bestFit="1" customWidth="1"/>
    <col min="8147" max="8147" width="5" bestFit="1" customWidth="1"/>
    <col min="8148" max="8148" width="4" bestFit="1" customWidth="1"/>
    <col min="8149" max="8157" width="5" bestFit="1" customWidth="1"/>
    <col min="8158" max="8165" width="6" bestFit="1" customWidth="1"/>
    <col min="8166" max="8166" width="9.44140625" bestFit="1" customWidth="1"/>
    <col min="8167" max="8167" width="6.6640625" bestFit="1" customWidth="1"/>
    <col min="8168" max="8168" width="3" bestFit="1" customWidth="1"/>
    <col min="8169" max="8169" width="5" bestFit="1" customWidth="1"/>
    <col min="8170" max="8170" width="3" bestFit="1" customWidth="1"/>
    <col min="8171" max="8175" width="4" bestFit="1" customWidth="1"/>
    <col min="8176" max="8186" width="5" bestFit="1" customWidth="1"/>
    <col min="8187" max="8194" width="6" bestFit="1" customWidth="1"/>
    <col min="8195" max="8195" width="9.44140625" bestFit="1" customWidth="1"/>
    <col min="8196" max="8196" width="6.6640625" bestFit="1" customWidth="1"/>
    <col min="8197" max="8198" width="3" bestFit="1" customWidth="1"/>
    <col min="8199" max="8199" width="5" bestFit="1" customWidth="1"/>
    <col min="8200" max="8203" width="3" bestFit="1" customWidth="1"/>
    <col min="8204" max="8211" width="4" bestFit="1" customWidth="1"/>
    <col min="8212" max="8217" width="5" bestFit="1" customWidth="1"/>
    <col min="8218" max="8222" width="6" bestFit="1" customWidth="1"/>
    <col min="8223" max="8223" width="9.44140625" bestFit="1" customWidth="1"/>
    <col min="8224" max="8224" width="6.6640625" bestFit="1" customWidth="1"/>
    <col min="8225" max="8226" width="4" bestFit="1" customWidth="1"/>
    <col min="8227" max="8233" width="3" bestFit="1" customWidth="1"/>
    <col min="8234" max="8236" width="4" bestFit="1" customWidth="1"/>
    <col min="8237" max="8244" width="5" bestFit="1" customWidth="1"/>
    <col min="8245" max="8250" width="6" bestFit="1" customWidth="1"/>
    <col min="8251" max="8251" width="9.44140625" bestFit="1" customWidth="1"/>
    <col min="8252" max="8252" width="6.6640625" bestFit="1" customWidth="1"/>
    <col min="8253" max="8253" width="6" bestFit="1" customWidth="1"/>
    <col min="8254" max="8254" width="3" bestFit="1" customWidth="1"/>
    <col min="8255" max="8255" width="5" bestFit="1" customWidth="1"/>
    <col min="8256" max="8260" width="3" bestFit="1" customWidth="1"/>
    <col min="8261" max="8266" width="4" bestFit="1" customWidth="1"/>
    <col min="8267" max="8273" width="5" bestFit="1" customWidth="1"/>
    <col min="8274" max="8278" width="6" bestFit="1" customWidth="1"/>
    <col min="8279" max="8279" width="9.44140625" bestFit="1" customWidth="1"/>
    <col min="8280" max="8280" width="6.6640625" bestFit="1" customWidth="1"/>
    <col min="8281" max="8281" width="3" bestFit="1" customWidth="1"/>
    <col min="8282" max="8282" width="5" bestFit="1" customWidth="1"/>
    <col min="8283" max="8283" width="3" bestFit="1" customWidth="1"/>
    <col min="8284" max="8284" width="6" bestFit="1" customWidth="1"/>
    <col min="8285" max="8287" width="3" bestFit="1" customWidth="1"/>
    <col min="8288" max="8294" width="4" bestFit="1" customWidth="1"/>
    <col min="8295" max="8300" width="5" bestFit="1" customWidth="1"/>
    <col min="8301" max="8306" width="6" bestFit="1" customWidth="1"/>
    <col min="8307" max="8307" width="9.44140625" bestFit="1" customWidth="1"/>
    <col min="8308" max="8308" width="6.6640625" bestFit="1" customWidth="1"/>
    <col min="8309" max="8309" width="4" bestFit="1" customWidth="1"/>
    <col min="8310" max="8312" width="3" bestFit="1" customWidth="1"/>
    <col min="8313" max="8313" width="4" bestFit="1" customWidth="1"/>
    <col min="8314" max="8315" width="3" bestFit="1" customWidth="1"/>
    <col min="8316" max="8316" width="6" bestFit="1" customWidth="1"/>
    <col min="8317" max="8317" width="4" bestFit="1" customWidth="1"/>
    <col min="8318" max="8319" width="5" bestFit="1" customWidth="1"/>
    <col min="8320" max="8322" width="4" bestFit="1" customWidth="1"/>
    <col min="8323" max="8323" width="5" bestFit="1" customWidth="1"/>
    <col min="8324" max="8324" width="6" bestFit="1" customWidth="1"/>
    <col min="8325" max="8329" width="5" bestFit="1" customWidth="1"/>
    <col min="8330" max="8333" width="6" bestFit="1" customWidth="1"/>
    <col min="8334" max="8334" width="9.44140625" bestFit="1" customWidth="1"/>
    <col min="8335" max="8335" width="6.6640625" bestFit="1" customWidth="1"/>
    <col min="8336" max="8337" width="3" bestFit="1" customWidth="1"/>
    <col min="8338" max="8342" width="5" bestFit="1" customWidth="1"/>
    <col min="8343" max="8344" width="6" bestFit="1" customWidth="1"/>
    <col min="8345" max="8345" width="9.44140625" bestFit="1" customWidth="1"/>
    <col min="8346" max="8346" width="6.6640625" bestFit="1" customWidth="1"/>
    <col min="8347" max="8349" width="3" bestFit="1" customWidth="1"/>
    <col min="8350" max="8351" width="4" bestFit="1" customWidth="1"/>
    <col min="8352" max="8354" width="5" bestFit="1" customWidth="1"/>
    <col min="8355" max="8355" width="6" bestFit="1" customWidth="1"/>
    <col min="8356" max="8356" width="9.44140625" bestFit="1" customWidth="1"/>
    <col min="8357" max="8357" width="6.6640625" bestFit="1" customWidth="1"/>
    <col min="8358" max="8358" width="5" bestFit="1" customWidth="1"/>
    <col min="8359" max="8360" width="3" bestFit="1" customWidth="1"/>
    <col min="8361" max="8361" width="4" bestFit="1" customWidth="1"/>
    <col min="8362" max="8364" width="5" bestFit="1" customWidth="1"/>
    <col min="8365" max="8366" width="6" bestFit="1" customWidth="1"/>
    <col min="8367" max="8367" width="9.44140625" bestFit="1" customWidth="1"/>
    <col min="8368" max="8368" width="6.6640625" bestFit="1" customWidth="1"/>
    <col min="8369" max="8371" width="3" bestFit="1" customWidth="1"/>
    <col min="8372" max="8373" width="4" bestFit="1" customWidth="1"/>
    <col min="8374" max="8376" width="5" bestFit="1" customWidth="1"/>
    <col min="8377" max="8377" width="6" bestFit="1" customWidth="1"/>
    <col min="8378" max="8378" width="9.44140625" bestFit="1" customWidth="1"/>
    <col min="8379" max="8379" width="6.6640625" bestFit="1" customWidth="1"/>
    <col min="8380" max="8381" width="3" bestFit="1" customWidth="1"/>
    <col min="8382" max="8382" width="4" bestFit="1" customWidth="1"/>
    <col min="8383" max="8385" width="5" bestFit="1" customWidth="1"/>
    <col min="8386" max="8388" width="6" bestFit="1" customWidth="1"/>
    <col min="8389" max="8389" width="9.44140625" bestFit="1" customWidth="1"/>
    <col min="8390" max="8390" width="7.6640625" bestFit="1" customWidth="1"/>
    <col min="8391" max="8391" width="5" bestFit="1" customWidth="1"/>
    <col min="8392" max="8392" width="3" bestFit="1" customWidth="1"/>
    <col min="8393" max="8393" width="4" bestFit="1" customWidth="1"/>
    <col min="8394" max="8397" width="5" bestFit="1" customWidth="1"/>
    <col min="8398" max="8399" width="6" bestFit="1" customWidth="1"/>
    <col min="8400" max="8400" width="10.44140625" bestFit="1" customWidth="1"/>
    <col min="8401" max="8401" width="7.6640625" bestFit="1" customWidth="1"/>
    <col min="8402" max="8404" width="3" bestFit="1" customWidth="1"/>
    <col min="8405" max="8408" width="5" bestFit="1" customWidth="1"/>
    <col min="8409" max="8410" width="6" bestFit="1" customWidth="1"/>
    <col min="8411" max="8411" width="10.44140625" bestFit="1" customWidth="1"/>
    <col min="8412" max="8412" width="7.6640625" bestFit="1" customWidth="1"/>
    <col min="8413" max="8414" width="3" bestFit="1" customWidth="1"/>
    <col min="8415" max="8419" width="5" bestFit="1" customWidth="1"/>
    <col min="8420" max="8421" width="6" bestFit="1" customWidth="1"/>
    <col min="8422" max="8422" width="10.44140625" bestFit="1" customWidth="1"/>
    <col min="8423" max="8423" width="7.6640625" bestFit="1" customWidth="1"/>
    <col min="8424" max="8426" width="5" bestFit="1" customWidth="1"/>
    <col min="8427" max="8427" width="4" bestFit="1" customWidth="1"/>
    <col min="8428" max="8431" width="5" bestFit="1" customWidth="1"/>
    <col min="8432" max="8432" width="6" bestFit="1" customWidth="1"/>
    <col min="8433" max="8433" width="10.44140625" bestFit="1" customWidth="1"/>
    <col min="8434" max="8434" width="7.6640625" bestFit="1" customWidth="1"/>
    <col min="8435" max="8435" width="5" bestFit="1" customWidth="1"/>
    <col min="8436" max="8436" width="3" bestFit="1" customWidth="1"/>
    <col min="8437" max="8437" width="4" bestFit="1" customWidth="1"/>
    <col min="8438" max="8442" width="5" bestFit="1" customWidth="1"/>
    <col min="8443" max="8443" width="6" bestFit="1" customWidth="1"/>
    <col min="8444" max="8444" width="10.44140625" bestFit="1" customWidth="1"/>
    <col min="8445" max="8445" width="7.6640625" bestFit="1" customWidth="1"/>
    <col min="8446" max="8446" width="4" bestFit="1" customWidth="1"/>
    <col min="8447" max="8453" width="5" bestFit="1" customWidth="1"/>
    <col min="8454" max="8454" width="6" bestFit="1" customWidth="1"/>
    <col min="8455" max="8455" width="10.44140625" bestFit="1" customWidth="1"/>
    <col min="8456" max="8456" width="7.6640625" bestFit="1" customWidth="1"/>
    <col min="8457" max="8462" width="5" bestFit="1" customWidth="1"/>
    <col min="8463" max="8465" width="6" bestFit="1" customWidth="1"/>
    <col min="8466" max="8466" width="10.44140625" bestFit="1" customWidth="1"/>
    <col min="8467" max="8467" width="7.6640625" bestFit="1" customWidth="1"/>
    <col min="8468" max="8469" width="4" bestFit="1" customWidth="1"/>
    <col min="8470" max="8472" width="5" bestFit="1" customWidth="1"/>
    <col min="8473" max="8475" width="6" bestFit="1" customWidth="1"/>
    <col min="8476" max="8476" width="10.44140625" bestFit="1" customWidth="1"/>
    <col min="8477" max="8477" width="7.6640625" bestFit="1" customWidth="1"/>
    <col min="8478" max="8478" width="4" bestFit="1" customWidth="1"/>
    <col min="8479" max="8483" width="5" bestFit="1" customWidth="1"/>
    <col min="8484" max="8486" width="6" bestFit="1" customWidth="1"/>
    <col min="8487" max="8487" width="10.44140625" bestFit="1" customWidth="1"/>
    <col min="8488" max="8488" width="7.6640625" bestFit="1" customWidth="1"/>
    <col min="8489" max="8490" width="3" bestFit="1" customWidth="1"/>
    <col min="8491" max="8491" width="5" bestFit="1" customWidth="1"/>
    <col min="8492" max="8494" width="4" bestFit="1" customWidth="1"/>
    <col min="8495" max="8500" width="5" bestFit="1" customWidth="1"/>
    <col min="8501" max="8505" width="6" bestFit="1" customWidth="1"/>
    <col min="8506" max="8506" width="10.44140625" bestFit="1" customWidth="1"/>
    <col min="8507" max="8507" width="7.6640625" bestFit="1" customWidth="1"/>
    <col min="8508" max="8510" width="3" bestFit="1" customWidth="1"/>
    <col min="8511" max="8511" width="4" bestFit="1" customWidth="1"/>
    <col min="8512" max="8513" width="5" bestFit="1" customWidth="1"/>
    <col min="8514" max="8514" width="4" bestFit="1" customWidth="1"/>
    <col min="8515" max="8518" width="5" bestFit="1" customWidth="1"/>
    <col min="8519" max="8524" width="6" bestFit="1" customWidth="1"/>
    <col min="8525" max="8525" width="10.44140625" bestFit="1" customWidth="1"/>
    <col min="8526" max="8526" width="7.6640625" bestFit="1" customWidth="1"/>
    <col min="8527" max="8527" width="4" bestFit="1" customWidth="1"/>
    <col min="8528" max="8531" width="5" bestFit="1" customWidth="1"/>
    <col min="8532" max="8534" width="6" bestFit="1" customWidth="1"/>
    <col min="8535" max="8535" width="10.44140625" bestFit="1" customWidth="1"/>
    <col min="8536" max="8536" width="7.6640625" bestFit="1" customWidth="1"/>
    <col min="8537" max="8538" width="3" bestFit="1" customWidth="1"/>
    <col min="8539" max="8539" width="5" bestFit="1" customWidth="1"/>
    <col min="8540" max="8540" width="3" bestFit="1" customWidth="1"/>
    <col min="8541" max="8541" width="4" bestFit="1" customWidth="1"/>
    <col min="8542" max="8548" width="5" bestFit="1" customWidth="1"/>
    <col min="8549" max="8553" width="6" bestFit="1" customWidth="1"/>
    <col min="8554" max="8554" width="10.44140625" bestFit="1" customWidth="1"/>
    <col min="8555" max="8555" width="7.6640625" bestFit="1" customWidth="1"/>
    <col min="8556" max="8556" width="3" bestFit="1" customWidth="1"/>
    <col min="8557" max="8557" width="5" bestFit="1" customWidth="1"/>
    <col min="8558" max="8559" width="3" bestFit="1" customWidth="1"/>
    <col min="8560" max="8562" width="4" bestFit="1" customWidth="1"/>
    <col min="8563" max="8563" width="5" bestFit="1" customWidth="1"/>
    <col min="8564" max="8565" width="4" bestFit="1" customWidth="1"/>
    <col min="8566" max="8571" width="5" bestFit="1" customWidth="1"/>
    <col min="8572" max="8580" width="6" bestFit="1" customWidth="1"/>
    <col min="8581" max="8581" width="10.44140625" bestFit="1" customWidth="1"/>
    <col min="8582" max="8582" width="7.6640625" bestFit="1" customWidth="1"/>
    <col min="8583" max="8583" width="5" bestFit="1" customWidth="1"/>
    <col min="8584" max="8586" width="3" bestFit="1" customWidth="1"/>
    <col min="8587" max="8590" width="4" bestFit="1" customWidth="1"/>
    <col min="8591" max="8592" width="5" bestFit="1" customWidth="1"/>
    <col min="8593" max="8598" width="6" bestFit="1" customWidth="1"/>
    <col min="8599" max="8599" width="10.44140625" bestFit="1" customWidth="1"/>
    <col min="8600" max="8600" width="7.6640625" bestFit="1" customWidth="1"/>
    <col min="8601" max="8603" width="3" bestFit="1" customWidth="1"/>
    <col min="8604" max="8605" width="4" bestFit="1" customWidth="1"/>
    <col min="8606" max="8610" width="5" bestFit="1" customWidth="1"/>
    <col min="8611" max="8616" width="6" bestFit="1" customWidth="1"/>
    <col min="8617" max="8617" width="10.44140625" bestFit="1" customWidth="1"/>
    <col min="8618" max="8618" width="7.6640625" bestFit="1" customWidth="1"/>
    <col min="8619" max="8621" width="3" bestFit="1" customWidth="1"/>
    <col min="8622" max="8624" width="5" bestFit="1" customWidth="1"/>
    <col min="8625" max="8627" width="6" bestFit="1" customWidth="1"/>
    <col min="8628" max="8628" width="10.44140625" bestFit="1" customWidth="1"/>
    <col min="8629" max="8629" width="7.6640625" bestFit="1" customWidth="1"/>
    <col min="8630" max="8632" width="3" bestFit="1" customWidth="1"/>
    <col min="8633" max="8635" width="5" bestFit="1" customWidth="1"/>
    <col min="8636" max="8638" width="6" bestFit="1" customWidth="1"/>
    <col min="8639" max="8639" width="10.44140625" bestFit="1" customWidth="1"/>
    <col min="8640" max="8640" width="7.6640625" bestFit="1" customWidth="1"/>
    <col min="8641" max="8642" width="3" bestFit="1" customWidth="1"/>
    <col min="8643" max="8643" width="4" bestFit="1" customWidth="1"/>
    <col min="8644" max="8644" width="5" bestFit="1" customWidth="1"/>
    <col min="8645" max="8645" width="4" bestFit="1" customWidth="1"/>
    <col min="8646" max="8647" width="5" bestFit="1" customWidth="1"/>
    <col min="8648" max="8649" width="6" bestFit="1" customWidth="1"/>
    <col min="8650" max="8650" width="10.44140625" bestFit="1" customWidth="1"/>
    <col min="8651" max="8651" width="7.6640625" bestFit="1" customWidth="1"/>
    <col min="8652" max="8653" width="3" bestFit="1" customWidth="1"/>
    <col min="8654" max="8654" width="4" bestFit="1" customWidth="1"/>
    <col min="8655" max="8656" width="5" bestFit="1" customWidth="1"/>
    <col min="8657" max="8660" width="6" bestFit="1" customWidth="1"/>
    <col min="8661" max="8661" width="10.44140625" bestFit="1" customWidth="1"/>
    <col min="8662" max="8662" width="7.6640625" bestFit="1" customWidth="1"/>
    <col min="8663" max="8663" width="3" bestFit="1" customWidth="1"/>
    <col min="8664" max="8664" width="4" bestFit="1" customWidth="1"/>
    <col min="8665" max="8667" width="5" bestFit="1" customWidth="1"/>
    <col min="8668" max="8671" width="6" bestFit="1" customWidth="1"/>
    <col min="8672" max="8672" width="10.44140625" bestFit="1" customWidth="1"/>
    <col min="8673" max="8673" width="7.6640625" bestFit="1" customWidth="1"/>
    <col min="8674" max="8674" width="3" bestFit="1" customWidth="1"/>
    <col min="8675" max="8675" width="4" bestFit="1" customWidth="1"/>
    <col min="8676" max="8677" width="5" bestFit="1" customWidth="1"/>
    <col min="8678" max="8682" width="6" bestFit="1" customWidth="1"/>
    <col min="8683" max="8683" width="10.44140625" bestFit="1" customWidth="1"/>
    <col min="8684" max="8684" width="7.6640625" bestFit="1" customWidth="1"/>
    <col min="8685" max="8685" width="5" bestFit="1" customWidth="1"/>
    <col min="8686" max="8686" width="4" bestFit="1" customWidth="1"/>
    <col min="8687" max="8688" width="5" bestFit="1" customWidth="1"/>
    <col min="8689" max="8693" width="6" bestFit="1" customWidth="1"/>
    <col min="8694" max="8694" width="10.44140625" bestFit="1" customWidth="1"/>
    <col min="8695" max="8695" width="7.6640625" bestFit="1" customWidth="1"/>
    <col min="8696" max="8697" width="4" bestFit="1" customWidth="1"/>
    <col min="8698" max="8702" width="5" bestFit="1" customWidth="1"/>
    <col min="8703" max="8704" width="6" bestFit="1" customWidth="1"/>
    <col min="8705" max="8705" width="10.44140625" bestFit="1" customWidth="1"/>
    <col min="8706" max="8706" width="7.6640625" bestFit="1" customWidth="1"/>
    <col min="8707" max="8708" width="4" bestFit="1" customWidth="1"/>
    <col min="8709" max="8713" width="5" bestFit="1" customWidth="1"/>
    <col min="8714" max="8715" width="6" bestFit="1" customWidth="1"/>
    <col min="8716" max="8716" width="10.44140625" bestFit="1" customWidth="1"/>
    <col min="8717" max="8717" width="7.6640625" bestFit="1" customWidth="1"/>
    <col min="8718" max="8718" width="5" bestFit="1" customWidth="1"/>
    <col min="8719" max="8720" width="4" bestFit="1" customWidth="1"/>
    <col min="8721" max="8724" width="5" bestFit="1" customWidth="1"/>
    <col min="8725" max="8726" width="6" bestFit="1" customWidth="1"/>
    <col min="8727" max="8727" width="10.44140625" bestFit="1" customWidth="1"/>
    <col min="8728" max="8728" width="7.6640625" bestFit="1" customWidth="1"/>
    <col min="8729" max="8729" width="4" bestFit="1" customWidth="1"/>
    <col min="8730" max="8730" width="5" bestFit="1" customWidth="1"/>
    <col min="8731" max="8731" width="4" bestFit="1" customWidth="1"/>
    <col min="8732" max="8733" width="5" bestFit="1" customWidth="1"/>
    <col min="8734" max="8737" width="6" bestFit="1" customWidth="1"/>
    <col min="8738" max="8738" width="10.44140625" bestFit="1" customWidth="1"/>
    <col min="8739" max="8739" width="7.6640625" bestFit="1" customWidth="1"/>
    <col min="8740" max="8741" width="4" bestFit="1" customWidth="1"/>
    <col min="8742" max="8746" width="5" bestFit="1" customWidth="1"/>
    <col min="8747" max="8748" width="6" bestFit="1" customWidth="1"/>
    <col min="8749" max="8749" width="10.44140625" bestFit="1" customWidth="1"/>
    <col min="8750" max="8750" width="7.6640625" bestFit="1" customWidth="1"/>
    <col min="8751" max="8751" width="3" bestFit="1" customWidth="1"/>
    <col min="8752" max="8757" width="5" bestFit="1" customWidth="1"/>
    <col min="8758" max="8759" width="6" bestFit="1" customWidth="1"/>
    <col min="8760" max="8760" width="10.44140625" bestFit="1" customWidth="1"/>
    <col min="8761" max="8761" width="7.6640625" bestFit="1" customWidth="1"/>
    <col min="8762" max="8762" width="3" bestFit="1" customWidth="1"/>
    <col min="8763" max="8763" width="4" bestFit="1" customWidth="1"/>
    <col min="8764" max="8768" width="5" bestFit="1" customWidth="1"/>
    <col min="8769" max="8770" width="6" bestFit="1" customWidth="1"/>
    <col min="8771" max="8771" width="10.44140625" bestFit="1" customWidth="1"/>
    <col min="8772" max="8772" width="7.6640625" bestFit="1" customWidth="1"/>
    <col min="8773" max="8773" width="4" bestFit="1" customWidth="1"/>
    <col min="8774" max="8780" width="5" bestFit="1" customWidth="1"/>
    <col min="8781" max="8781" width="6" bestFit="1" customWidth="1"/>
    <col min="8782" max="8782" width="10.44140625" bestFit="1" customWidth="1"/>
    <col min="8783" max="8783" width="7.6640625" bestFit="1" customWidth="1"/>
    <col min="8784" max="8785" width="5" bestFit="1" customWidth="1"/>
    <col min="8786" max="8788" width="3" bestFit="1" customWidth="1"/>
    <col min="8789" max="8791" width="4" bestFit="1" customWidth="1"/>
    <col min="8792" max="8792" width="5" bestFit="1" customWidth="1"/>
    <col min="8793" max="8794" width="4" bestFit="1" customWidth="1"/>
    <col min="8795" max="8798" width="5" bestFit="1" customWidth="1"/>
    <col min="8799" max="8799" width="6" bestFit="1" customWidth="1"/>
    <col min="8800" max="8801" width="5" bestFit="1" customWidth="1"/>
    <col min="8802" max="8809" width="6" bestFit="1" customWidth="1"/>
    <col min="8810" max="8810" width="10.44140625" bestFit="1" customWidth="1"/>
    <col min="8811" max="8811" width="7.6640625" bestFit="1" customWidth="1"/>
    <col min="8812" max="8813" width="3" bestFit="1" customWidth="1"/>
    <col min="8814" max="8814" width="4" bestFit="1" customWidth="1"/>
    <col min="8815" max="8817" width="5" bestFit="1" customWidth="1"/>
    <col min="8818" max="8820" width="6" bestFit="1" customWidth="1"/>
    <col min="8821" max="8821" width="10.44140625" bestFit="1" customWidth="1"/>
    <col min="8822" max="8822" width="8.6640625" bestFit="1" customWidth="1"/>
    <col min="8823" max="8823" width="3" bestFit="1" customWidth="1"/>
    <col min="8824" max="8824" width="5" bestFit="1" customWidth="1"/>
    <col min="8825" max="8826" width="4" bestFit="1" customWidth="1"/>
    <col min="8827" max="8833" width="5" bestFit="1" customWidth="1"/>
    <col min="8834" max="8839" width="6" bestFit="1" customWidth="1"/>
    <col min="8840" max="8840" width="11.44140625" bestFit="1" customWidth="1"/>
    <col min="8841" max="8841" width="8.6640625" bestFit="1" customWidth="1"/>
    <col min="8842" max="8842" width="4" bestFit="1" customWidth="1"/>
    <col min="8843" max="8845" width="5" bestFit="1" customWidth="1"/>
    <col min="8846" max="8850" width="6" bestFit="1" customWidth="1"/>
    <col min="8851" max="8851" width="11.44140625" bestFit="1" customWidth="1"/>
    <col min="8852" max="8852" width="8.6640625" bestFit="1" customWidth="1"/>
    <col min="8853" max="8858" width="5" bestFit="1" customWidth="1"/>
    <col min="8859" max="8861" width="6" bestFit="1" customWidth="1"/>
    <col min="8862" max="8862" width="11.44140625" bestFit="1" customWidth="1"/>
    <col min="8863" max="8863" width="8.6640625" bestFit="1" customWidth="1"/>
    <col min="8864" max="8864" width="5" bestFit="1" customWidth="1"/>
    <col min="8865" max="8866" width="3" bestFit="1" customWidth="1"/>
    <col min="8867" max="8867" width="4" bestFit="1" customWidth="1"/>
    <col min="8868" max="8874" width="5" bestFit="1" customWidth="1"/>
    <col min="8875" max="8880" width="6" bestFit="1" customWidth="1"/>
    <col min="8881" max="8881" width="11.44140625" bestFit="1" customWidth="1"/>
    <col min="8882" max="8882" width="11.6640625" bestFit="1" customWidth="1"/>
    <col min="8883" max="8883" width="5" bestFit="1" customWidth="1"/>
    <col min="8884" max="8884" width="4" bestFit="1" customWidth="1"/>
    <col min="8885" max="8887" width="5" bestFit="1" customWidth="1"/>
    <col min="8888" max="8891" width="6" bestFit="1" customWidth="1"/>
    <col min="8892" max="8892" width="14.109375" bestFit="1" customWidth="1"/>
    <col min="8893" max="8893" width="11.6640625" bestFit="1" customWidth="1"/>
    <col min="8894" max="8894" width="4" bestFit="1" customWidth="1"/>
    <col min="8895" max="8898" width="5" bestFit="1" customWidth="1"/>
    <col min="8899" max="8902" width="6" bestFit="1" customWidth="1"/>
    <col min="8903" max="8903" width="14.109375" bestFit="1" customWidth="1"/>
    <col min="8904" max="8904" width="8.6640625" bestFit="1" customWidth="1"/>
    <col min="8905" max="8905" width="4" bestFit="1" customWidth="1"/>
    <col min="8906" max="8911" width="5" bestFit="1" customWidth="1"/>
    <col min="8912" max="8913" width="6" bestFit="1" customWidth="1"/>
    <col min="8914" max="8914" width="11.44140625" bestFit="1" customWidth="1"/>
    <col min="8915" max="8915" width="8.6640625" bestFit="1" customWidth="1"/>
    <col min="8916" max="8918" width="3" bestFit="1" customWidth="1"/>
    <col min="8919" max="8921" width="5" bestFit="1" customWidth="1"/>
    <col min="8922" max="8924" width="6" bestFit="1" customWidth="1"/>
    <col min="8925" max="8925" width="11.44140625" bestFit="1" customWidth="1"/>
    <col min="8926" max="8926" width="8.6640625" bestFit="1" customWidth="1"/>
    <col min="8927" max="8927" width="5" bestFit="1" customWidth="1"/>
    <col min="8928" max="8928" width="3" bestFit="1" customWidth="1"/>
    <col min="8929" max="8929" width="4" bestFit="1" customWidth="1"/>
    <col min="8930" max="8932" width="5" bestFit="1" customWidth="1"/>
    <col min="8933" max="8935" width="6" bestFit="1" customWidth="1"/>
    <col min="8936" max="8936" width="11.44140625" bestFit="1" customWidth="1"/>
    <col min="8937" max="8937" width="8.6640625" bestFit="1" customWidth="1"/>
    <col min="8938" max="8938" width="5" bestFit="1" customWidth="1"/>
    <col min="8939" max="8940" width="4" bestFit="1" customWidth="1"/>
    <col min="8941" max="8944" width="5" bestFit="1" customWidth="1"/>
    <col min="8945" max="8946" width="6" bestFit="1" customWidth="1"/>
    <col min="8947" max="8947" width="11.44140625" bestFit="1" customWidth="1"/>
    <col min="8948" max="8948" width="8.6640625" bestFit="1" customWidth="1"/>
    <col min="8949" max="8949" width="4" bestFit="1" customWidth="1"/>
    <col min="8950" max="8955" width="5" bestFit="1" customWidth="1"/>
    <col min="8956" max="8957" width="6" bestFit="1" customWidth="1"/>
    <col min="8958" max="8958" width="11.44140625" bestFit="1" customWidth="1"/>
    <col min="8959" max="8959" width="8.6640625" bestFit="1" customWidth="1"/>
    <col min="8960" max="8964" width="5" bestFit="1" customWidth="1"/>
    <col min="8965" max="8967" width="6" bestFit="1" customWidth="1"/>
    <col min="8968" max="8968" width="11.44140625" bestFit="1" customWidth="1"/>
    <col min="8969" max="8969" width="8.6640625" bestFit="1" customWidth="1"/>
    <col min="8970" max="8971" width="3" bestFit="1" customWidth="1"/>
    <col min="8972" max="8972" width="5" bestFit="1" customWidth="1"/>
    <col min="8973" max="8974" width="4" bestFit="1" customWidth="1"/>
    <col min="8975" max="8980" width="5" bestFit="1" customWidth="1"/>
    <col min="8981" max="8985" width="6" bestFit="1" customWidth="1"/>
    <col min="8986" max="8986" width="11.44140625" bestFit="1" customWidth="1"/>
    <col min="8987" max="8987" width="8.6640625" bestFit="1" customWidth="1"/>
    <col min="8988" max="8989" width="3" bestFit="1" customWidth="1"/>
    <col min="8990" max="8990" width="5" bestFit="1" customWidth="1"/>
    <col min="8991" max="8992" width="4" bestFit="1" customWidth="1"/>
    <col min="8993" max="8998" width="5" bestFit="1" customWidth="1"/>
    <col min="8999" max="9004" width="6" bestFit="1" customWidth="1"/>
    <col min="9005" max="9005" width="11.44140625" bestFit="1" customWidth="1"/>
    <col min="9006" max="9006" width="8.6640625" bestFit="1" customWidth="1"/>
    <col min="9007" max="9007" width="5" bestFit="1" customWidth="1"/>
    <col min="9008" max="9008" width="3" bestFit="1" customWidth="1"/>
    <col min="9009" max="9010" width="5" bestFit="1" customWidth="1"/>
    <col min="9011" max="9012" width="4" bestFit="1" customWidth="1"/>
    <col min="9013" max="9013" width="5" bestFit="1" customWidth="1"/>
    <col min="9014" max="9017" width="4" bestFit="1" customWidth="1"/>
    <col min="9018" max="9024" width="5" bestFit="1" customWidth="1"/>
    <col min="9025" max="9032" width="6" bestFit="1" customWidth="1"/>
    <col min="9033" max="9033" width="11.44140625" bestFit="1" customWidth="1"/>
    <col min="9034" max="9034" width="8.6640625" bestFit="1" customWidth="1"/>
    <col min="9035" max="9035" width="4" bestFit="1" customWidth="1"/>
    <col min="9036" max="9041" width="5" bestFit="1" customWidth="1"/>
    <col min="9042" max="9043" width="6" bestFit="1" customWidth="1"/>
    <col min="9044" max="9044" width="11.44140625" bestFit="1" customWidth="1"/>
    <col min="9045" max="9045" width="8.6640625" bestFit="1" customWidth="1"/>
    <col min="9046" max="9049" width="5" bestFit="1" customWidth="1"/>
    <col min="9050" max="9053" width="6" bestFit="1" customWidth="1"/>
    <col min="9054" max="9054" width="11.44140625" bestFit="1" customWidth="1"/>
    <col min="9055" max="9055" width="8.6640625" bestFit="1" customWidth="1"/>
    <col min="9056" max="9060" width="5" bestFit="1" customWidth="1"/>
    <col min="9061" max="9064" width="6" bestFit="1" customWidth="1"/>
    <col min="9065" max="9065" width="11.44140625" bestFit="1" customWidth="1"/>
    <col min="9066" max="9066" width="8.6640625" bestFit="1" customWidth="1"/>
    <col min="9067" max="9067" width="3" bestFit="1" customWidth="1"/>
    <col min="9068" max="9068" width="4" bestFit="1" customWidth="1"/>
    <col min="9069" max="9073" width="5" bestFit="1" customWidth="1"/>
    <col min="9074" max="9075" width="6" bestFit="1" customWidth="1"/>
    <col min="9076" max="9076" width="11.44140625" bestFit="1" customWidth="1"/>
    <col min="9077" max="9077" width="8.6640625" bestFit="1" customWidth="1"/>
    <col min="9078" max="9078" width="3" bestFit="1" customWidth="1"/>
    <col min="9079" max="9079" width="4" bestFit="1" customWidth="1"/>
    <col min="9080" max="9083" width="5" bestFit="1" customWidth="1"/>
    <col min="9084" max="9086" width="6" bestFit="1" customWidth="1"/>
    <col min="9087" max="9087" width="11.44140625" bestFit="1" customWidth="1"/>
    <col min="9088" max="9088" width="8.6640625" bestFit="1" customWidth="1"/>
    <col min="9089" max="9089" width="3" bestFit="1" customWidth="1"/>
    <col min="9090" max="9090" width="4" bestFit="1" customWidth="1"/>
    <col min="9091" max="9095" width="5" bestFit="1" customWidth="1"/>
    <col min="9096" max="9097" width="6" bestFit="1" customWidth="1"/>
    <col min="9098" max="9098" width="11.44140625" bestFit="1" customWidth="1"/>
    <col min="9099" max="9099" width="8.6640625" bestFit="1" customWidth="1"/>
    <col min="9100" max="9101" width="3" bestFit="1" customWidth="1"/>
    <col min="9102" max="9102" width="4" bestFit="1" customWidth="1"/>
    <col min="9103" max="9106" width="5" bestFit="1" customWidth="1"/>
    <col min="9107" max="9108" width="6" bestFit="1" customWidth="1"/>
    <col min="9109" max="9109" width="11.44140625" bestFit="1" customWidth="1"/>
    <col min="9110" max="9110" width="8.6640625" bestFit="1" customWidth="1"/>
    <col min="9111" max="9112" width="5" bestFit="1" customWidth="1"/>
    <col min="9113" max="9113" width="6" bestFit="1" customWidth="1"/>
    <col min="9114" max="9114" width="3" bestFit="1" customWidth="1"/>
    <col min="9115" max="9115" width="4" bestFit="1" customWidth="1"/>
    <col min="9116" max="9116" width="5" bestFit="1" customWidth="1"/>
    <col min="9117" max="9118" width="4" bestFit="1" customWidth="1"/>
    <col min="9119" max="9119" width="5" bestFit="1" customWidth="1"/>
    <col min="9120" max="9121" width="4" bestFit="1" customWidth="1"/>
    <col min="9122" max="9128" width="5" bestFit="1" customWidth="1"/>
    <col min="9129" max="9134" width="6" bestFit="1" customWidth="1"/>
    <col min="9135" max="9135" width="11.44140625" bestFit="1" customWidth="1"/>
    <col min="9136" max="9136" width="8.6640625" bestFit="1" customWidth="1"/>
    <col min="9137" max="9137" width="3" bestFit="1" customWidth="1"/>
    <col min="9138" max="9138" width="4" bestFit="1" customWidth="1"/>
    <col min="9139" max="9143" width="5" bestFit="1" customWidth="1"/>
    <col min="9144" max="9145" width="6" bestFit="1" customWidth="1"/>
    <col min="9146" max="9146" width="11.44140625" bestFit="1" customWidth="1"/>
    <col min="9147" max="9147" width="18" bestFit="1" customWidth="1"/>
    <col min="9148" max="9148" width="22.44140625" bestFit="1" customWidth="1"/>
    <col min="9149" max="9149" width="19.44140625" bestFit="1" customWidth="1"/>
  </cols>
  <sheetData>
    <row r="3" spans="1:15" x14ac:dyDescent="0.3">
      <c r="A3" s="1" t="s">
        <v>69</v>
      </c>
      <c r="B3" s="1" t="s">
        <v>72</v>
      </c>
    </row>
    <row r="4" spans="1:15" x14ac:dyDescent="0.3">
      <c r="A4" s="1" t="s">
        <v>70</v>
      </c>
      <c r="B4" t="s">
        <v>33</v>
      </c>
      <c r="C4" t="s">
        <v>42</v>
      </c>
      <c r="D4" t="s">
        <v>30</v>
      </c>
      <c r="E4" t="s">
        <v>43</v>
      </c>
      <c r="F4" t="s">
        <v>28</v>
      </c>
      <c r="G4" t="s">
        <v>15</v>
      </c>
      <c r="H4" t="s">
        <v>29</v>
      </c>
      <c r="I4" t="s">
        <v>49</v>
      </c>
      <c r="J4" t="s">
        <v>35</v>
      </c>
      <c r="K4" t="s">
        <v>40</v>
      </c>
      <c r="L4" t="s">
        <v>39</v>
      </c>
      <c r="M4" t="s">
        <v>32</v>
      </c>
      <c r="N4" t="s">
        <v>37</v>
      </c>
      <c r="O4" t="s">
        <v>71</v>
      </c>
    </row>
    <row r="5" spans="1:15" x14ac:dyDescent="0.3">
      <c r="A5" s="2">
        <v>2004</v>
      </c>
      <c r="B5">
        <v>327769</v>
      </c>
      <c r="C5">
        <v>679662</v>
      </c>
      <c r="D5">
        <v>119768</v>
      </c>
      <c r="E5">
        <v>91767</v>
      </c>
      <c r="F5">
        <v>29705</v>
      </c>
      <c r="G5">
        <v>14218694.890000001</v>
      </c>
      <c r="H5">
        <v>515764</v>
      </c>
      <c r="I5">
        <v>186351</v>
      </c>
      <c r="J5">
        <v>2289996</v>
      </c>
      <c r="K5">
        <v>408284</v>
      </c>
      <c r="L5">
        <v>703583</v>
      </c>
      <c r="M5">
        <v>309810</v>
      </c>
      <c r="N5">
        <v>1043448</v>
      </c>
      <c r="O5">
        <v>20924601.890000001</v>
      </c>
    </row>
    <row r="6" spans="1:15" x14ac:dyDescent="0.3">
      <c r="A6" s="2">
        <v>2005</v>
      </c>
      <c r="B6">
        <v>24393</v>
      </c>
      <c r="C6">
        <v>12167</v>
      </c>
      <c r="D6">
        <v>19666</v>
      </c>
      <c r="E6">
        <v>12356</v>
      </c>
      <c r="F6">
        <v>6848</v>
      </c>
      <c r="G6">
        <v>2084148</v>
      </c>
      <c r="H6">
        <v>16559</v>
      </c>
      <c r="J6">
        <v>325504</v>
      </c>
      <c r="K6">
        <v>23612</v>
      </c>
      <c r="L6">
        <v>15257</v>
      </c>
      <c r="M6">
        <v>7920</v>
      </c>
      <c r="N6">
        <v>84374</v>
      </c>
      <c r="O6">
        <v>2632804</v>
      </c>
    </row>
    <row r="7" spans="1:15" x14ac:dyDescent="0.3">
      <c r="A7" s="2">
        <v>2006</v>
      </c>
      <c r="B7">
        <v>27763</v>
      </c>
      <c r="C7">
        <v>326090</v>
      </c>
      <c r="D7">
        <v>149758</v>
      </c>
      <c r="E7">
        <v>11558</v>
      </c>
      <c r="F7">
        <v>13</v>
      </c>
      <c r="G7">
        <v>1894914</v>
      </c>
      <c r="H7">
        <v>14511</v>
      </c>
      <c r="J7">
        <v>305322</v>
      </c>
      <c r="K7">
        <v>14136</v>
      </c>
      <c r="L7">
        <v>15278</v>
      </c>
      <c r="M7">
        <v>12654</v>
      </c>
      <c r="N7">
        <v>43487</v>
      </c>
      <c r="O7">
        <v>2815484</v>
      </c>
    </row>
    <row r="8" spans="1:15" x14ac:dyDescent="0.3">
      <c r="A8" s="2">
        <v>2007</v>
      </c>
      <c r="B8">
        <v>25322</v>
      </c>
      <c r="C8">
        <v>10266</v>
      </c>
      <c r="D8">
        <v>95814</v>
      </c>
      <c r="E8">
        <v>11766</v>
      </c>
      <c r="F8">
        <v>21</v>
      </c>
      <c r="G8">
        <v>2340762</v>
      </c>
      <c r="H8">
        <v>14799</v>
      </c>
      <c r="J8">
        <v>299872</v>
      </c>
      <c r="K8">
        <v>14668</v>
      </c>
      <c r="L8">
        <v>14174</v>
      </c>
      <c r="M8">
        <v>10975</v>
      </c>
      <c r="N8">
        <v>19441</v>
      </c>
      <c r="O8">
        <v>2857880</v>
      </c>
    </row>
    <row r="9" spans="1:15" x14ac:dyDescent="0.3">
      <c r="A9" s="2">
        <v>2008</v>
      </c>
      <c r="B9">
        <v>144708</v>
      </c>
      <c r="C9">
        <v>7005</v>
      </c>
      <c r="D9">
        <v>48055</v>
      </c>
      <c r="E9">
        <v>18200</v>
      </c>
      <c r="F9">
        <v>2101</v>
      </c>
      <c r="G9">
        <v>2127743</v>
      </c>
      <c r="H9">
        <v>11410</v>
      </c>
      <c r="I9">
        <v>61126</v>
      </c>
      <c r="J9">
        <v>382836</v>
      </c>
      <c r="K9">
        <v>330395</v>
      </c>
      <c r="L9">
        <v>9268</v>
      </c>
      <c r="M9">
        <v>141902</v>
      </c>
      <c r="N9">
        <v>327891</v>
      </c>
      <c r="O9">
        <v>3612640</v>
      </c>
    </row>
    <row r="10" spans="1:15" x14ac:dyDescent="0.3">
      <c r="A10" s="2">
        <v>2009</v>
      </c>
      <c r="B10">
        <v>94415</v>
      </c>
      <c r="C10">
        <v>7125</v>
      </c>
      <c r="D10">
        <v>140741</v>
      </c>
      <c r="E10">
        <v>16002</v>
      </c>
      <c r="F10">
        <v>2810</v>
      </c>
      <c r="G10">
        <v>1851507.8399999999</v>
      </c>
      <c r="H10">
        <v>17379</v>
      </c>
      <c r="I10">
        <v>623687</v>
      </c>
      <c r="J10">
        <v>37878</v>
      </c>
      <c r="K10">
        <v>20206</v>
      </c>
      <c r="L10">
        <v>321301</v>
      </c>
      <c r="M10">
        <v>88265</v>
      </c>
      <c r="N10">
        <v>11679</v>
      </c>
      <c r="O10">
        <v>3232995.84</v>
      </c>
    </row>
    <row r="11" spans="1:15" x14ac:dyDescent="0.3">
      <c r="A11" s="2">
        <v>2010</v>
      </c>
      <c r="B11">
        <v>67981</v>
      </c>
      <c r="C11">
        <v>5544</v>
      </c>
      <c r="D11">
        <v>87079</v>
      </c>
      <c r="E11">
        <v>16930</v>
      </c>
      <c r="F11">
        <v>2930</v>
      </c>
      <c r="G11">
        <v>1912557</v>
      </c>
      <c r="H11">
        <v>141234</v>
      </c>
      <c r="I11">
        <v>63504</v>
      </c>
      <c r="J11">
        <v>205694</v>
      </c>
      <c r="K11">
        <v>19935</v>
      </c>
      <c r="L11">
        <v>9211</v>
      </c>
      <c r="M11">
        <v>134986</v>
      </c>
      <c r="N11">
        <v>447576</v>
      </c>
      <c r="O11">
        <v>3115161</v>
      </c>
    </row>
    <row r="12" spans="1:15" x14ac:dyDescent="0.3">
      <c r="A12" s="2">
        <v>2011</v>
      </c>
      <c r="B12">
        <v>135106</v>
      </c>
      <c r="C12">
        <v>7077</v>
      </c>
      <c r="D12">
        <v>162896</v>
      </c>
      <c r="E12">
        <v>16911</v>
      </c>
      <c r="F12">
        <v>6427</v>
      </c>
      <c r="G12">
        <v>1942980.68</v>
      </c>
      <c r="H12">
        <v>214446</v>
      </c>
      <c r="I12">
        <v>63931</v>
      </c>
      <c r="J12">
        <v>248396</v>
      </c>
      <c r="K12">
        <v>19735</v>
      </c>
      <c r="L12">
        <v>10541</v>
      </c>
      <c r="M12">
        <v>91194</v>
      </c>
      <c r="N12">
        <v>87729</v>
      </c>
      <c r="O12">
        <v>3007369.6799999997</v>
      </c>
    </row>
    <row r="13" spans="1:15" x14ac:dyDescent="0.3">
      <c r="A13" s="2">
        <v>2012</v>
      </c>
      <c r="B13">
        <v>84353</v>
      </c>
      <c r="C13">
        <v>7250</v>
      </c>
      <c r="D13">
        <v>83764</v>
      </c>
      <c r="E13">
        <v>18113</v>
      </c>
      <c r="F13">
        <v>3531</v>
      </c>
      <c r="G13">
        <v>1206246.07</v>
      </c>
      <c r="H13">
        <v>121097</v>
      </c>
      <c r="I13">
        <v>73730</v>
      </c>
      <c r="J13">
        <v>207004</v>
      </c>
      <c r="K13">
        <v>26671</v>
      </c>
      <c r="L13">
        <v>8929</v>
      </c>
      <c r="M13">
        <v>166611</v>
      </c>
      <c r="N13">
        <v>354045</v>
      </c>
      <c r="O13">
        <v>2361344.0700000003</v>
      </c>
    </row>
    <row r="14" spans="1:15" x14ac:dyDescent="0.3">
      <c r="A14" s="2">
        <v>2013</v>
      </c>
      <c r="B14">
        <v>41925</v>
      </c>
      <c r="C14">
        <v>12245</v>
      </c>
      <c r="D14">
        <v>49478</v>
      </c>
      <c r="E14">
        <v>20403</v>
      </c>
      <c r="F14">
        <v>5588</v>
      </c>
      <c r="G14">
        <v>3244323.6799999997</v>
      </c>
      <c r="H14">
        <v>172492</v>
      </c>
      <c r="J14">
        <v>392138</v>
      </c>
      <c r="K14">
        <v>31290</v>
      </c>
      <c r="L14">
        <v>9850</v>
      </c>
      <c r="M14">
        <v>253389</v>
      </c>
      <c r="N14">
        <v>332133</v>
      </c>
      <c r="O14">
        <v>4565254.68</v>
      </c>
    </row>
    <row r="15" spans="1:15" x14ac:dyDescent="0.3">
      <c r="A15" s="2">
        <v>2014</v>
      </c>
      <c r="B15">
        <v>21292</v>
      </c>
      <c r="C15">
        <v>323278</v>
      </c>
      <c r="D15">
        <v>17435</v>
      </c>
      <c r="E15">
        <v>23586</v>
      </c>
      <c r="F15">
        <v>2064</v>
      </c>
      <c r="G15">
        <v>3483488.98</v>
      </c>
      <c r="H15">
        <v>223356</v>
      </c>
      <c r="I15">
        <v>3830</v>
      </c>
      <c r="J15">
        <v>572848</v>
      </c>
      <c r="K15">
        <v>28456</v>
      </c>
      <c r="L15">
        <v>11915</v>
      </c>
      <c r="M15">
        <v>125713</v>
      </c>
      <c r="N15">
        <v>331164</v>
      </c>
      <c r="O15">
        <v>5168425.9800000004</v>
      </c>
    </row>
    <row r="16" spans="1:15" x14ac:dyDescent="0.3">
      <c r="A16" s="2">
        <v>2015</v>
      </c>
      <c r="B16">
        <v>17853</v>
      </c>
      <c r="C16">
        <v>10869</v>
      </c>
      <c r="D16">
        <v>20840</v>
      </c>
      <c r="E16">
        <v>29676</v>
      </c>
      <c r="F16">
        <v>4375</v>
      </c>
      <c r="G16">
        <v>3193419.84</v>
      </c>
      <c r="H16">
        <v>116739</v>
      </c>
      <c r="I16">
        <v>4</v>
      </c>
      <c r="J16">
        <v>390014</v>
      </c>
      <c r="K16">
        <v>24191</v>
      </c>
      <c r="L16">
        <v>20499</v>
      </c>
      <c r="M16">
        <v>45440</v>
      </c>
      <c r="N16">
        <v>141939</v>
      </c>
      <c r="O16">
        <v>4015858.84</v>
      </c>
    </row>
    <row r="17" spans="1:16" x14ac:dyDescent="0.3">
      <c r="A17" s="2">
        <v>2016</v>
      </c>
      <c r="B17">
        <v>99974</v>
      </c>
      <c r="C17">
        <v>328316</v>
      </c>
      <c r="D17">
        <v>28039</v>
      </c>
      <c r="E17">
        <v>28355</v>
      </c>
      <c r="F17">
        <v>6944</v>
      </c>
      <c r="G17">
        <v>3716787.98</v>
      </c>
      <c r="H17">
        <v>175950</v>
      </c>
      <c r="I17">
        <v>9</v>
      </c>
      <c r="J17">
        <v>407414</v>
      </c>
      <c r="K17">
        <v>26202</v>
      </c>
      <c r="L17">
        <v>17939</v>
      </c>
      <c r="M17">
        <v>16950</v>
      </c>
      <c r="N17">
        <v>117925</v>
      </c>
      <c r="O17">
        <v>4970804.9800000004</v>
      </c>
    </row>
    <row r="18" spans="1:16" x14ac:dyDescent="0.3">
      <c r="A18" s="2">
        <v>2017</v>
      </c>
      <c r="B18">
        <v>186955</v>
      </c>
      <c r="C18">
        <v>323761</v>
      </c>
      <c r="D18">
        <v>33539</v>
      </c>
      <c r="E18">
        <v>38280</v>
      </c>
      <c r="F18">
        <v>3805</v>
      </c>
      <c r="G18">
        <v>3105607.0700000003</v>
      </c>
      <c r="H18">
        <v>95334</v>
      </c>
      <c r="I18">
        <v>12</v>
      </c>
      <c r="J18">
        <v>725925</v>
      </c>
      <c r="K18">
        <v>26513</v>
      </c>
      <c r="L18">
        <v>14234</v>
      </c>
      <c r="M18">
        <v>145266</v>
      </c>
      <c r="N18">
        <v>47990</v>
      </c>
      <c r="O18">
        <v>4747221.07</v>
      </c>
    </row>
    <row r="19" spans="1:16" x14ac:dyDescent="0.3">
      <c r="A19" s="2">
        <v>2018</v>
      </c>
      <c r="B19">
        <v>21149</v>
      </c>
      <c r="C19">
        <v>321219</v>
      </c>
      <c r="D19">
        <v>38224</v>
      </c>
      <c r="E19">
        <v>25356</v>
      </c>
      <c r="F19">
        <v>8613</v>
      </c>
      <c r="G19">
        <v>3318503.07</v>
      </c>
      <c r="H19">
        <v>44411</v>
      </c>
      <c r="J19">
        <v>502109</v>
      </c>
      <c r="K19">
        <v>336304</v>
      </c>
      <c r="L19">
        <v>327220</v>
      </c>
      <c r="M19">
        <v>94768</v>
      </c>
      <c r="N19">
        <v>23824</v>
      </c>
      <c r="O19">
        <v>5061700.07</v>
      </c>
    </row>
    <row r="20" spans="1:16" x14ac:dyDescent="0.3">
      <c r="A20" s="2">
        <v>2019</v>
      </c>
      <c r="B20">
        <v>5373</v>
      </c>
      <c r="C20">
        <v>187</v>
      </c>
      <c r="D20">
        <v>2810</v>
      </c>
      <c r="E20">
        <v>121</v>
      </c>
      <c r="G20">
        <v>238054</v>
      </c>
      <c r="J20">
        <v>109748</v>
      </c>
      <c r="M20">
        <v>4142</v>
      </c>
      <c r="N20">
        <v>1868</v>
      </c>
      <c r="O20">
        <v>362303</v>
      </c>
    </row>
    <row r="21" spans="1:16" x14ac:dyDescent="0.3">
      <c r="A21" s="2" t="s">
        <v>71</v>
      </c>
      <c r="B21">
        <v>1326331</v>
      </c>
      <c r="C21">
        <v>2382061</v>
      </c>
      <c r="D21">
        <v>1097906</v>
      </c>
      <c r="E21">
        <v>379380</v>
      </c>
      <c r="F21">
        <v>85775</v>
      </c>
      <c r="G21">
        <v>49879738.100000001</v>
      </c>
      <c r="H21">
        <v>1895481</v>
      </c>
      <c r="I21">
        <v>1076184</v>
      </c>
      <c r="J21">
        <v>7402698</v>
      </c>
      <c r="K21">
        <v>1350598</v>
      </c>
      <c r="L21">
        <v>1509199</v>
      </c>
      <c r="M21">
        <v>1649985</v>
      </c>
      <c r="N21">
        <v>3416513</v>
      </c>
      <c r="O21">
        <v>73451849.099999994</v>
      </c>
    </row>
    <row r="24" spans="1:16" x14ac:dyDescent="0.3">
      <c r="B24" s="1" t="s">
        <v>73</v>
      </c>
      <c r="C24" s="1" t="s">
        <v>72</v>
      </c>
    </row>
    <row r="25" spans="1:16" x14ac:dyDescent="0.3">
      <c r="B25" s="1" t="s">
        <v>70</v>
      </c>
      <c r="C25" t="s">
        <v>33</v>
      </c>
      <c r="D25" t="s">
        <v>42</v>
      </c>
      <c r="E25" t="s">
        <v>30</v>
      </c>
      <c r="F25" t="s">
        <v>43</v>
      </c>
      <c r="G25" t="s">
        <v>28</v>
      </c>
      <c r="H25" t="s">
        <v>15</v>
      </c>
      <c r="I25" t="s">
        <v>29</v>
      </c>
      <c r="J25" t="s">
        <v>49</v>
      </c>
      <c r="K25" t="s">
        <v>35</v>
      </c>
      <c r="L25" t="s">
        <v>40</v>
      </c>
      <c r="M25" t="s">
        <v>39</v>
      </c>
      <c r="N25" t="s">
        <v>32</v>
      </c>
      <c r="O25" t="s">
        <v>37</v>
      </c>
      <c r="P25" t="s">
        <v>71</v>
      </c>
    </row>
    <row r="26" spans="1:16" x14ac:dyDescent="0.3">
      <c r="B26" s="2" t="s">
        <v>67</v>
      </c>
      <c r="L26">
        <v>1102094</v>
      </c>
      <c r="M26">
        <v>485244</v>
      </c>
      <c r="P26">
        <v>1587338</v>
      </c>
    </row>
    <row r="27" spans="1:16" x14ac:dyDescent="0.3">
      <c r="B27" s="2" t="s">
        <v>53</v>
      </c>
      <c r="C27">
        <v>1727452</v>
      </c>
      <c r="D27">
        <v>1985712</v>
      </c>
      <c r="F27">
        <v>886707</v>
      </c>
      <c r="G27">
        <v>45186</v>
      </c>
      <c r="H27">
        <v>12757415</v>
      </c>
      <c r="J27">
        <v>907982</v>
      </c>
      <c r="K27">
        <v>2840498</v>
      </c>
      <c r="L27">
        <v>2583618</v>
      </c>
      <c r="M27">
        <v>2226419</v>
      </c>
      <c r="N27">
        <v>810056</v>
      </c>
      <c r="O27">
        <v>2381187</v>
      </c>
      <c r="P27">
        <v>29152232</v>
      </c>
    </row>
    <row r="28" spans="1:16" x14ac:dyDescent="0.3">
      <c r="B28" s="2" t="s">
        <v>68</v>
      </c>
      <c r="D28">
        <v>1116632</v>
      </c>
      <c r="F28">
        <v>1245042</v>
      </c>
      <c r="H28">
        <v>766886</v>
      </c>
      <c r="L28">
        <v>315880</v>
      </c>
      <c r="P28">
        <v>3444440</v>
      </c>
    </row>
    <row r="29" spans="1:16" x14ac:dyDescent="0.3">
      <c r="B29" s="2" t="s">
        <v>23</v>
      </c>
      <c r="C29">
        <v>1367996</v>
      </c>
      <c r="D29">
        <v>1116632</v>
      </c>
      <c r="E29">
        <v>2105275</v>
      </c>
      <c r="F29">
        <v>1844766</v>
      </c>
      <c r="G29">
        <v>1736325</v>
      </c>
      <c r="H29">
        <v>23298243</v>
      </c>
      <c r="I29">
        <v>2681321</v>
      </c>
      <c r="J29">
        <v>324397</v>
      </c>
      <c r="K29">
        <v>4280763</v>
      </c>
      <c r="L29">
        <v>1417974</v>
      </c>
      <c r="M29">
        <v>1488845</v>
      </c>
      <c r="N29">
        <v>1010056</v>
      </c>
      <c r="O29">
        <v>1213778</v>
      </c>
      <c r="P29">
        <v>43886371</v>
      </c>
    </row>
    <row r="30" spans="1:16" x14ac:dyDescent="0.3">
      <c r="B30" s="2" t="s">
        <v>34</v>
      </c>
      <c r="C30">
        <v>2801894</v>
      </c>
      <c r="D30">
        <v>3597448</v>
      </c>
      <c r="E30">
        <v>2380575</v>
      </c>
      <c r="F30">
        <v>3422780</v>
      </c>
      <c r="G30">
        <v>1691139</v>
      </c>
      <c r="H30">
        <v>30373766</v>
      </c>
      <c r="I30">
        <v>1631059</v>
      </c>
      <c r="J30">
        <v>234779</v>
      </c>
      <c r="K30">
        <v>6661379</v>
      </c>
      <c r="L30">
        <v>4253922</v>
      </c>
      <c r="M30">
        <v>5468002</v>
      </c>
      <c r="N30">
        <v>2668906</v>
      </c>
      <c r="O30">
        <v>3687703</v>
      </c>
      <c r="P30">
        <v>68873352</v>
      </c>
    </row>
    <row r="31" spans="1:16" x14ac:dyDescent="0.3">
      <c r="B31" s="2" t="s">
        <v>18</v>
      </c>
      <c r="C31">
        <v>1367996</v>
      </c>
      <c r="D31">
        <v>1116632</v>
      </c>
      <c r="E31">
        <v>25609</v>
      </c>
      <c r="F31">
        <v>285862</v>
      </c>
      <c r="G31">
        <v>578775</v>
      </c>
      <c r="H31">
        <v>8781757</v>
      </c>
      <c r="K31">
        <v>2524894</v>
      </c>
      <c r="L31">
        <v>2012807</v>
      </c>
      <c r="M31">
        <v>1488845</v>
      </c>
      <c r="N31">
        <v>1379639</v>
      </c>
      <c r="O31">
        <v>365143</v>
      </c>
      <c r="P31">
        <v>19927959</v>
      </c>
    </row>
    <row r="32" spans="1:16" x14ac:dyDescent="0.3">
      <c r="B32" s="2" t="s">
        <v>17</v>
      </c>
      <c r="C32">
        <v>2092808</v>
      </c>
      <c r="E32">
        <v>2633980</v>
      </c>
      <c r="H32">
        <v>8106511</v>
      </c>
      <c r="I32">
        <v>868443</v>
      </c>
      <c r="K32">
        <v>1725371</v>
      </c>
      <c r="N32">
        <v>1334453</v>
      </c>
      <c r="P32">
        <v>16761566</v>
      </c>
    </row>
    <row r="33" spans="2:16" x14ac:dyDescent="0.3">
      <c r="B33" s="2" t="s">
        <v>31</v>
      </c>
      <c r="C33">
        <v>2310634</v>
      </c>
      <c r="E33">
        <v>1576175</v>
      </c>
      <c r="G33">
        <v>578775</v>
      </c>
      <c r="H33">
        <v>7239718</v>
      </c>
      <c r="I33">
        <v>2052547</v>
      </c>
      <c r="K33">
        <v>1750365</v>
      </c>
      <c r="M33">
        <v>751271</v>
      </c>
      <c r="N33">
        <v>3193303</v>
      </c>
      <c r="O33">
        <v>1213778</v>
      </c>
      <c r="P33">
        <v>20666566</v>
      </c>
    </row>
    <row r="34" spans="2:16" x14ac:dyDescent="0.3">
      <c r="B34" s="2" t="s">
        <v>12</v>
      </c>
      <c r="D34">
        <v>1116632</v>
      </c>
      <c r="E34">
        <v>1804594</v>
      </c>
      <c r="F34">
        <v>2802430</v>
      </c>
      <c r="G34">
        <v>1157550</v>
      </c>
      <c r="H34">
        <v>14436109</v>
      </c>
      <c r="I34">
        <v>3417833</v>
      </c>
      <c r="K34">
        <v>1405836</v>
      </c>
      <c r="L34">
        <v>1417974</v>
      </c>
      <c r="M34">
        <v>487378</v>
      </c>
      <c r="N34">
        <v>1334453</v>
      </c>
      <c r="P34">
        <v>29380789</v>
      </c>
    </row>
    <row r="35" spans="2:16" x14ac:dyDescent="0.3">
      <c r="B35" s="2" t="s">
        <v>46</v>
      </c>
      <c r="C35">
        <v>643184</v>
      </c>
      <c r="E35">
        <v>385437</v>
      </c>
      <c r="H35">
        <v>11033855</v>
      </c>
      <c r="J35">
        <v>306444</v>
      </c>
      <c r="K35">
        <v>2007051</v>
      </c>
      <c r="L35">
        <v>272482</v>
      </c>
      <c r="M35">
        <v>1488845</v>
      </c>
      <c r="N35">
        <v>1049209</v>
      </c>
      <c r="O35">
        <v>2062413</v>
      </c>
      <c r="P35">
        <v>19248920</v>
      </c>
    </row>
    <row r="36" spans="2:16" x14ac:dyDescent="0.3">
      <c r="B36" s="2" t="s">
        <v>20</v>
      </c>
      <c r="C36">
        <v>1367996</v>
      </c>
      <c r="D36">
        <v>1116632</v>
      </c>
      <c r="E36">
        <v>1212405</v>
      </c>
      <c r="F36">
        <v>1604498</v>
      </c>
      <c r="H36">
        <v>9464872</v>
      </c>
      <c r="I36">
        <v>1183467</v>
      </c>
      <c r="K36">
        <v>557201</v>
      </c>
      <c r="L36">
        <v>550659</v>
      </c>
      <c r="M36">
        <v>1003601</v>
      </c>
      <c r="N36">
        <v>240058</v>
      </c>
      <c r="O36">
        <v>1213778</v>
      </c>
      <c r="P36">
        <v>19515167</v>
      </c>
    </row>
    <row r="37" spans="2:16" x14ac:dyDescent="0.3">
      <c r="B37" s="2" t="s">
        <v>71</v>
      </c>
      <c r="C37">
        <v>13679960</v>
      </c>
      <c r="D37">
        <v>11166320</v>
      </c>
      <c r="E37">
        <v>12124050</v>
      </c>
      <c r="F37">
        <v>12092085</v>
      </c>
      <c r="G37">
        <v>5787750</v>
      </c>
      <c r="H37">
        <v>126259132</v>
      </c>
      <c r="I37">
        <v>11834670</v>
      </c>
      <c r="J37">
        <v>1773602</v>
      </c>
      <c r="K37">
        <v>23753358</v>
      </c>
      <c r="L37">
        <v>13927410</v>
      </c>
      <c r="M37">
        <v>14888450</v>
      </c>
      <c r="N37">
        <v>13020133</v>
      </c>
      <c r="O37">
        <v>12137780</v>
      </c>
      <c r="P37">
        <v>272444700</v>
      </c>
    </row>
    <row r="41" spans="2:16" x14ac:dyDescent="0.3">
      <c r="B41" s="1" t="s">
        <v>70</v>
      </c>
      <c r="C41" t="s">
        <v>69</v>
      </c>
      <c r="E41" s="1" t="s">
        <v>70</v>
      </c>
      <c r="F41" t="s">
        <v>76</v>
      </c>
      <c r="G41" t="s">
        <v>74</v>
      </c>
      <c r="H41" t="s">
        <v>75</v>
      </c>
    </row>
    <row r="42" spans="2:16" x14ac:dyDescent="0.3">
      <c r="B42" s="2" t="s">
        <v>16</v>
      </c>
      <c r="C42">
        <v>12252109.82</v>
      </c>
      <c r="E42" s="2" t="s">
        <v>67</v>
      </c>
      <c r="F42">
        <v>55919.400000000009</v>
      </c>
      <c r="G42">
        <v>2968</v>
      </c>
      <c r="H42">
        <v>880</v>
      </c>
    </row>
    <row r="43" spans="2:16" x14ac:dyDescent="0.3">
      <c r="B43" s="2" t="s">
        <v>22</v>
      </c>
      <c r="C43">
        <v>43405356.460000001</v>
      </c>
      <c r="E43" s="2" t="s">
        <v>53</v>
      </c>
      <c r="F43">
        <v>966477.20000000042</v>
      </c>
      <c r="G43">
        <v>11348.000000000004</v>
      </c>
      <c r="H43">
        <v>18880.900000000001</v>
      </c>
    </row>
    <row r="44" spans="2:16" x14ac:dyDescent="0.3">
      <c r="B44" s="2" t="s">
        <v>25</v>
      </c>
      <c r="C44">
        <v>17794382.82</v>
      </c>
      <c r="E44" s="2" t="s">
        <v>68</v>
      </c>
      <c r="F44">
        <v>114508.89999999997</v>
      </c>
      <c r="G44">
        <v>6383.5999999999995</v>
      </c>
      <c r="H44">
        <v>2338.6</v>
      </c>
    </row>
    <row r="45" spans="2:16" x14ac:dyDescent="0.3">
      <c r="B45" s="2" t="s">
        <v>71</v>
      </c>
      <c r="C45">
        <v>73451849.099999994</v>
      </c>
      <c r="E45" s="2" t="s">
        <v>23</v>
      </c>
      <c r="F45">
        <v>1412150.8000000021</v>
      </c>
      <c r="G45">
        <v>52902.799999999974</v>
      </c>
      <c r="H45">
        <v>28012.499999999993</v>
      </c>
    </row>
    <row r="46" spans="2:16" x14ac:dyDescent="0.3">
      <c r="E46" s="2" t="s">
        <v>34</v>
      </c>
      <c r="F46">
        <v>2240612.6000000034</v>
      </c>
      <c r="G46">
        <v>34768.599999999977</v>
      </c>
      <c r="H46">
        <v>44389.89999999998</v>
      </c>
    </row>
    <row r="47" spans="2:16" x14ac:dyDescent="0.3">
      <c r="E47" s="2" t="s">
        <v>18</v>
      </c>
      <c r="F47">
        <v>671310</v>
      </c>
      <c r="G47">
        <v>16578.8</v>
      </c>
      <c r="H47">
        <v>12815.7</v>
      </c>
    </row>
    <row r="48" spans="2:16" x14ac:dyDescent="0.3">
      <c r="E48" s="2" t="s">
        <v>17</v>
      </c>
      <c r="F48">
        <v>527878.70000000007</v>
      </c>
      <c r="G48">
        <v>9951.2000000000044</v>
      </c>
      <c r="H48">
        <v>10678.7</v>
      </c>
    </row>
    <row r="49" spans="2:8" x14ac:dyDescent="0.3">
      <c r="E49" s="2" t="s">
        <v>31</v>
      </c>
      <c r="F49">
        <v>649990.49999999965</v>
      </c>
      <c r="G49">
        <v>24925.900000000005</v>
      </c>
      <c r="H49">
        <v>13330.800000000003</v>
      </c>
    </row>
    <row r="50" spans="2:8" x14ac:dyDescent="0.3">
      <c r="E50" s="2" t="s">
        <v>12</v>
      </c>
      <c r="F50">
        <v>985910.40000000014</v>
      </c>
      <c r="G50">
        <v>12930.600000000008</v>
      </c>
      <c r="H50">
        <v>18999.7</v>
      </c>
    </row>
    <row r="51" spans="2:8" x14ac:dyDescent="0.3">
      <c r="B51" s="1" t="s">
        <v>70</v>
      </c>
      <c r="C51" t="s">
        <v>69</v>
      </c>
      <c r="E51" s="2" t="s">
        <v>46</v>
      </c>
      <c r="F51">
        <v>581250.49999999907</v>
      </c>
      <c r="G51">
        <v>9570.1000000000058</v>
      </c>
      <c r="H51">
        <v>12340.100000000002</v>
      </c>
    </row>
    <row r="52" spans="2:8" x14ac:dyDescent="0.3">
      <c r="B52" s="2" t="s">
        <v>16</v>
      </c>
      <c r="C52">
        <v>12252109.82</v>
      </c>
      <c r="E52" s="2" t="s">
        <v>20</v>
      </c>
      <c r="F52">
        <v>677844.99999999965</v>
      </c>
      <c r="G52">
        <v>25764.699999999997</v>
      </c>
      <c r="H52">
        <v>12862.1</v>
      </c>
    </row>
    <row r="53" spans="2:8" x14ac:dyDescent="0.3">
      <c r="B53" s="2" t="s">
        <v>22</v>
      </c>
      <c r="C53">
        <v>43405356.460000001</v>
      </c>
      <c r="E53" s="2" t="s">
        <v>71</v>
      </c>
      <c r="F53">
        <v>8883854.0000000056</v>
      </c>
      <c r="G53">
        <v>208092.3</v>
      </c>
      <c r="H53">
        <v>175529</v>
      </c>
    </row>
    <row r="54" spans="2:8" x14ac:dyDescent="0.3">
      <c r="B54" s="2" t="s">
        <v>25</v>
      </c>
      <c r="C54">
        <v>17794382.82</v>
      </c>
    </row>
    <row r="55" spans="2:8" x14ac:dyDescent="0.3">
      <c r="B55" s="2" t="s">
        <v>71</v>
      </c>
      <c r="C55">
        <v>73451849.099999994</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149487B-3CC5-4D8B-A7A3-FCDF8632DE11}">
  <dimension ref="A1"/>
  <sheetViews>
    <sheetView showGridLines="0" zoomScale="60" zoomScaleNormal="60" workbookViewId="0">
      <selection activeCell="W14" sqref="W14"/>
    </sheetView>
  </sheetViews>
  <sheetFormatPr defaultRowHeight="14.4" x14ac:dyDescent="0.3"/>
  <sheetData/>
  <pageMargins left="0.7" right="0.7" top="0.75" bottom="0.75" header="0.3" footer="0.3"/>
  <pageSetup orientation="portrait" r:id="rId1"/>
  <drawing r:id="rId2"/>
  <extLst>
    <ext xmlns:x14="http://schemas.microsoft.com/office/spreadsheetml/2009/9/main" uri="{A8765BA9-456A-4dab-B4F3-ACF838C121DE}">
      <x14:slicerList>
        <x14:slicer r:id="rId3"/>
      </x14:slicerList>
    </ext>
  </extLst>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data_season</vt:lpstr>
      <vt:lpstr>pivot_table</vt:lpstr>
      <vt:lpstr>Dashboard</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kalai kavi</cp:lastModifiedBy>
  <dcterms:created xsi:type="dcterms:W3CDTF">2026-05-11T14:44:51Z</dcterms:created>
  <dcterms:modified xsi:type="dcterms:W3CDTF">2026-05-12T10:36:19Z</dcterms:modified>
</cp:coreProperties>
</file>